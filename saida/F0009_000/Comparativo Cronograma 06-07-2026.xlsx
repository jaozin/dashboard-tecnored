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saida/F0009_000/"/>
    </mc:Choice>
  </mc:AlternateContent>
  <xr:revisionPtr revIDLastSave="86" documentId="11_F971D2A059769C6EFEC42CCE95FAC299FA75AB54" xr6:coauthVersionLast="47" xr6:coauthVersionMax="47" xr10:uidLastSave="{ECFFABAD-AE41-405C-B4EB-F1F48A66CB88}"/>
  <bookViews>
    <workbookView xWindow="28680" yWindow="-120" windowWidth="29040" windowHeight="15720" activeTab="1" xr2:uid="{00000000-000D-0000-FFFF-FFFF00000000}"/>
  </bookViews>
  <sheets>
    <sheet name="Base" sheetId="1" r:id="rId1"/>
    <sheet name="Resumo" sheetId="2" r:id="rId2"/>
    <sheet name="Curva S" sheetId="3" r:id="rId3"/>
    <sheet name="Concluídas" sheetId="4" r:id="rId4"/>
    <sheet name="Atrasadas" sheetId="5" r:id="rId5"/>
    <sheet name="Sprint Atual" sheetId="6" r:id="rId6"/>
    <sheet name="Próximo Sprint" sheetId="7" r:id="rId7"/>
  </sheets>
  <externalReferences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2" l="1"/>
  <c r="C34" i="2"/>
  <c r="D34" i="2"/>
  <c r="E34" i="2"/>
  <c r="B16" i="2"/>
  <c r="C16" i="2"/>
  <c r="E16" i="2"/>
  <c r="F16" i="2"/>
  <c r="G16" i="2"/>
</calcChain>
</file>

<file path=xl/sharedStrings.xml><?xml version="1.0" encoding="utf-8"?>
<sst xmlns="http://schemas.openxmlformats.org/spreadsheetml/2006/main" count="2679" uniqueCount="411">
  <si>
    <t>Id</t>
  </si>
  <si>
    <t>EDT</t>
  </si>
  <si>
    <t>Nome do Resumo da Tarefa</t>
  </si>
  <si>
    <t>Nome da Tarefa</t>
  </si>
  <si>
    <t>Título</t>
  </si>
  <si>
    <t>Duração</t>
  </si>
  <si>
    <t>Início</t>
  </si>
  <si>
    <t>Término</t>
  </si>
  <si>
    <t>Predecessoras</t>
  </si>
  <si>
    <t>% concluída</t>
  </si>
  <si>
    <t>Término real</t>
  </si>
  <si>
    <t>Status</t>
  </si>
  <si>
    <t>Crítica</t>
  </si>
  <si>
    <t>Disciplina</t>
  </si>
  <si>
    <t>Inicio_LB_R0</t>
  </si>
  <si>
    <t>Término_LB_R0</t>
  </si>
  <si>
    <t>Sprint</t>
  </si>
  <si>
    <t>Sucessoras</t>
  </si>
  <si>
    <t>Comparação</t>
  </si>
  <si>
    <t>Nomes dos recursos</t>
  </si>
  <si>
    <t>pct_val</t>
  </si>
  <si>
    <t>Emissão inicial total</t>
  </si>
  <si>
    <t>Emissão inicial concluída</t>
  </si>
  <si>
    <t>Emissão Inicial Atrasada</t>
  </si>
  <si>
    <t>Aprovação total</t>
  </si>
  <si>
    <t>Avaliação do cliente concluída</t>
  </si>
  <si>
    <t>Avaliação Cliente Atrasada</t>
  </si>
  <si>
    <t>Atendimento de comentário concluído</t>
  </si>
  <si>
    <t>Atendimento Atrasado</t>
  </si>
  <si>
    <t>Aprovação concluída</t>
  </si>
  <si>
    <t>Aprovação Atrasada</t>
  </si>
  <si>
    <t>Aderência</t>
  </si>
  <si>
    <t>f0009 - programa marabá</t>
  </si>
  <si>
    <t>157,5 dias</t>
  </si>
  <si>
    <t>Atrasada</t>
  </si>
  <si>
    <t>Sim</t>
  </si>
  <si>
    <t>GERAL</t>
  </si>
  <si>
    <t>Seg 27/04/26</t>
  </si>
  <si>
    <t>Nenhum Sprint</t>
  </si>
  <si>
    <t>1.1</t>
  </si>
  <si>
    <t>F0009 - Programa Marabá</t>
  </si>
  <si>
    <t>área 0000 -documento geral</t>
  </si>
  <si>
    <t>1.1.1</t>
  </si>
  <si>
    <t>Área 0000 -Documento geral</t>
  </si>
  <si>
    <t>kom - início de projeto</t>
  </si>
  <si>
    <t>0 dias</t>
  </si>
  <si>
    <t>Concluída</t>
  </si>
  <si>
    <t>Não</t>
  </si>
  <si>
    <t>8TI+10 dias;24TI+10 dias;19TI+45 dias;5</t>
  </si>
  <si>
    <t>1.1.2</t>
  </si>
  <si>
    <t>pendências</t>
  </si>
  <si>
    <t>PENDÊNCIAS</t>
  </si>
  <si>
    <t>Qua 29/04/26</t>
  </si>
  <si>
    <t>1.1.2.1</t>
  </si>
  <si>
    <t>Pendências</t>
  </si>
  <si>
    <t>recebimento de dados de entrada</t>
  </si>
  <si>
    <t>1.1.3</t>
  </si>
  <si>
    <t>planejamento</t>
  </si>
  <si>
    <t>147,5 dias</t>
  </si>
  <si>
    <t>PLANEJAMENTO</t>
  </si>
  <si>
    <t>1.1.3.1</t>
  </si>
  <si>
    <t>Planejamento</t>
  </si>
  <si>
    <t>ld-f0009-0000-mb-f-00001</t>
  </si>
  <si>
    <t>Lista de documentos</t>
  </si>
  <si>
    <t>No Prazo</t>
  </si>
  <si>
    <t>1.1.3.1.1</t>
  </si>
  <si>
    <t>LD-F0009-0000-MB-F-00001</t>
  </si>
  <si>
    <t>emissão inicial</t>
  </si>
  <si>
    <t>2 dias</t>
  </si>
  <si>
    <t>3TI+10 dias</t>
  </si>
  <si>
    <t>9;13</t>
  </si>
  <si>
    <t>1.1.3.1.2</t>
  </si>
  <si>
    <t>análise tecnored</t>
  </si>
  <si>
    <t>1 dia</t>
  </si>
  <si>
    <t>Qui 30/04/26</t>
  </si>
  <si>
    <t>10TI+140 dias</t>
  </si>
  <si>
    <t>1.1.3.1.3</t>
  </si>
  <si>
    <t>atendimento de comentários</t>
  </si>
  <si>
    <t>9TI+140 dias</t>
  </si>
  <si>
    <t>Tarefa futura</t>
  </si>
  <si>
    <t>Qua 06/05/26</t>
  </si>
  <si>
    <t>11TI+3 dias</t>
  </si>
  <si>
    <t>1.1.3.1.4</t>
  </si>
  <si>
    <t>aprovação</t>
  </si>
  <si>
    <t>10TI+3 dias</t>
  </si>
  <si>
    <t>Ter 19/05/26</t>
  </si>
  <si>
    <t>1.1.3.2</t>
  </si>
  <si>
    <t>cr-f0009-0000-mb-f-00001</t>
  </si>
  <si>
    <t>Cronograma</t>
  </si>
  <si>
    <t>16 dias</t>
  </si>
  <si>
    <t>1.1.3.2.1</t>
  </si>
  <si>
    <t>CR-F0009-0000-MB-F-00001</t>
  </si>
  <si>
    <t>3 dias</t>
  </si>
  <si>
    <t>14;30</t>
  </si>
  <si>
    <t>1.1.3.2.2</t>
  </si>
  <si>
    <t>Ter 05/05/26</t>
  </si>
  <si>
    <t>15TI+8 dias</t>
  </si>
  <si>
    <t>1.1.3.2.3</t>
  </si>
  <si>
    <t>14TI+8 dias</t>
  </si>
  <si>
    <t>Qua 13/05/26</t>
  </si>
  <si>
    <t>1.1.3.2.4</t>
  </si>
  <si>
    <t>Seg 18/05/26</t>
  </si>
  <si>
    <t>1.1.4</t>
  </si>
  <si>
    <t>coordenação</t>
  </si>
  <si>
    <t>36 dias</t>
  </si>
  <si>
    <t>COORDENAÇÃO</t>
  </si>
  <si>
    <t>1.1.4.1</t>
  </si>
  <si>
    <t>Coordenação</t>
  </si>
  <si>
    <t>lf-f0009-0000-mb-f-00001</t>
  </si>
  <si>
    <t>Vendor List</t>
  </si>
  <si>
    <t>7 dias</t>
  </si>
  <si>
    <t>Seg 20/07/26</t>
  </si>
  <si>
    <t>1.1.4.1.1</t>
  </si>
  <si>
    <t>LF-F0009-0000-MB-F-00001</t>
  </si>
  <si>
    <t>3TI+45 dias</t>
  </si>
  <si>
    <t>1.1.4.1.2</t>
  </si>
  <si>
    <t>Qui 23/07/26</t>
  </si>
  <si>
    <t>1.1.4.1.3</t>
  </si>
  <si>
    <t>Sex 24/07/26</t>
  </si>
  <si>
    <t>1.1.4.1.4</t>
  </si>
  <si>
    <t>Ter 28/07/26</t>
  </si>
  <si>
    <t>1.1.4.2</t>
  </si>
  <si>
    <t>lp-f0009-0000-mb-g-00001</t>
  </si>
  <si>
    <t>Lista de pendências</t>
  </si>
  <si>
    <t>1.1.4.2.1</t>
  </si>
  <si>
    <t>LP-F0009-0000-MB-G-00001</t>
  </si>
  <si>
    <t>1.1.4.2.2</t>
  </si>
  <si>
    <t>26TI+30 dias</t>
  </si>
  <si>
    <t>1.1.4.2.3</t>
  </si>
  <si>
    <t>25TI+30 dias</t>
  </si>
  <si>
    <t>Sex 12/06/26</t>
  </si>
  <si>
    <t>1.1.4.2.4</t>
  </si>
  <si>
    <t>Ter 16/06/26</t>
  </si>
  <si>
    <t>1.1.5</t>
  </si>
  <si>
    <t>processo</t>
  </si>
  <si>
    <t>139 dias</t>
  </si>
  <si>
    <t>PROCESSOS</t>
  </si>
  <si>
    <t>1.1.5.1</t>
  </si>
  <si>
    <t>Processo</t>
  </si>
  <si>
    <t>cp-f0009-0000-mb-p-00001</t>
  </si>
  <si>
    <t>Critério de Projetos</t>
  </si>
  <si>
    <t>9 dias</t>
  </si>
  <si>
    <t>Ter 09/06/26</t>
  </si>
  <si>
    <t>1.1.5.1.1</t>
  </si>
  <si>
    <t>CP-F0009-0000-MB-P-00001</t>
  </si>
  <si>
    <t>5 dias</t>
  </si>
  <si>
    <t>31;40TI+8 dias;45TI+8 dias;35TI+120 dias;51TT;72TT;98TT;114TT;130TT;150TI+60 dias</t>
  </si>
  <si>
    <t>1.1.5.1.2</t>
  </si>
  <si>
    <t>PROCESSO</t>
  </si>
  <si>
    <t>1.1.5.1.3</t>
  </si>
  <si>
    <t>Qua 17/06/26</t>
  </si>
  <si>
    <t>1.1.5.1.4</t>
  </si>
  <si>
    <t>Sex 19/06/26</t>
  </si>
  <si>
    <t>1.1.5.2</t>
  </si>
  <si>
    <t>md-f0009-0000-mb-p-00001</t>
  </si>
  <si>
    <t>Memorial descritivo</t>
  </si>
  <si>
    <t>1.1.5.2.1</t>
  </si>
  <si>
    <t>MD-F0009-0000-MB-P-00001</t>
  </si>
  <si>
    <t>30TI+120 dias</t>
  </si>
  <si>
    <t>1.1.5.2.2</t>
  </si>
  <si>
    <t>Seg 22/06/26</t>
  </si>
  <si>
    <t>1.1.5.2.3</t>
  </si>
  <si>
    <t>Ter 23/06/26</t>
  </si>
  <si>
    <t>1.1.5.2.4</t>
  </si>
  <si>
    <t>Qui 25/06/26</t>
  </si>
  <si>
    <t>1.1.5.3</t>
  </si>
  <si>
    <t>fg-f0009-0000-mb-p-00001</t>
  </si>
  <si>
    <t>Diagrama de blocos de processo</t>
  </si>
  <si>
    <t>4 dias</t>
  </si>
  <si>
    <t>1.1.5.3.1</t>
  </si>
  <si>
    <t>FG-F0009-0000-MB-P-00001</t>
  </si>
  <si>
    <t>30TI+8 dias</t>
  </si>
  <si>
    <t>1.1.5.3.2</t>
  </si>
  <si>
    <t>Qua 20/05/26</t>
  </si>
  <si>
    <t>1.1.5.3.3</t>
  </si>
  <si>
    <t>Qui 21/05/26</t>
  </si>
  <si>
    <t>1.1.5.3.4</t>
  </si>
  <si>
    <t>Seg 25/05/26</t>
  </si>
  <si>
    <t>1.1.5.4</t>
  </si>
  <si>
    <t>Fluxograma geral de processo</t>
  </si>
  <si>
    <t>25 dias</t>
  </si>
  <si>
    <t>1.1.5.4.1</t>
  </si>
  <si>
    <t>1.1.5.4.2</t>
  </si>
  <si>
    <t>1.1.5.4.3</t>
  </si>
  <si>
    <t>1.1.5.4.4</t>
  </si>
  <si>
    <t>1.1.6</t>
  </si>
  <si>
    <t>mecânica</t>
  </si>
  <si>
    <t>128 dias</t>
  </si>
  <si>
    <t>MECÂNICA</t>
  </si>
  <si>
    <t>1.1.6.1</t>
  </si>
  <si>
    <t>Mecânica</t>
  </si>
  <si>
    <t>cp-f0009-0000-mb-m-00001</t>
  </si>
  <si>
    <t>6 dias</t>
  </si>
  <si>
    <t>1.1.6.1.1</t>
  </si>
  <si>
    <t>CP-F0009-0000-MB-M-00001</t>
  </si>
  <si>
    <t>30TT</t>
  </si>
  <si>
    <t>52;61TI+120 dias;56TI+120 dias</t>
  </si>
  <si>
    <t>1.1.6.1.2</t>
  </si>
  <si>
    <t>1.1.6.1.3</t>
  </si>
  <si>
    <t>1.1.6.1.4</t>
  </si>
  <si>
    <t>1.1.6.2</t>
  </si>
  <si>
    <t>md-f0009-0000-mb-m-00001</t>
  </si>
  <si>
    <t>Ter 26/05/26</t>
  </si>
  <si>
    <t>1.1.6.2.1</t>
  </si>
  <si>
    <t>MD-F0009-0000-MB-M-00001</t>
  </si>
  <si>
    <t>51TI+120 dias</t>
  </si>
  <si>
    <t>1.1.6.2.2</t>
  </si>
  <si>
    <t>Qui 28/05/26</t>
  </si>
  <si>
    <t>1.1.6.2.3</t>
  </si>
  <si>
    <t>Sex 29/05/26</t>
  </si>
  <si>
    <t>1.1.6.2.4</t>
  </si>
  <si>
    <t>Ter 02/06/26</t>
  </si>
  <si>
    <t>1.1.6.3</t>
  </si>
  <si>
    <t>ag-f0009-0000-mb-l-00001</t>
  </si>
  <si>
    <t>Especificação Técnica</t>
  </si>
  <si>
    <t>Tarefa Incluída</t>
  </si>
  <si>
    <t>1.1.6.3.1</t>
  </si>
  <si>
    <t>AG-F0009-0000-MB-L-00001</t>
  </si>
  <si>
    <t>1.1.6.3.2</t>
  </si>
  <si>
    <t>1.1.6.3.3</t>
  </si>
  <si>
    <t>1.1.6.3.4</t>
  </si>
  <si>
    <t>1.1.6.4</t>
  </si>
  <si>
    <t>et-f0009-0000-mb-m-00001</t>
  </si>
  <si>
    <t>1.1.6.4.1</t>
  </si>
  <si>
    <t>ET-F0009-0000-MB-M-00001</t>
  </si>
  <si>
    <t>1.1.6.4.2</t>
  </si>
  <si>
    <t>1.1.6.4.3</t>
  </si>
  <si>
    <t>1.1.6.4.4</t>
  </si>
  <si>
    <t>1.1.7</t>
  </si>
  <si>
    <t>tubulação/utilidades</t>
  </si>
  <si>
    <t>135 dias</t>
  </si>
  <si>
    <t>TUBULAÇÃO / UTILIDADES</t>
  </si>
  <si>
    <t>1.1.7.1</t>
  </si>
  <si>
    <t>Tubulação/Utilidades</t>
  </si>
  <si>
    <t>cp-f0009-0000-mb-t-00001</t>
  </si>
  <si>
    <t>Qui 11/06/26</t>
  </si>
  <si>
    <t>1.1.7.1.1</t>
  </si>
  <si>
    <t>CP-F0009-0000-MB-T-00001</t>
  </si>
  <si>
    <t>73;77TI+120 dias</t>
  </si>
  <si>
    <t>1.1.7.1.2</t>
  </si>
  <si>
    <t>1.1.7.1.3</t>
  </si>
  <si>
    <t>1.1.7.1.4</t>
  </si>
  <si>
    <t>1.1.7.2</t>
  </si>
  <si>
    <t>md-f0009-0000-mb-u-00001</t>
  </si>
  <si>
    <t>Qui 18/06/26</t>
  </si>
  <si>
    <t>1.1.7.2.1</t>
  </si>
  <si>
    <t>MD-F0009-0000-MB-U-00001</t>
  </si>
  <si>
    <t>72TI+120 dias</t>
  </si>
  <si>
    <t>78;82;87</t>
  </si>
  <si>
    <t>1.1.7.2.2</t>
  </si>
  <si>
    <t>1.1.7.2.3</t>
  </si>
  <si>
    <t>Qua 24/06/26</t>
  </si>
  <si>
    <t>1.1.7.2.4</t>
  </si>
  <si>
    <t>Sex 26/06/26</t>
  </si>
  <si>
    <t>1.1.7.3</t>
  </si>
  <si>
    <t>ml-f0009-0000-mb-t-00001</t>
  </si>
  <si>
    <t>Modelo geral</t>
  </si>
  <si>
    <t>1.1.7.3.1</t>
  </si>
  <si>
    <t>ML-F0009-0000-MB-T-00001</t>
  </si>
  <si>
    <t>1.1.7.3.2</t>
  </si>
  <si>
    <t>1.1.7.3.3</t>
  </si>
  <si>
    <t>Qua 03/06/26</t>
  </si>
  <si>
    <t>1.1.7.3.4</t>
  </si>
  <si>
    <t>Sex 05/06/26</t>
  </si>
  <si>
    <t>1.1.7.4</t>
  </si>
  <si>
    <t>lk-f0009-0000-mb-t-00001</t>
  </si>
  <si>
    <t>Lista de Tie-ins</t>
  </si>
  <si>
    <t>1.1.7.4.1</t>
  </si>
  <si>
    <t>LK-F0009-0000-MB-T-00001</t>
  </si>
  <si>
    <t>1.1.7.4.2</t>
  </si>
  <si>
    <t>1.1.7.4.3</t>
  </si>
  <si>
    <t>Seg 08/06/26</t>
  </si>
  <si>
    <t>1.1.7.4.4</t>
  </si>
  <si>
    <t>Qua 10/06/26</t>
  </si>
  <si>
    <t>1.1.7.5</t>
  </si>
  <si>
    <t>et-f0009-0000-mb-t-00001</t>
  </si>
  <si>
    <t>1.1.7.5.1</t>
  </si>
  <si>
    <t>ET-F0009-0000-MB-T-00001</t>
  </si>
  <si>
    <t>1.1.7.5.2</t>
  </si>
  <si>
    <t>1.1.7.5.3</t>
  </si>
  <si>
    <t>1.1.7.5.4</t>
  </si>
  <si>
    <t>1.1.8</t>
  </si>
  <si>
    <t>estrutura metálica</t>
  </si>
  <si>
    <t>130 dias</t>
  </si>
  <si>
    <t>ESTRUTURA METÁLICA</t>
  </si>
  <si>
    <t>Seg 15/06/26</t>
  </si>
  <si>
    <t>1.1.8.1</t>
  </si>
  <si>
    <t>Estrutura metálica</t>
  </si>
  <si>
    <t>cp-f0009-0000-mb-s-00001</t>
  </si>
  <si>
    <t>1.1.8.1.1</t>
  </si>
  <si>
    <t>CP-F0009-0000-MB-S-00001</t>
  </si>
  <si>
    <t>99;103TI+120 dias</t>
  </si>
  <si>
    <t>1.1.8.1.2</t>
  </si>
  <si>
    <t>1.1.8.1.3</t>
  </si>
  <si>
    <t>1.1.8.1.4</t>
  </si>
  <si>
    <t>1.1.8.2</t>
  </si>
  <si>
    <t>md-f0009-0000-mb-s-00001</t>
  </si>
  <si>
    <t>1.1.8.2.1</t>
  </si>
  <si>
    <t>MD-F0009-0000-MB-S-00001</t>
  </si>
  <si>
    <t>98TI+120 dias</t>
  </si>
  <si>
    <t>1.1.8.2.2</t>
  </si>
  <si>
    <t>1.1.8.2.3</t>
  </si>
  <si>
    <t>1.1.8.2.4</t>
  </si>
  <si>
    <t>1.1.8.3</t>
  </si>
  <si>
    <t>et-f0009-0000-mb-s-00001</t>
  </si>
  <si>
    <t>1.1.8.3.1</t>
  </si>
  <si>
    <t>ET-F0009-0000-MB-S-00001</t>
  </si>
  <si>
    <t>1.1.8.3.2</t>
  </si>
  <si>
    <t>1.1.8.3.3</t>
  </si>
  <si>
    <t>1.1.8.3.4</t>
  </si>
  <si>
    <t>1.1.9</t>
  </si>
  <si>
    <t>elétrica</t>
  </si>
  <si>
    <t>140 dias</t>
  </si>
  <si>
    <t>ELÉTRICA</t>
  </si>
  <si>
    <t>1.1.9.1</t>
  </si>
  <si>
    <t>Elétrica</t>
  </si>
  <si>
    <t>cp-f0009-0000-mb-e-00001</t>
  </si>
  <si>
    <t>119TI+120 dias</t>
  </si>
  <si>
    <t>1.1.9.1.1</t>
  </si>
  <si>
    <t>CP-F0009-0000-MB-E-00001</t>
  </si>
  <si>
    <t>1.1.9.1.2</t>
  </si>
  <si>
    <t>1.1.9.1.3</t>
  </si>
  <si>
    <t>1.1.9.1.4</t>
  </si>
  <si>
    <t>1.1.9.2</t>
  </si>
  <si>
    <t>md-f0009-0000-mb-e-00001</t>
  </si>
  <si>
    <t>11 dias</t>
  </si>
  <si>
    <t>1.1.9.2.1</t>
  </si>
  <si>
    <t>MD-F0009-0000-MB-E-00001</t>
  </si>
  <si>
    <t>113TI+120 dias</t>
  </si>
  <si>
    <t>1.1.9.2.2</t>
  </si>
  <si>
    <t>1.1.9.2.3</t>
  </si>
  <si>
    <t>1.1.9.2.4</t>
  </si>
  <si>
    <t>Seg 29/06/26</t>
  </si>
  <si>
    <t>1.1.9.3</t>
  </si>
  <si>
    <t>et-f0009-0000-mb-e-00001</t>
  </si>
  <si>
    <t>1.1.9.3.1</t>
  </si>
  <si>
    <t>ET-F0009-0000-MB-E-00001</t>
  </si>
  <si>
    <t>1.1.9.3.2</t>
  </si>
  <si>
    <t>1.1.9.3.3</t>
  </si>
  <si>
    <t>1.1.9.3.4</t>
  </si>
  <si>
    <t>1.1.10</t>
  </si>
  <si>
    <t>automação e instrumentação</t>
  </si>
  <si>
    <t>127 dias</t>
  </si>
  <si>
    <t>AUTOMAÇÃO E INSTRUMENTAÇÃO</t>
  </si>
  <si>
    <t>1.1.10.1</t>
  </si>
  <si>
    <t>Automação e instrumentação</t>
  </si>
  <si>
    <t>cp-f0009-0000-mb-j-00001</t>
  </si>
  <si>
    <t>1.1.10.1.1</t>
  </si>
  <si>
    <t>CP-F0009-0000-MB-J-00001</t>
  </si>
  <si>
    <t>131;135TI+120 dias</t>
  </si>
  <si>
    <t>1.1.10.1.2</t>
  </si>
  <si>
    <t>1.1.10.1.3</t>
  </si>
  <si>
    <t>1.1.10.1.4</t>
  </si>
  <si>
    <t>1.1.10.2</t>
  </si>
  <si>
    <t>md-f0009-0000-mb-j-00001</t>
  </si>
  <si>
    <t>Sex 22/05/26</t>
  </si>
  <si>
    <t>1.1.10.2.1</t>
  </si>
  <si>
    <t>MD-F0009-0000-MB-J-00001</t>
  </si>
  <si>
    <t>130TI+120 dias</t>
  </si>
  <si>
    <t>1.1.10.2.2</t>
  </si>
  <si>
    <t>Qua 27/05/26</t>
  </si>
  <si>
    <t>1.1.10.2.3</t>
  </si>
  <si>
    <t>1.1.10.2.4</t>
  </si>
  <si>
    <t>Seg 01/06/26</t>
  </si>
  <si>
    <t>1.1.10.3</t>
  </si>
  <si>
    <t>li-f0009-0000-mb-j-00001</t>
  </si>
  <si>
    <t>1.1.10.3.1</t>
  </si>
  <si>
    <t>LI-F0009-0000-MB-J-00001</t>
  </si>
  <si>
    <t>1.1.10.3.2</t>
  </si>
  <si>
    <t>1.1.10.3.3</t>
  </si>
  <si>
    <t>1.1.10.3.4</t>
  </si>
  <si>
    <t>1.1.10.4</t>
  </si>
  <si>
    <t>lw-f0009-0000-mb-j-00001</t>
  </si>
  <si>
    <t>1.1.10.4.1</t>
  </si>
  <si>
    <t>LW-F0009-0000-MB-J-00001</t>
  </si>
  <si>
    <t>1.1.10.4.2</t>
  </si>
  <si>
    <t>1.1.10.4.3</t>
  </si>
  <si>
    <t>1.1.10.4.4</t>
  </si>
  <si>
    <t>1.1.11</t>
  </si>
  <si>
    <t>civil</t>
  </si>
  <si>
    <t>CIVIL</t>
  </si>
  <si>
    <t>1.1.11.1</t>
  </si>
  <si>
    <t>Civil</t>
  </si>
  <si>
    <t>avaliações gerais</t>
  </si>
  <si>
    <t>30TI+60 dias</t>
  </si>
  <si>
    <t>Seg 07/09/26</t>
  </si>
  <si>
    <t>Número de documentos listados</t>
  </si>
  <si>
    <t>Aderência do modelo (%)</t>
  </si>
  <si>
    <t>%EI</t>
  </si>
  <si>
    <t>%AP</t>
  </si>
  <si>
    <t>Data</t>
  </si>
  <si>
    <t>Emissão prevista na LB</t>
  </si>
  <si>
    <t>Emissão prevista na LB acumulada</t>
  </si>
  <si>
    <t>Emissão realizada por dia</t>
  </si>
  <si>
    <t>Emissão realizada acumulada</t>
  </si>
  <si>
    <t>Aprovação prevista na LB</t>
  </si>
  <si>
    <t>Aprovação realizada por dia</t>
  </si>
  <si>
    <t>Aprovação prevista na LB acumulada</t>
  </si>
  <si>
    <t>Aprovação realizada acumulada</t>
  </si>
  <si>
    <t>Avanço da EI previsto na LB</t>
  </si>
  <si>
    <t>Avanço real da EI na LB</t>
  </si>
  <si>
    <t>COMP_EI</t>
  </si>
  <si>
    <t>Avanço da AP previsto na LB</t>
  </si>
  <si>
    <t>Avanço da AP real na LB</t>
  </si>
  <si>
    <t>COMP_AP</t>
  </si>
  <si>
    <t>Soma</t>
  </si>
  <si>
    <t>Média</t>
  </si>
  <si>
    <t>Soma Acumulada</t>
  </si>
  <si>
    <t>Contagem</t>
  </si>
  <si>
    <t>Coluna1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</si>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</sst>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6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9" fontId="0" fillId="0" borderId="0" xfId="1" applyFont="1" applyAlignment="1">
      <alignment horizontal="center" vertical="center" wrapText="1"/>
    </xf>
    <xf numFmtId="14" fontId="0" fillId="2" borderId="0" xfId="0" applyNumberForma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9" fontId="0" fillId="2" borderId="0" xfId="1" applyFont="1" applyFill="1" applyAlignment="1">
      <alignment horizontal="center" vertical="center" wrapText="1"/>
    </xf>
  </cellXfs>
  <cellStyles count="2">
    <cellStyle name="Normal" xfId="0" builtinId="0"/>
    <cellStyle name="Porcentagem" xfId="1" builtinId="5"/>
  </cellStyles>
  <dxfs count="173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6" formatCode="0.0%"/>
      <alignment horizontal="center" vertical="center" textRotation="0" wrapText="0" indent="0" justifyLastLine="0" shrinkToFit="0" readingOrder="0"/>
    </dxf>
    <dxf>
      <numFmt numFmtId="166" formatCode="0.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6" formatCode="0.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6" formatCode="0.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Concluídas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Resumo!$B$3</c:f>
              <c:strCache>
                <c:ptCount val="1"/>
                <c:pt idx="0">
                  <c:v>Emissão inicial total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MECÂNICA</c:v>
                </c:pt>
                <c:pt idx="7">
                  <c:v>PENDÊNCIAS</c:v>
                </c:pt>
                <c:pt idx="8">
                  <c:v>PLANEJAMENTO</c:v>
                </c:pt>
                <c:pt idx="9">
                  <c:v>PROCESSO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Resumo!$B$4:$B$15</c:f>
              <c:numCache>
                <c:formatCode>General</c:formatCode>
                <c:ptCount val="12"/>
                <c:pt idx="0">
                  <c:v>4</c:v>
                </c:pt>
                <c:pt idx="1">
                  <c:v>0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0</c:v>
                </c:pt>
                <c:pt idx="6">
                  <c:v>4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4</c:v>
                </c:pt>
                <c:pt idx="1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2F-4FD5-B3AD-CC47755555BB}"/>
            </c:ext>
          </c:extLst>
        </c:ser>
        <c:ser>
          <c:idx val="1"/>
          <c:order val="1"/>
          <c:tx>
            <c:strRef>
              <c:f>Resumo!$C$3</c:f>
              <c:strCache>
                <c:ptCount val="1"/>
                <c:pt idx="0">
                  <c:v>Emissão inicial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MECÂNICA</c:v>
                </c:pt>
                <c:pt idx="7">
                  <c:v>PENDÊNCIAS</c:v>
                </c:pt>
                <c:pt idx="8">
                  <c:v>PLANEJAMENTO</c:v>
                </c:pt>
                <c:pt idx="9">
                  <c:v>PROCESSO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Resumo!$C$4:$C$15</c:f>
              <c:numCache>
                <c:formatCode>General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2F-4FD5-B3AD-CC47755555BB}"/>
            </c:ext>
          </c:extLst>
        </c:ser>
        <c:ser>
          <c:idx val="2"/>
          <c:order val="2"/>
          <c:tx>
            <c:strRef>
              <c:f>Resumo!$D$3</c:f>
              <c:strCache>
                <c:ptCount val="1"/>
                <c:pt idx="0">
                  <c:v>%EI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MECÂNICA</c:v>
                </c:pt>
                <c:pt idx="7">
                  <c:v>PENDÊNCIAS</c:v>
                </c:pt>
                <c:pt idx="8">
                  <c:v>PLANEJAMENTO</c:v>
                </c:pt>
                <c:pt idx="9">
                  <c:v>PROCESSO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Resumo!$D$4:$D$15</c:f>
              <c:numCache>
                <c:formatCode>0.0%</c:formatCode>
                <c:ptCount val="12"/>
                <c:pt idx="0">
                  <c:v>0.25</c:v>
                </c:pt>
                <c:pt idx="1">
                  <c:v>0</c:v>
                </c:pt>
                <c:pt idx="2">
                  <c:v>1</c:v>
                </c:pt>
                <c:pt idx="3">
                  <c:v>0.33333333333333331</c:v>
                </c:pt>
                <c:pt idx="4">
                  <c:v>0</c:v>
                </c:pt>
                <c:pt idx="5">
                  <c:v>0</c:v>
                </c:pt>
                <c:pt idx="6">
                  <c:v>0.25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0.5</c:v>
                </c:pt>
                <c:pt idx="11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2F-4FD5-B3AD-CC47755555BB}"/>
            </c:ext>
          </c:extLst>
        </c:ser>
        <c:ser>
          <c:idx val="3"/>
          <c:order val="3"/>
          <c:tx>
            <c:strRef>
              <c:f>Resumo!$E$3</c:f>
              <c:strCache>
                <c:ptCount val="1"/>
                <c:pt idx="0">
                  <c:v>Avaliação do cliente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MECÂNICA</c:v>
                </c:pt>
                <c:pt idx="7">
                  <c:v>PENDÊNCIAS</c:v>
                </c:pt>
                <c:pt idx="8">
                  <c:v>PLANEJAMENTO</c:v>
                </c:pt>
                <c:pt idx="9">
                  <c:v>PROCESSO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Resumo!$E$4:$E$15</c:f>
              <c:numCache>
                <c:formatCode>General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B2F-4FD5-B3AD-CC47755555BB}"/>
            </c:ext>
          </c:extLst>
        </c:ser>
        <c:ser>
          <c:idx val="4"/>
          <c:order val="4"/>
          <c:tx>
            <c:strRef>
              <c:f>Resumo!$F$3</c:f>
              <c:strCache>
                <c:ptCount val="1"/>
                <c:pt idx="0">
                  <c:v>Atendimento de comentário concluído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MECÂNICA</c:v>
                </c:pt>
                <c:pt idx="7">
                  <c:v>PENDÊNCIAS</c:v>
                </c:pt>
                <c:pt idx="8">
                  <c:v>PLANEJAMENTO</c:v>
                </c:pt>
                <c:pt idx="9">
                  <c:v>PROCESSO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Resumo!$F$4:$F$15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B2F-4FD5-B3AD-CC47755555BB}"/>
            </c:ext>
          </c:extLst>
        </c:ser>
        <c:ser>
          <c:idx val="5"/>
          <c:order val="5"/>
          <c:tx>
            <c:strRef>
              <c:f>Resumo!$G$3</c:f>
              <c:strCache>
                <c:ptCount val="1"/>
                <c:pt idx="0">
                  <c:v>Aprovação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MECÂNICA</c:v>
                </c:pt>
                <c:pt idx="7">
                  <c:v>PENDÊNCIAS</c:v>
                </c:pt>
                <c:pt idx="8">
                  <c:v>PLANEJAMENTO</c:v>
                </c:pt>
                <c:pt idx="9">
                  <c:v>PROCESSO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Resumo!$G$4:$G$15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B2F-4FD5-B3AD-CC47755555BB}"/>
            </c:ext>
          </c:extLst>
        </c:ser>
        <c:ser>
          <c:idx val="6"/>
          <c:order val="6"/>
          <c:tx>
            <c:strRef>
              <c:f>Resumo!$H$3</c:f>
              <c:strCache>
                <c:ptCount val="1"/>
                <c:pt idx="0">
                  <c:v>%AP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MECÂNICA</c:v>
                </c:pt>
                <c:pt idx="7">
                  <c:v>PENDÊNCIAS</c:v>
                </c:pt>
                <c:pt idx="8">
                  <c:v>PLANEJAMENTO</c:v>
                </c:pt>
                <c:pt idx="9">
                  <c:v>PROCESSO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Resumo!$H$4:$H$15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B2F-4FD5-B3AD-CC47755555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Atrasadas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Resumo!$B$21</c:f>
              <c:strCache>
                <c:ptCount val="1"/>
                <c:pt idx="0">
                  <c:v>Emissão Inicial Atrasada</c:v>
                </c:pt>
              </c:strCache>
            </c:strRef>
          </c:tx>
          <c:spPr>
            <a:solidFill>
              <a:srgbClr val="963D3B"/>
            </a:solidFill>
            <a:ln>
              <a:noFill/>
            </a:ln>
            <a:effectLst/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MECÂNICA</c:v>
                </c:pt>
                <c:pt idx="7">
                  <c:v>PENDÊNCIAS</c:v>
                </c:pt>
                <c:pt idx="8">
                  <c:v>PLANEJAMENTO</c:v>
                </c:pt>
                <c:pt idx="9">
                  <c:v>PROCESSO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Resumo!$B$22:$B$33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1DFD-4F3C-A1B7-53CAB0E0DEEF}"/>
            </c:ext>
          </c:extLst>
        </c:ser>
        <c:ser>
          <c:idx val="1"/>
          <c:order val="1"/>
          <c:tx>
            <c:strRef>
              <c:f>Resumo!$C$21</c:f>
              <c:strCache>
                <c:ptCount val="1"/>
                <c:pt idx="0">
                  <c:v>Avaliação Cliente Atrasada</c:v>
                </c:pt>
              </c:strCache>
            </c:strRef>
          </c:tx>
          <c:spPr>
            <a:solidFill>
              <a:srgbClr val="B34A47"/>
            </a:solidFill>
            <a:ln>
              <a:noFill/>
            </a:ln>
            <a:effectLst/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MECÂNICA</c:v>
                </c:pt>
                <c:pt idx="7">
                  <c:v>PENDÊNCIAS</c:v>
                </c:pt>
                <c:pt idx="8">
                  <c:v>PLANEJAMENTO</c:v>
                </c:pt>
                <c:pt idx="9">
                  <c:v>PROCESSO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Resumo!$C$22:$C$33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1DFD-4F3C-A1B7-53CAB0E0DEEF}"/>
            </c:ext>
          </c:extLst>
        </c:ser>
        <c:ser>
          <c:idx val="2"/>
          <c:order val="2"/>
          <c:tx>
            <c:strRef>
              <c:f>Resumo!$D$21</c:f>
              <c:strCache>
                <c:ptCount val="1"/>
                <c:pt idx="0">
                  <c:v>Atendimento Atrasado</c:v>
                </c:pt>
              </c:strCache>
            </c:strRef>
          </c:tx>
          <c:spPr>
            <a:solidFill>
              <a:srgbClr val="CA7E7D"/>
            </a:solidFill>
            <a:ln>
              <a:noFill/>
            </a:ln>
            <a:effectLst/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MECÂNICA</c:v>
                </c:pt>
                <c:pt idx="7">
                  <c:v>PENDÊNCIAS</c:v>
                </c:pt>
                <c:pt idx="8">
                  <c:v>PLANEJAMENTO</c:v>
                </c:pt>
                <c:pt idx="9">
                  <c:v>PROCESSO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Resumo!$D$22:$D$33</c:f>
              <c:numCache>
                <c:formatCode>General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2-1DFD-4F3C-A1B7-53CAB0E0DEEF}"/>
            </c:ext>
          </c:extLst>
        </c:ser>
        <c:ser>
          <c:idx val="3"/>
          <c:order val="3"/>
          <c:tx>
            <c:strRef>
              <c:f>Resumo!$E$21</c:f>
              <c:strCache>
                <c:ptCount val="1"/>
                <c:pt idx="0">
                  <c:v>Aprovação Atrasada</c:v>
                </c:pt>
              </c:strCache>
            </c:strRef>
          </c:tx>
          <c:spPr>
            <a:solidFill>
              <a:srgbClr val="DDB6B5"/>
            </a:solidFill>
            <a:ln>
              <a:noFill/>
            </a:ln>
            <a:effectLst/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MECÂNICA</c:v>
                </c:pt>
                <c:pt idx="7">
                  <c:v>PENDÊNCIAS</c:v>
                </c:pt>
                <c:pt idx="8">
                  <c:v>PLANEJAMENTO</c:v>
                </c:pt>
                <c:pt idx="9">
                  <c:v>PROCESSO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Resumo!$E$22:$E$33</c:f>
              <c:numCache>
                <c:formatCode>General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3-1DFD-4F3C-A1B7-53CAB0E0DE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 S - Emissão inicial - Status</a:t>
            </a:r>
            <a:r>
              <a:rPr lang="pt-BR" baseline="0"/>
              <a:t> 06/07/2026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S'!$A$2:$A$173</c:f>
              <c:numCache>
                <c:formatCode>m/d/yyyy</c:formatCode>
                <c:ptCount val="172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  <c:pt idx="119">
                  <c:v>46220</c:v>
                </c:pt>
                <c:pt idx="120">
                  <c:v>46221</c:v>
                </c:pt>
                <c:pt idx="121">
                  <c:v>46222</c:v>
                </c:pt>
                <c:pt idx="122">
                  <c:v>46223</c:v>
                </c:pt>
                <c:pt idx="123">
                  <c:v>46224</c:v>
                </c:pt>
                <c:pt idx="124">
                  <c:v>46225</c:v>
                </c:pt>
                <c:pt idx="125">
                  <c:v>46226</c:v>
                </c:pt>
                <c:pt idx="126">
                  <c:v>46227</c:v>
                </c:pt>
                <c:pt idx="127">
                  <c:v>46228</c:v>
                </c:pt>
                <c:pt idx="128">
                  <c:v>46229</c:v>
                </c:pt>
                <c:pt idx="129">
                  <c:v>46230</c:v>
                </c:pt>
                <c:pt idx="130">
                  <c:v>46231</c:v>
                </c:pt>
                <c:pt idx="131">
                  <c:v>46232</c:v>
                </c:pt>
                <c:pt idx="132">
                  <c:v>46233</c:v>
                </c:pt>
                <c:pt idx="133">
                  <c:v>46234</c:v>
                </c:pt>
                <c:pt idx="134">
                  <c:v>46235</c:v>
                </c:pt>
                <c:pt idx="135">
                  <c:v>46236</c:v>
                </c:pt>
                <c:pt idx="136">
                  <c:v>46237</c:v>
                </c:pt>
                <c:pt idx="137">
                  <c:v>46238</c:v>
                </c:pt>
                <c:pt idx="138">
                  <c:v>46239</c:v>
                </c:pt>
                <c:pt idx="139">
                  <c:v>46240</c:v>
                </c:pt>
                <c:pt idx="140">
                  <c:v>46241</c:v>
                </c:pt>
                <c:pt idx="141">
                  <c:v>46242</c:v>
                </c:pt>
                <c:pt idx="142">
                  <c:v>46243</c:v>
                </c:pt>
                <c:pt idx="143">
                  <c:v>46244</c:v>
                </c:pt>
                <c:pt idx="144">
                  <c:v>46245</c:v>
                </c:pt>
                <c:pt idx="145">
                  <c:v>46246</c:v>
                </c:pt>
                <c:pt idx="146">
                  <c:v>46247</c:v>
                </c:pt>
                <c:pt idx="147">
                  <c:v>46248</c:v>
                </c:pt>
                <c:pt idx="148">
                  <c:v>46249</c:v>
                </c:pt>
                <c:pt idx="149">
                  <c:v>46250</c:v>
                </c:pt>
                <c:pt idx="150">
                  <c:v>46251</c:v>
                </c:pt>
                <c:pt idx="151">
                  <c:v>46252</c:v>
                </c:pt>
                <c:pt idx="152">
                  <c:v>46253</c:v>
                </c:pt>
                <c:pt idx="153">
                  <c:v>46254</c:v>
                </c:pt>
                <c:pt idx="154">
                  <c:v>46255</c:v>
                </c:pt>
                <c:pt idx="155">
                  <c:v>46256</c:v>
                </c:pt>
                <c:pt idx="156">
                  <c:v>46257</c:v>
                </c:pt>
                <c:pt idx="157">
                  <c:v>46258</c:v>
                </c:pt>
                <c:pt idx="158">
                  <c:v>46259</c:v>
                </c:pt>
                <c:pt idx="159">
                  <c:v>46260</c:v>
                </c:pt>
                <c:pt idx="160">
                  <c:v>46261</c:v>
                </c:pt>
                <c:pt idx="161">
                  <c:v>46262</c:v>
                </c:pt>
                <c:pt idx="162">
                  <c:v>46263</c:v>
                </c:pt>
                <c:pt idx="163">
                  <c:v>46264</c:v>
                </c:pt>
                <c:pt idx="164">
                  <c:v>46265</c:v>
                </c:pt>
                <c:pt idx="165">
                  <c:v>46266</c:v>
                </c:pt>
                <c:pt idx="166">
                  <c:v>46267</c:v>
                </c:pt>
                <c:pt idx="167">
                  <c:v>46268</c:v>
                </c:pt>
                <c:pt idx="168">
                  <c:v>46269</c:v>
                </c:pt>
                <c:pt idx="169">
                  <c:v>46270</c:v>
                </c:pt>
                <c:pt idx="170">
                  <c:v>46271</c:v>
                </c:pt>
                <c:pt idx="171">
                  <c:v>46272</c:v>
                </c:pt>
              </c:numCache>
            </c:numRef>
          </c:cat>
          <c:val>
            <c:numRef>
              <c:f>'Curva S'!$B$2:$B$173</c:f>
              <c:numCache>
                <c:formatCode>General</c:formatCode>
                <c:ptCount val="1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3</c:v>
                </c:pt>
                <c:pt idx="68">
                  <c:v>3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0</c:v>
                </c:pt>
                <c:pt idx="75">
                  <c:v>0</c:v>
                </c:pt>
                <c:pt idx="76">
                  <c:v>2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6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3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2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1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FA-416C-B3CD-5F2F791EDE39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'Curva S'!$A$2:$A$173</c:f>
              <c:numCache>
                <c:formatCode>m/d/yyyy</c:formatCode>
                <c:ptCount val="172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  <c:pt idx="119">
                  <c:v>46220</c:v>
                </c:pt>
                <c:pt idx="120">
                  <c:v>46221</c:v>
                </c:pt>
                <c:pt idx="121">
                  <c:v>46222</c:v>
                </c:pt>
                <c:pt idx="122">
                  <c:v>46223</c:v>
                </c:pt>
                <c:pt idx="123">
                  <c:v>46224</c:v>
                </c:pt>
                <c:pt idx="124">
                  <c:v>46225</c:v>
                </c:pt>
                <c:pt idx="125">
                  <c:v>46226</c:v>
                </c:pt>
                <c:pt idx="126">
                  <c:v>46227</c:v>
                </c:pt>
                <c:pt idx="127">
                  <c:v>46228</c:v>
                </c:pt>
                <c:pt idx="128">
                  <c:v>46229</c:v>
                </c:pt>
                <c:pt idx="129">
                  <c:v>46230</c:v>
                </c:pt>
                <c:pt idx="130">
                  <c:v>46231</c:v>
                </c:pt>
                <c:pt idx="131">
                  <c:v>46232</c:v>
                </c:pt>
                <c:pt idx="132">
                  <c:v>46233</c:v>
                </c:pt>
                <c:pt idx="133">
                  <c:v>46234</c:v>
                </c:pt>
                <c:pt idx="134">
                  <c:v>46235</c:v>
                </c:pt>
                <c:pt idx="135">
                  <c:v>46236</c:v>
                </c:pt>
                <c:pt idx="136">
                  <c:v>46237</c:v>
                </c:pt>
                <c:pt idx="137">
                  <c:v>46238</c:v>
                </c:pt>
                <c:pt idx="138">
                  <c:v>46239</c:v>
                </c:pt>
                <c:pt idx="139">
                  <c:v>46240</c:v>
                </c:pt>
                <c:pt idx="140">
                  <c:v>46241</c:v>
                </c:pt>
                <c:pt idx="141">
                  <c:v>46242</c:v>
                </c:pt>
                <c:pt idx="142">
                  <c:v>46243</c:v>
                </c:pt>
                <c:pt idx="143">
                  <c:v>46244</c:v>
                </c:pt>
                <c:pt idx="144">
                  <c:v>46245</c:v>
                </c:pt>
                <c:pt idx="145">
                  <c:v>46246</c:v>
                </c:pt>
                <c:pt idx="146">
                  <c:v>46247</c:v>
                </c:pt>
                <c:pt idx="147">
                  <c:v>46248</c:v>
                </c:pt>
                <c:pt idx="148">
                  <c:v>46249</c:v>
                </c:pt>
                <c:pt idx="149">
                  <c:v>46250</c:v>
                </c:pt>
                <c:pt idx="150">
                  <c:v>46251</c:v>
                </c:pt>
                <c:pt idx="151">
                  <c:v>46252</c:v>
                </c:pt>
                <c:pt idx="152">
                  <c:v>46253</c:v>
                </c:pt>
                <c:pt idx="153">
                  <c:v>46254</c:v>
                </c:pt>
                <c:pt idx="154">
                  <c:v>46255</c:v>
                </c:pt>
                <c:pt idx="155">
                  <c:v>46256</c:v>
                </c:pt>
                <c:pt idx="156">
                  <c:v>46257</c:v>
                </c:pt>
                <c:pt idx="157">
                  <c:v>46258</c:v>
                </c:pt>
                <c:pt idx="158">
                  <c:v>46259</c:v>
                </c:pt>
                <c:pt idx="159">
                  <c:v>46260</c:v>
                </c:pt>
                <c:pt idx="160">
                  <c:v>46261</c:v>
                </c:pt>
                <c:pt idx="161">
                  <c:v>46262</c:v>
                </c:pt>
                <c:pt idx="162">
                  <c:v>46263</c:v>
                </c:pt>
                <c:pt idx="163">
                  <c:v>46264</c:v>
                </c:pt>
                <c:pt idx="164">
                  <c:v>46265</c:v>
                </c:pt>
                <c:pt idx="165">
                  <c:v>46266</c:v>
                </c:pt>
                <c:pt idx="166">
                  <c:v>46267</c:v>
                </c:pt>
                <c:pt idx="167">
                  <c:v>46268</c:v>
                </c:pt>
                <c:pt idx="168">
                  <c:v>46269</c:v>
                </c:pt>
                <c:pt idx="169">
                  <c:v>46270</c:v>
                </c:pt>
                <c:pt idx="170">
                  <c:v>46271</c:v>
                </c:pt>
                <c:pt idx="171">
                  <c:v>46272</c:v>
                </c:pt>
              </c:numCache>
            </c:numRef>
          </c:cat>
          <c:val>
            <c:numRef>
              <c:f>'Curva S'!$D$2:$D$173</c:f>
              <c:numCache>
                <c:formatCode>General</c:formatCode>
                <c:ptCount val="1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</c:v>
                </c:pt>
                <c:pt idx="75">
                  <c:v>1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FA-416C-B3CD-5F2F791ED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7439727"/>
        <c:axId val="1737437807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S'!$A$2:$A$173</c:f>
              <c:numCache>
                <c:formatCode>m/d/yyyy</c:formatCode>
                <c:ptCount val="172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  <c:pt idx="119">
                  <c:v>46220</c:v>
                </c:pt>
                <c:pt idx="120">
                  <c:v>46221</c:v>
                </c:pt>
                <c:pt idx="121">
                  <c:v>46222</c:v>
                </c:pt>
                <c:pt idx="122">
                  <c:v>46223</c:v>
                </c:pt>
                <c:pt idx="123">
                  <c:v>46224</c:v>
                </c:pt>
                <c:pt idx="124">
                  <c:v>46225</c:v>
                </c:pt>
                <c:pt idx="125">
                  <c:v>46226</c:v>
                </c:pt>
                <c:pt idx="126">
                  <c:v>46227</c:v>
                </c:pt>
                <c:pt idx="127">
                  <c:v>46228</c:v>
                </c:pt>
                <c:pt idx="128">
                  <c:v>46229</c:v>
                </c:pt>
                <c:pt idx="129">
                  <c:v>46230</c:v>
                </c:pt>
                <c:pt idx="130">
                  <c:v>46231</c:v>
                </c:pt>
                <c:pt idx="131">
                  <c:v>46232</c:v>
                </c:pt>
                <c:pt idx="132">
                  <c:v>46233</c:v>
                </c:pt>
                <c:pt idx="133">
                  <c:v>46234</c:v>
                </c:pt>
                <c:pt idx="134">
                  <c:v>46235</c:v>
                </c:pt>
                <c:pt idx="135">
                  <c:v>46236</c:v>
                </c:pt>
                <c:pt idx="136">
                  <c:v>46237</c:v>
                </c:pt>
                <c:pt idx="137">
                  <c:v>46238</c:v>
                </c:pt>
                <c:pt idx="138">
                  <c:v>46239</c:v>
                </c:pt>
                <c:pt idx="139">
                  <c:v>46240</c:v>
                </c:pt>
                <c:pt idx="140">
                  <c:v>46241</c:v>
                </c:pt>
                <c:pt idx="141">
                  <c:v>46242</c:v>
                </c:pt>
                <c:pt idx="142">
                  <c:v>46243</c:v>
                </c:pt>
                <c:pt idx="143">
                  <c:v>46244</c:v>
                </c:pt>
                <c:pt idx="144">
                  <c:v>46245</c:v>
                </c:pt>
                <c:pt idx="145">
                  <c:v>46246</c:v>
                </c:pt>
                <c:pt idx="146">
                  <c:v>46247</c:v>
                </c:pt>
                <c:pt idx="147">
                  <c:v>46248</c:v>
                </c:pt>
                <c:pt idx="148">
                  <c:v>46249</c:v>
                </c:pt>
                <c:pt idx="149">
                  <c:v>46250</c:v>
                </c:pt>
                <c:pt idx="150">
                  <c:v>46251</c:v>
                </c:pt>
                <c:pt idx="151">
                  <c:v>46252</c:v>
                </c:pt>
                <c:pt idx="152">
                  <c:v>46253</c:v>
                </c:pt>
                <c:pt idx="153">
                  <c:v>46254</c:v>
                </c:pt>
                <c:pt idx="154">
                  <c:v>46255</c:v>
                </c:pt>
                <c:pt idx="155">
                  <c:v>46256</c:v>
                </c:pt>
                <c:pt idx="156">
                  <c:v>46257</c:v>
                </c:pt>
                <c:pt idx="157">
                  <c:v>46258</c:v>
                </c:pt>
                <c:pt idx="158">
                  <c:v>46259</c:v>
                </c:pt>
                <c:pt idx="159">
                  <c:v>46260</c:v>
                </c:pt>
                <c:pt idx="160">
                  <c:v>46261</c:v>
                </c:pt>
                <c:pt idx="161">
                  <c:v>46262</c:v>
                </c:pt>
                <c:pt idx="162">
                  <c:v>46263</c:v>
                </c:pt>
                <c:pt idx="163">
                  <c:v>46264</c:v>
                </c:pt>
                <c:pt idx="164">
                  <c:v>46265</c:v>
                </c:pt>
                <c:pt idx="165">
                  <c:v>46266</c:v>
                </c:pt>
                <c:pt idx="166">
                  <c:v>46267</c:v>
                </c:pt>
                <c:pt idx="167">
                  <c:v>46268</c:v>
                </c:pt>
                <c:pt idx="168">
                  <c:v>46269</c:v>
                </c:pt>
                <c:pt idx="169">
                  <c:v>46270</c:v>
                </c:pt>
                <c:pt idx="170">
                  <c:v>46271</c:v>
                </c:pt>
                <c:pt idx="171">
                  <c:v>46272</c:v>
                </c:pt>
              </c:numCache>
            </c:numRef>
          </c:cat>
          <c:val>
            <c:numRef>
              <c:f>'Curva S'!$C$2:$C$173</c:f>
              <c:numCache>
                <c:formatCode>General</c:formatCode>
                <c:ptCount val="1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8</c:v>
                </c:pt>
                <c:pt idx="68">
                  <c:v>11</c:v>
                </c:pt>
                <c:pt idx="69">
                  <c:v>11</c:v>
                </c:pt>
                <c:pt idx="70">
                  <c:v>11</c:v>
                </c:pt>
                <c:pt idx="71">
                  <c:v>11</c:v>
                </c:pt>
                <c:pt idx="72">
                  <c:v>11</c:v>
                </c:pt>
                <c:pt idx="73">
                  <c:v>12</c:v>
                </c:pt>
                <c:pt idx="74">
                  <c:v>12</c:v>
                </c:pt>
                <c:pt idx="75">
                  <c:v>12</c:v>
                </c:pt>
                <c:pt idx="76">
                  <c:v>14</c:v>
                </c:pt>
                <c:pt idx="77">
                  <c:v>14</c:v>
                </c:pt>
                <c:pt idx="78">
                  <c:v>14</c:v>
                </c:pt>
                <c:pt idx="79">
                  <c:v>14</c:v>
                </c:pt>
                <c:pt idx="80">
                  <c:v>14</c:v>
                </c:pt>
                <c:pt idx="81">
                  <c:v>14</c:v>
                </c:pt>
                <c:pt idx="82">
                  <c:v>14</c:v>
                </c:pt>
                <c:pt idx="83">
                  <c:v>14</c:v>
                </c:pt>
                <c:pt idx="84">
                  <c:v>14</c:v>
                </c:pt>
                <c:pt idx="85">
                  <c:v>14</c:v>
                </c:pt>
                <c:pt idx="86">
                  <c:v>14</c:v>
                </c:pt>
                <c:pt idx="87">
                  <c:v>20</c:v>
                </c:pt>
                <c:pt idx="88">
                  <c:v>20</c:v>
                </c:pt>
                <c:pt idx="89">
                  <c:v>20</c:v>
                </c:pt>
                <c:pt idx="90">
                  <c:v>20</c:v>
                </c:pt>
                <c:pt idx="91">
                  <c:v>23</c:v>
                </c:pt>
                <c:pt idx="92">
                  <c:v>23</c:v>
                </c:pt>
                <c:pt idx="93">
                  <c:v>23</c:v>
                </c:pt>
                <c:pt idx="94">
                  <c:v>24</c:v>
                </c:pt>
                <c:pt idx="95">
                  <c:v>26</c:v>
                </c:pt>
                <c:pt idx="96">
                  <c:v>26</c:v>
                </c:pt>
                <c:pt idx="97">
                  <c:v>26</c:v>
                </c:pt>
                <c:pt idx="98">
                  <c:v>26</c:v>
                </c:pt>
                <c:pt idx="99">
                  <c:v>26</c:v>
                </c:pt>
                <c:pt idx="100">
                  <c:v>26</c:v>
                </c:pt>
                <c:pt idx="101">
                  <c:v>26</c:v>
                </c:pt>
                <c:pt idx="102">
                  <c:v>26</c:v>
                </c:pt>
                <c:pt idx="103">
                  <c:v>26</c:v>
                </c:pt>
                <c:pt idx="104">
                  <c:v>26</c:v>
                </c:pt>
                <c:pt idx="105">
                  <c:v>26</c:v>
                </c:pt>
                <c:pt idx="106">
                  <c:v>26</c:v>
                </c:pt>
                <c:pt idx="107">
                  <c:v>26</c:v>
                </c:pt>
                <c:pt idx="108">
                  <c:v>26</c:v>
                </c:pt>
                <c:pt idx="109">
                  <c:v>26</c:v>
                </c:pt>
                <c:pt idx="110">
                  <c:v>26</c:v>
                </c:pt>
                <c:pt idx="111">
                  <c:v>26</c:v>
                </c:pt>
                <c:pt idx="112">
                  <c:v>26</c:v>
                </c:pt>
                <c:pt idx="113">
                  <c:v>26</c:v>
                </c:pt>
                <c:pt idx="114">
                  <c:v>26</c:v>
                </c:pt>
                <c:pt idx="115">
                  <c:v>26</c:v>
                </c:pt>
                <c:pt idx="116">
                  <c:v>26</c:v>
                </c:pt>
                <c:pt idx="117">
                  <c:v>26</c:v>
                </c:pt>
                <c:pt idx="118">
                  <c:v>26</c:v>
                </c:pt>
                <c:pt idx="119">
                  <c:v>26</c:v>
                </c:pt>
                <c:pt idx="120">
                  <c:v>26</c:v>
                </c:pt>
                <c:pt idx="121">
                  <c:v>26</c:v>
                </c:pt>
                <c:pt idx="122">
                  <c:v>26</c:v>
                </c:pt>
                <c:pt idx="123">
                  <c:v>26</c:v>
                </c:pt>
                <c:pt idx="124">
                  <c:v>27</c:v>
                </c:pt>
                <c:pt idx="125">
                  <c:v>27</c:v>
                </c:pt>
                <c:pt idx="126">
                  <c:v>27</c:v>
                </c:pt>
                <c:pt idx="127">
                  <c:v>27</c:v>
                </c:pt>
                <c:pt idx="128">
                  <c:v>27</c:v>
                </c:pt>
                <c:pt idx="129">
                  <c:v>27</c:v>
                </c:pt>
                <c:pt idx="130">
                  <c:v>27</c:v>
                </c:pt>
                <c:pt idx="131">
                  <c:v>27</c:v>
                </c:pt>
                <c:pt idx="132">
                  <c:v>27</c:v>
                </c:pt>
                <c:pt idx="133">
                  <c:v>27</c:v>
                </c:pt>
                <c:pt idx="134">
                  <c:v>27</c:v>
                </c:pt>
                <c:pt idx="135">
                  <c:v>27</c:v>
                </c:pt>
                <c:pt idx="136">
                  <c:v>27</c:v>
                </c:pt>
                <c:pt idx="137">
                  <c:v>27</c:v>
                </c:pt>
                <c:pt idx="138">
                  <c:v>27</c:v>
                </c:pt>
                <c:pt idx="139">
                  <c:v>27</c:v>
                </c:pt>
                <c:pt idx="140">
                  <c:v>27</c:v>
                </c:pt>
                <c:pt idx="141">
                  <c:v>27</c:v>
                </c:pt>
                <c:pt idx="142">
                  <c:v>27</c:v>
                </c:pt>
                <c:pt idx="143">
                  <c:v>27</c:v>
                </c:pt>
                <c:pt idx="144">
                  <c:v>27</c:v>
                </c:pt>
                <c:pt idx="145">
                  <c:v>27</c:v>
                </c:pt>
                <c:pt idx="146">
                  <c:v>27</c:v>
                </c:pt>
                <c:pt idx="147">
                  <c:v>27</c:v>
                </c:pt>
                <c:pt idx="148">
                  <c:v>27</c:v>
                </c:pt>
                <c:pt idx="149">
                  <c:v>27</c:v>
                </c:pt>
                <c:pt idx="150">
                  <c:v>27</c:v>
                </c:pt>
                <c:pt idx="151">
                  <c:v>27</c:v>
                </c:pt>
                <c:pt idx="152">
                  <c:v>27</c:v>
                </c:pt>
                <c:pt idx="153">
                  <c:v>27</c:v>
                </c:pt>
                <c:pt idx="154">
                  <c:v>27</c:v>
                </c:pt>
                <c:pt idx="155">
                  <c:v>27</c:v>
                </c:pt>
                <c:pt idx="156">
                  <c:v>27</c:v>
                </c:pt>
                <c:pt idx="157">
                  <c:v>27</c:v>
                </c:pt>
                <c:pt idx="158">
                  <c:v>27</c:v>
                </c:pt>
                <c:pt idx="159">
                  <c:v>27</c:v>
                </c:pt>
                <c:pt idx="160">
                  <c:v>27</c:v>
                </c:pt>
                <c:pt idx="161">
                  <c:v>27</c:v>
                </c:pt>
                <c:pt idx="162">
                  <c:v>27</c:v>
                </c:pt>
                <c:pt idx="163">
                  <c:v>27</c:v>
                </c:pt>
                <c:pt idx="164">
                  <c:v>27</c:v>
                </c:pt>
                <c:pt idx="165">
                  <c:v>27</c:v>
                </c:pt>
                <c:pt idx="166">
                  <c:v>27</c:v>
                </c:pt>
                <c:pt idx="167">
                  <c:v>27</c:v>
                </c:pt>
                <c:pt idx="168">
                  <c:v>27</c:v>
                </c:pt>
                <c:pt idx="169">
                  <c:v>27</c:v>
                </c:pt>
                <c:pt idx="170">
                  <c:v>27</c:v>
                </c:pt>
                <c:pt idx="171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FA-416C-B3CD-5F2F791EDE39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'Curva S'!$A$2:$A$173</c:f>
              <c:numCache>
                <c:formatCode>m/d/yyyy</c:formatCode>
                <c:ptCount val="172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  <c:pt idx="119">
                  <c:v>46220</c:v>
                </c:pt>
                <c:pt idx="120">
                  <c:v>46221</c:v>
                </c:pt>
                <c:pt idx="121">
                  <c:v>46222</c:v>
                </c:pt>
                <c:pt idx="122">
                  <c:v>46223</c:v>
                </c:pt>
                <c:pt idx="123">
                  <c:v>46224</c:v>
                </c:pt>
                <c:pt idx="124">
                  <c:v>46225</c:v>
                </c:pt>
                <c:pt idx="125">
                  <c:v>46226</c:v>
                </c:pt>
                <c:pt idx="126">
                  <c:v>46227</c:v>
                </c:pt>
                <c:pt idx="127">
                  <c:v>46228</c:v>
                </c:pt>
                <c:pt idx="128">
                  <c:v>46229</c:v>
                </c:pt>
                <c:pt idx="129">
                  <c:v>46230</c:v>
                </c:pt>
                <c:pt idx="130">
                  <c:v>46231</c:v>
                </c:pt>
                <c:pt idx="131">
                  <c:v>46232</c:v>
                </c:pt>
                <c:pt idx="132">
                  <c:v>46233</c:v>
                </c:pt>
                <c:pt idx="133">
                  <c:v>46234</c:v>
                </c:pt>
                <c:pt idx="134">
                  <c:v>46235</c:v>
                </c:pt>
                <c:pt idx="135">
                  <c:v>46236</c:v>
                </c:pt>
                <c:pt idx="136">
                  <c:v>46237</c:v>
                </c:pt>
                <c:pt idx="137">
                  <c:v>46238</c:v>
                </c:pt>
                <c:pt idx="138">
                  <c:v>46239</c:v>
                </c:pt>
                <c:pt idx="139">
                  <c:v>46240</c:v>
                </c:pt>
                <c:pt idx="140">
                  <c:v>46241</c:v>
                </c:pt>
                <c:pt idx="141">
                  <c:v>46242</c:v>
                </c:pt>
                <c:pt idx="142">
                  <c:v>46243</c:v>
                </c:pt>
                <c:pt idx="143">
                  <c:v>46244</c:v>
                </c:pt>
                <c:pt idx="144">
                  <c:v>46245</c:v>
                </c:pt>
                <c:pt idx="145">
                  <c:v>46246</c:v>
                </c:pt>
                <c:pt idx="146">
                  <c:v>46247</c:v>
                </c:pt>
                <c:pt idx="147">
                  <c:v>46248</c:v>
                </c:pt>
                <c:pt idx="148">
                  <c:v>46249</c:v>
                </c:pt>
                <c:pt idx="149">
                  <c:v>46250</c:v>
                </c:pt>
                <c:pt idx="150">
                  <c:v>46251</c:v>
                </c:pt>
                <c:pt idx="151">
                  <c:v>46252</c:v>
                </c:pt>
                <c:pt idx="152">
                  <c:v>46253</c:v>
                </c:pt>
                <c:pt idx="153">
                  <c:v>46254</c:v>
                </c:pt>
                <c:pt idx="154">
                  <c:v>46255</c:v>
                </c:pt>
                <c:pt idx="155">
                  <c:v>46256</c:v>
                </c:pt>
                <c:pt idx="156">
                  <c:v>46257</c:v>
                </c:pt>
                <c:pt idx="157">
                  <c:v>46258</c:v>
                </c:pt>
                <c:pt idx="158">
                  <c:v>46259</c:v>
                </c:pt>
                <c:pt idx="159">
                  <c:v>46260</c:v>
                </c:pt>
                <c:pt idx="160">
                  <c:v>46261</c:v>
                </c:pt>
                <c:pt idx="161">
                  <c:v>46262</c:v>
                </c:pt>
                <c:pt idx="162">
                  <c:v>46263</c:v>
                </c:pt>
                <c:pt idx="163">
                  <c:v>46264</c:v>
                </c:pt>
                <c:pt idx="164">
                  <c:v>46265</c:v>
                </c:pt>
                <c:pt idx="165">
                  <c:v>46266</c:v>
                </c:pt>
                <c:pt idx="166">
                  <c:v>46267</c:v>
                </c:pt>
                <c:pt idx="167">
                  <c:v>46268</c:v>
                </c:pt>
                <c:pt idx="168">
                  <c:v>46269</c:v>
                </c:pt>
                <c:pt idx="169">
                  <c:v>46270</c:v>
                </c:pt>
                <c:pt idx="170">
                  <c:v>46271</c:v>
                </c:pt>
                <c:pt idx="171">
                  <c:v>46272</c:v>
                </c:pt>
              </c:numCache>
            </c:numRef>
          </c:cat>
          <c:val>
            <c:numRef>
              <c:f>'Curva S'!$E$2:$E$173</c:f>
              <c:numCache>
                <c:formatCode>General</c:formatCode>
                <c:ptCount val="1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5</c:v>
                </c:pt>
                <c:pt idx="75">
                  <c:v>6</c:v>
                </c:pt>
                <c:pt idx="76">
                  <c:v>6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8</c:v>
                </c:pt>
                <c:pt idx="85">
                  <c:v>8</c:v>
                </c:pt>
                <c:pt idx="86">
                  <c:v>8</c:v>
                </c:pt>
                <c:pt idx="87">
                  <c:v>9</c:v>
                </c:pt>
                <c:pt idx="88">
                  <c:v>9</c:v>
                </c:pt>
                <c:pt idx="89">
                  <c:v>9</c:v>
                </c:pt>
                <c:pt idx="90">
                  <c:v>9</c:v>
                </c:pt>
                <c:pt idx="91">
                  <c:v>9</c:v>
                </c:pt>
                <c:pt idx="92">
                  <c:v>9</c:v>
                </c:pt>
                <c:pt idx="93">
                  <c:v>9</c:v>
                </c:pt>
                <c:pt idx="94">
                  <c:v>9</c:v>
                </c:pt>
                <c:pt idx="95">
                  <c:v>9</c:v>
                </c:pt>
                <c:pt idx="96">
                  <c:v>10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  <c:pt idx="100">
                  <c:v>10</c:v>
                </c:pt>
                <c:pt idx="101">
                  <c:v>10</c:v>
                </c:pt>
                <c:pt idx="102">
                  <c:v>10</c:v>
                </c:pt>
                <c:pt idx="103">
                  <c:v>10</c:v>
                </c:pt>
                <c:pt idx="104">
                  <c:v>10</c:v>
                </c:pt>
                <c:pt idx="105">
                  <c:v>10</c:v>
                </c:pt>
                <c:pt idx="106">
                  <c:v>10</c:v>
                </c:pt>
                <c:pt idx="107">
                  <c:v>10</c:v>
                </c:pt>
                <c:pt idx="108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DFA-416C-B3CD-5F2F791ED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432527"/>
        <c:axId val="1737433007"/>
      </c:lineChart>
      <c:dateAx>
        <c:axId val="173743252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3007"/>
        <c:crosses val="autoZero"/>
        <c:auto val="1"/>
        <c:lblOffset val="100"/>
        <c:baseTimeUnit val="days"/>
      </c:dateAx>
      <c:valAx>
        <c:axId val="173743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2527"/>
        <c:crosses val="autoZero"/>
        <c:crossBetween val="between"/>
      </c:valAx>
      <c:valAx>
        <c:axId val="173743780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9727"/>
        <c:crosses val="max"/>
        <c:crossBetween val="between"/>
      </c:valAx>
      <c:dateAx>
        <c:axId val="173743972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3743780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rgbClr val="FFFF00"/>
                </a:solidFill>
              </a:rPr>
              <a:t>Curva S - Emissão inicial e Aprovação - Status 06/07/2026</a:t>
            </a:r>
          </a:p>
        </c:rich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S'!$A$2:$A$173</c:f>
              <c:numCache>
                <c:formatCode>m/d/yyyy</c:formatCode>
                <c:ptCount val="172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  <c:pt idx="119">
                  <c:v>46220</c:v>
                </c:pt>
                <c:pt idx="120">
                  <c:v>46221</c:v>
                </c:pt>
                <c:pt idx="121">
                  <c:v>46222</c:v>
                </c:pt>
                <c:pt idx="122">
                  <c:v>46223</c:v>
                </c:pt>
                <c:pt idx="123">
                  <c:v>46224</c:v>
                </c:pt>
                <c:pt idx="124">
                  <c:v>46225</c:v>
                </c:pt>
                <c:pt idx="125">
                  <c:v>46226</c:v>
                </c:pt>
                <c:pt idx="126">
                  <c:v>46227</c:v>
                </c:pt>
                <c:pt idx="127">
                  <c:v>46228</c:v>
                </c:pt>
                <c:pt idx="128">
                  <c:v>46229</c:v>
                </c:pt>
                <c:pt idx="129">
                  <c:v>46230</c:v>
                </c:pt>
                <c:pt idx="130">
                  <c:v>46231</c:v>
                </c:pt>
                <c:pt idx="131">
                  <c:v>46232</c:v>
                </c:pt>
                <c:pt idx="132">
                  <c:v>46233</c:v>
                </c:pt>
                <c:pt idx="133">
                  <c:v>46234</c:v>
                </c:pt>
                <c:pt idx="134">
                  <c:v>46235</c:v>
                </c:pt>
                <c:pt idx="135">
                  <c:v>46236</c:v>
                </c:pt>
                <c:pt idx="136">
                  <c:v>46237</c:v>
                </c:pt>
                <c:pt idx="137">
                  <c:v>46238</c:v>
                </c:pt>
                <c:pt idx="138">
                  <c:v>46239</c:v>
                </c:pt>
                <c:pt idx="139">
                  <c:v>46240</c:v>
                </c:pt>
                <c:pt idx="140">
                  <c:v>46241</c:v>
                </c:pt>
                <c:pt idx="141">
                  <c:v>46242</c:v>
                </c:pt>
                <c:pt idx="142">
                  <c:v>46243</c:v>
                </c:pt>
                <c:pt idx="143">
                  <c:v>46244</c:v>
                </c:pt>
                <c:pt idx="144">
                  <c:v>46245</c:v>
                </c:pt>
                <c:pt idx="145">
                  <c:v>46246</c:v>
                </c:pt>
                <c:pt idx="146">
                  <c:v>46247</c:v>
                </c:pt>
                <c:pt idx="147">
                  <c:v>46248</c:v>
                </c:pt>
                <c:pt idx="148">
                  <c:v>46249</c:v>
                </c:pt>
                <c:pt idx="149">
                  <c:v>46250</c:v>
                </c:pt>
                <c:pt idx="150">
                  <c:v>46251</c:v>
                </c:pt>
                <c:pt idx="151">
                  <c:v>46252</c:v>
                </c:pt>
                <c:pt idx="152">
                  <c:v>46253</c:v>
                </c:pt>
                <c:pt idx="153">
                  <c:v>46254</c:v>
                </c:pt>
                <c:pt idx="154">
                  <c:v>46255</c:v>
                </c:pt>
                <c:pt idx="155">
                  <c:v>46256</c:v>
                </c:pt>
                <c:pt idx="156">
                  <c:v>46257</c:v>
                </c:pt>
                <c:pt idx="157">
                  <c:v>46258</c:v>
                </c:pt>
                <c:pt idx="158">
                  <c:v>46259</c:v>
                </c:pt>
                <c:pt idx="159">
                  <c:v>46260</c:v>
                </c:pt>
                <c:pt idx="160">
                  <c:v>46261</c:v>
                </c:pt>
                <c:pt idx="161">
                  <c:v>46262</c:v>
                </c:pt>
                <c:pt idx="162">
                  <c:v>46263</c:v>
                </c:pt>
                <c:pt idx="163">
                  <c:v>46264</c:v>
                </c:pt>
                <c:pt idx="164">
                  <c:v>46265</c:v>
                </c:pt>
                <c:pt idx="165">
                  <c:v>46266</c:v>
                </c:pt>
                <c:pt idx="166">
                  <c:v>46267</c:v>
                </c:pt>
                <c:pt idx="167">
                  <c:v>46268</c:v>
                </c:pt>
                <c:pt idx="168">
                  <c:v>46269</c:v>
                </c:pt>
                <c:pt idx="169">
                  <c:v>46270</c:v>
                </c:pt>
                <c:pt idx="170">
                  <c:v>46271</c:v>
                </c:pt>
                <c:pt idx="171">
                  <c:v>46272</c:v>
                </c:pt>
              </c:numCache>
            </c:numRef>
          </c:cat>
          <c:val>
            <c:numRef>
              <c:f>'Curva S'!$B$2:$B$173</c:f>
              <c:numCache>
                <c:formatCode>General</c:formatCode>
                <c:ptCount val="1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3</c:v>
                </c:pt>
                <c:pt idx="68">
                  <c:v>3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0</c:v>
                </c:pt>
                <c:pt idx="75">
                  <c:v>0</c:v>
                </c:pt>
                <c:pt idx="76">
                  <c:v>2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6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3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2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1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BB-439B-961D-ADBD6EED81C8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'Curva S'!$A$2:$A$173</c:f>
              <c:numCache>
                <c:formatCode>m/d/yyyy</c:formatCode>
                <c:ptCount val="172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  <c:pt idx="119">
                  <c:v>46220</c:v>
                </c:pt>
                <c:pt idx="120">
                  <c:v>46221</c:v>
                </c:pt>
                <c:pt idx="121">
                  <c:v>46222</c:v>
                </c:pt>
                <c:pt idx="122">
                  <c:v>46223</c:v>
                </c:pt>
                <c:pt idx="123">
                  <c:v>46224</c:v>
                </c:pt>
                <c:pt idx="124">
                  <c:v>46225</c:v>
                </c:pt>
                <c:pt idx="125">
                  <c:v>46226</c:v>
                </c:pt>
                <c:pt idx="126">
                  <c:v>46227</c:v>
                </c:pt>
                <c:pt idx="127">
                  <c:v>46228</c:v>
                </c:pt>
                <c:pt idx="128">
                  <c:v>46229</c:v>
                </c:pt>
                <c:pt idx="129">
                  <c:v>46230</c:v>
                </c:pt>
                <c:pt idx="130">
                  <c:v>46231</c:v>
                </c:pt>
                <c:pt idx="131">
                  <c:v>46232</c:v>
                </c:pt>
                <c:pt idx="132">
                  <c:v>46233</c:v>
                </c:pt>
                <c:pt idx="133">
                  <c:v>46234</c:v>
                </c:pt>
                <c:pt idx="134">
                  <c:v>46235</c:v>
                </c:pt>
                <c:pt idx="135">
                  <c:v>46236</c:v>
                </c:pt>
                <c:pt idx="136">
                  <c:v>46237</c:v>
                </c:pt>
                <c:pt idx="137">
                  <c:v>46238</c:v>
                </c:pt>
                <c:pt idx="138">
                  <c:v>46239</c:v>
                </c:pt>
                <c:pt idx="139">
                  <c:v>46240</c:v>
                </c:pt>
                <c:pt idx="140">
                  <c:v>46241</c:v>
                </c:pt>
                <c:pt idx="141">
                  <c:v>46242</c:v>
                </c:pt>
                <c:pt idx="142">
                  <c:v>46243</c:v>
                </c:pt>
                <c:pt idx="143">
                  <c:v>46244</c:v>
                </c:pt>
                <c:pt idx="144">
                  <c:v>46245</c:v>
                </c:pt>
                <c:pt idx="145">
                  <c:v>46246</c:v>
                </c:pt>
                <c:pt idx="146">
                  <c:v>46247</c:v>
                </c:pt>
                <c:pt idx="147">
                  <c:v>46248</c:v>
                </c:pt>
                <c:pt idx="148">
                  <c:v>46249</c:v>
                </c:pt>
                <c:pt idx="149">
                  <c:v>46250</c:v>
                </c:pt>
                <c:pt idx="150">
                  <c:v>46251</c:v>
                </c:pt>
                <c:pt idx="151">
                  <c:v>46252</c:v>
                </c:pt>
                <c:pt idx="152">
                  <c:v>46253</c:v>
                </c:pt>
                <c:pt idx="153">
                  <c:v>46254</c:v>
                </c:pt>
                <c:pt idx="154">
                  <c:v>46255</c:v>
                </c:pt>
                <c:pt idx="155">
                  <c:v>46256</c:v>
                </c:pt>
                <c:pt idx="156">
                  <c:v>46257</c:v>
                </c:pt>
                <c:pt idx="157">
                  <c:v>46258</c:v>
                </c:pt>
                <c:pt idx="158">
                  <c:v>46259</c:v>
                </c:pt>
                <c:pt idx="159">
                  <c:v>46260</c:v>
                </c:pt>
                <c:pt idx="160">
                  <c:v>46261</c:v>
                </c:pt>
                <c:pt idx="161">
                  <c:v>46262</c:v>
                </c:pt>
                <c:pt idx="162">
                  <c:v>46263</c:v>
                </c:pt>
                <c:pt idx="163">
                  <c:v>46264</c:v>
                </c:pt>
                <c:pt idx="164">
                  <c:v>46265</c:v>
                </c:pt>
                <c:pt idx="165">
                  <c:v>46266</c:v>
                </c:pt>
                <c:pt idx="166">
                  <c:v>46267</c:v>
                </c:pt>
                <c:pt idx="167">
                  <c:v>46268</c:v>
                </c:pt>
                <c:pt idx="168">
                  <c:v>46269</c:v>
                </c:pt>
                <c:pt idx="169">
                  <c:v>46270</c:v>
                </c:pt>
                <c:pt idx="170">
                  <c:v>46271</c:v>
                </c:pt>
                <c:pt idx="171">
                  <c:v>46272</c:v>
                </c:pt>
              </c:numCache>
            </c:numRef>
          </c:cat>
          <c:val>
            <c:numRef>
              <c:f>'Curva S'!$D$2:$D$173</c:f>
              <c:numCache>
                <c:formatCode>General</c:formatCode>
                <c:ptCount val="1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</c:v>
                </c:pt>
                <c:pt idx="75">
                  <c:v>1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BB-439B-961D-ADBD6EED81C8}"/>
            </c:ext>
          </c:extLst>
        </c:ser>
        <c:ser>
          <c:idx val="4"/>
          <c:order val="4"/>
          <c:tx>
            <c:strRef>
              <c:f>'Curva S'!$F$1</c:f>
              <c:strCache>
                <c:ptCount val="1"/>
                <c:pt idx="0">
                  <c:v>Aprovação prevista na LB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S'!$A$2:$A$173</c:f>
              <c:numCache>
                <c:formatCode>m/d/yyyy</c:formatCode>
                <c:ptCount val="172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  <c:pt idx="119">
                  <c:v>46220</c:v>
                </c:pt>
                <c:pt idx="120">
                  <c:v>46221</c:v>
                </c:pt>
                <c:pt idx="121">
                  <c:v>46222</c:v>
                </c:pt>
                <c:pt idx="122">
                  <c:v>46223</c:v>
                </c:pt>
                <c:pt idx="123">
                  <c:v>46224</c:v>
                </c:pt>
                <c:pt idx="124">
                  <c:v>46225</c:v>
                </c:pt>
                <c:pt idx="125">
                  <c:v>46226</c:v>
                </c:pt>
                <c:pt idx="126">
                  <c:v>46227</c:v>
                </c:pt>
                <c:pt idx="127">
                  <c:v>46228</c:v>
                </c:pt>
                <c:pt idx="128">
                  <c:v>46229</c:v>
                </c:pt>
                <c:pt idx="129">
                  <c:v>46230</c:v>
                </c:pt>
                <c:pt idx="130">
                  <c:v>46231</c:v>
                </c:pt>
                <c:pt idx="131">
                  <c:v>46232</c:v>
                </c:pt>
                <c:pt idx="132">
                  <c:v>46233</c:v>
                </c:pt>
                <c:pt idx="133">
                  <c:v>46234</c:v>
                </c:pt>
                <c:pt idx="134">
                  <c:v>46235</c:v>
                </c:pt>
                <c:pt idx="135">
                  <c:v>46236</c:v>
                </c:pt>
                <c:pt idx="136">
                  <c:v>46237</c:v>
                </c:pt>
                <c:pt idx="137">
                  <c:v>46238</c:v>
                </c:pt>
                <c:pt idx="138">
                  <c:v>46239</c:v>
                </c:pt>
                <c:pt idx="139">
                  <c:v>46240</c:v>
                </c:pt>
                <c:pt idx="140">
                  <c:v>46241</c:v>
                </c:pt>
                <c:pt idx="141">
                  <c:v>46242</c:v>
                </c:pt>
                <c:pt idx="142">
                  <c:v>46243</c:v>
                </c:pt>
                <c:pt idx="143">
                  <c:v>46244</c:v>
                </c:pt>
                <c:pt idx="144">
                  <c:v>46245</c:v>
                </c:pt>
                <c:pt idx="145">
                  <c:v>46246</c:v>
                </c:pt>
                <c:pt idx="146">
                  <c:v>46247</c:v>
                </c:pt>
                <c:pt idx="147">
                  <c:v>46248</c:v>
                </c:pt>
                <c:pt idx="148">
                  <c:v>46249</c:v>
                </c:pt>
                <c:pt idx="149">
                  <c:v>46250</c:v>
                </c:pt>
                <c:pt idx="150">
                  <c:v>46251</c:v>
                </c:pt>
                <c:pt idx="151">
                  <c:v>46252</c:v>
                </c:pt>
                <c:pt idx="152">
                  <c:v>46253</c:v>
                </c:pt>
                <c:pt idx="153">
                  <c:v>46254</c:v>
                </c:pt>
                <c:pt idx="154">
                  <c:v>46255</c:v>
                </c:pt>
                <c:pt idx="155">
                  <c:v>46256</c:v>
                </c:pt>
                <c:pt idx="156">
                  <c:v>46257</c:v>
                </c:pt>
                <c:pt idx="157">
                  <c:v>46258</c:v>
                </c:pt>
                <c:pt idx="158">
                  <c:v>46259</c:v>
                </c:pt>
                <c:pt idx="159">
                  <c:v>46260</c:v>
                </c:pt>
                <c:pt idx="160">
                  <c:v>46261</c:v>
                </c:pt>
                <c:pt idx="161">
                  <c:v>46262</c:v>
                </c:pt>
                <c:pt idx="162">
                  <c:v>46263</c:v>
                </c:pt>
                <c:pt idx="163">
                  <c:v>46264</c:v>
                </c:pt>
                <c:pt idx="164">
                  <c:v>46265</c:v>
                </c:pt>
                <c:pt idx="165">
                  <c:v>46266</c:v>
                </c:pt>
                <c:pt idx="166">
                  <c:v>46267</c:v>
                </c:pt>
                <c:pt idx="167">
                  <c:v>46268</c:v>
                </c:pt>
                <c:pt idx="168">
                  <c:v>46269</c:v>
                </c:pt>
                <c:pt idx="169">
                  <c:v>46270</c:v>
                </c:pt>
                <c:pt idx="170">
                  <c:v>46271</c:v>
                </c:pt>
                <c:pt idx="171">
                  <c:v>46272</c:v>
                </c:pt>
              </c:numCache>
            </c:numRef>
          </c:cat>
          <c:val>
            <c:numRef>
              <c:f>'Curva S'!$F$2:$F$173</c:f>
              <c:numCache>
                <c:formatCode>General</c:formatCode>
                <c:ptCount val="1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2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3</c:v>
                </c:pt>
                <c:pt idx="74">
                  <c:v>3</c:v>
                </c:pt>
                <c:pt idx="75">
                  <c:v>0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2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</c:v>
                </c:pt>
                <c:pt idx="89">
                  <c:v>0</c:v>
                </c:pt>
                <c:pt idx="90">
                  <c:v>0</c:v>
                </c:pt>
                <c:pt idx="91">
                  <c:v>6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3</c:v>
                </c:pt>
                <c:pt idx="98">
                  <c:v>1</c:v>
                </c:pt>
                <c:pt idx="99">
                  <c:v>0</c:v>
                </c:pt>
                <c:pt idx="100">
                  <c:v>0</c:v>
                </c:pt>
                <c:pt idx="101">
                  <c:v>2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BB-439B-961D-ADBD6EED81C8}"/>
            </c:ext>
          </c:extLst>
        </c:ser>
        <c:ser>
          <c:idx val="5"/>
          <c:order val="5"/>
          <c:tx>
            <c:strRef>
              <c:f>'Curva S'!$G$1</c:f>
              <c:strCache>
                <c:ptCount val="1"/>
                <c:pt idx="0">
                  <c:v>Aprovação realizada por dia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'Curva S'!$A$2:$A$173</c:f>
              <c:numCache>
                <c:formatCode>m/d/yyyy</c:formatCode>
                <c:ptCount val="172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  <c:pt idx="119">
                  <c:v>46220</c:v>
                </c:pt>
                <c:pt idx="120">
                  <c:v>46221</c:v>
                </c:pt>
                <c:pt idx="121">
                  <c:v>46222</c:v>
                </c:pt>
                <c:pt idx="122">
                  <c:v>46223</c:v>
                </c:pt>
                <c:pt idx="123">
                  <c:v>46224</c:v>
                </c:pt>
                <c:pt idx="124">
                  <c:v>46225</c:v>
                </c:pt>
                <c:pt idx="125">
                  <c:v>46226</c:v>
                </c:pt>
                <c:pt idx="126">
                  <c:v>46227</c:v>
                </c:pt>
                <c:pt idx="127">
                  <c:v>46228</c:v>
                </c:pt>
                <c:pt idx="128">
                  <c:v>46229</c:v>
                </c:pt>
                <c:pt idx="129">
                  <c:v>46230</c:v>
                </c:pt>
                <c:pt idx="130">
                  <c:v>46231</c:v>
                </c:pt>
                <c:pt idx="131">
                  <c:v>46232</c:v>
                </c:pt>
                <c:pt idx="132">
                  <c:v>46233</c:v>
                </c:pt>
                <c:pt idx="133">
                  <c:v>46234</c:v>
                </c:pt>
                <c:pt idx="134">
                  <c:v>46235</c:v>
                </c:pt>
                <c:pt idx="135">
                  <c:v>46236</c:v>
                </c:pt>
                <c:pt idx="136">
                  <c:v>46237</c:v>
                </c:pt>
                <c:pt idx="137">
                  <c:v>46238</c:v>
                </c:pt>
                <c:pt idx="138">
                  <c:v>46239</c:v>
                </c:pt>
                <c:pt idx="139">
                  <c:v>46240</c:v>
                </c:pt>
                <c:pt idx="140">
                  <c:v>46241</c:v>
                </c:pt>
                <c:pt idx="141">
                  <c:v>46242</c:v>
                </c:pt>
                <c:pt idx="142">
                  <c:v>46243</c:v>
                </c:pt>
                <c:pt idx="143">
                  <c:v>46244</c:v>
                </c:pt>
                <c:pt idx="144">
                  <c:v>46245</c:v>
                </c:pt>
                <c:pt idx="145">
                  <c:v>46246</c:v>
                </c:pt>
                <c:pt idx="146">
                  <c:v>46247</c:v>
                </c:pt>
                <c:pt idx="147">
                  <c:v>46248</c:v>
                </c:pt>
                <c:pt idx="148">
                  <c:v>46249</c:v>
                </c:pt>
                <c:pt idx="149">
                  <c:v>46250</c:v>
                </c:pt>
                <c:pt idx="150">
                  <c:v>46251</c:v>
                </c:pt>
                <c:pt idx="151">
                  <c:v>46252</c:v>
                </c:pt>
                <c:pt idx="152">
                  <c:v>46253</c:v>
                </c:pt>
                <c:pt idx="153">
                  <c:v>46254</c:v>
                </c:pt>
                <c:pt idx="154">
                  <c:v>46255</c:v>
                </c:pt>
                <c:pt idx="155">
                  <c:v>46256</c:v>
                </c:pt>
                <c:pt idx="156">
                  <c:v>46257</c:v>
                </c:pt>
                <c:pt idx="157">
                  <c:v>46258</c:v>
                </c:pt>
                <c:pt idx="158">
                  <c:v>46259</c:v>
                </c:pt>
                <c:pt idx="159">
                  <c:v>46260</c:v>
                </c:pt>
                <c:pt idx="160">
                  <c:v>46261</c:v>
                </c:pt>
                <c:pt idx="161">
                  <c:v>46262</c:v>
                </c:pt>
                <c:pt idx="162">
                  <c:v>46263</c:v>
                </c:pt>
                <c:pt idx="163">
                  <c:v>46264</c:v>
                </c:pt>
                <c:pt idx="164">
                  <c:v>46265</c:v>
                </c:pt>
                <c:pt idx="165">
                  <c:v>46266</c:v>
                </c:pt>
                <c:pt idx="166">
                  <c:v>46267</c:v>
                </c:pt>
                <c:pt idx="167">
                  <c:v>46268</c:v>
                </c:pt>
                <c:pt idx="168">
                  <c:v>46269</c:v>
                </c:pt>
                <c:pt idx="169">
                  <c:v>46270</c:v>
                </c:pt>
                <c:pt idx="170">
                  <c:v>46271</c:v>
                </c:pt>
                <c:pt idx="171">
                  <c:v>46272</c:v>
                </c:pt>
              </c:numCache>
            </c:numRef>
          </c:cat>
          <c:val>
            <c:numRef>
              <c:f>'Curva S'!$G$2:$G$173</c:f>
              <c:numCache>
                <c:formatCode>General</c:formatCode>
                <c:ptCount val="1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BB-439B-961D-ADBD6EED8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7411407"/>
        <c:axId val="1737410447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S'!$A$2:$A$173</c:f>
              <c:numCache>
                <c:formatCode>m/d/yyyy</c:formatCode>
                <c:ptCount val="172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  <c:pt idx="119">
                  <c:v>46220</c:v>
                </c:pt>
                <c:pt idx="120">
                  <c:v>46221</c:v>
                </c:pt>
                <c:pt idx="121">
                  <c:v>46222</c:v>
                </c:pt>
                <c:pt idx="122">
                  <c:v>46223</c:v>
                </c:pt>
                <c:pt idx="123">
                  <c:v>46224</c:v>
                </c:pt>
                <c:pt idx="124">
                  <c:v>46225</c:v>
                </c:pt>
                <c:pt idx="125">
                  <c:v>46226</c:v>
                </c:pt>
                <c:pt idx="126">
                  <c:v>46227</c:v>
                </c:pt>
                <c:pt idx="127">
                  <c:v>46228</c:v>
                </c:pt>
                <c:pt idx="128">
                  <c:v>46229</c:v>
                </c:pt>
                <c:pt idx="129">
                  <c:v>46230</c:v>
                </c:pt>
                <c:pt idx="130">
                  <c:v>46231</c:v>
                </c:pt>
                <c:pt idx="131">
                  <c:v>46232</c:v>
                </c:pt>
                <c:pt idx="132">
                  <c:v>46233</c:v>
                </c:pt>
                <c:pt idx="133">
                  <c:v>46234</c:v>
                </c:pt>
                <c:pt idx="134">
                  <c:v>46235</c:v>
                </c:pt>
                <c:pt idx="135">
                  <c:v>46236</c:v>
                </c:pt>
                <c:pt idx="136">
                  <c:v>46237</c:v>
                </c:pt>
                <c:pt idx="137">
                  <c:v>46238</c:v>
                </c:pt>
                <c:pt idx="138">
                  <c:v>46239</c:v>
                </c:pt>
                <c:pt idx="139">
                  <c:v>46240</c:v>
                </c:pt>
                <c:pt idx="140">
                  <c:v>46241</c:v>
                </c:pt>
                <c:pt idx="141">
                  <c:v>46242</c:v>
                </c:pt>
                <c:pt idx="142">
                  <c:v>46243</c:v>
                </c:pt>
                <c:pt idx="143">
                  <c:v>46244</c:v>
                </c:pt>
                <c:pt idx="144">
                  <c:v>46245</c:v>
                </c:pt>
                <c:pt idx="145">
                  <c:v>46246</c:v>
                </c:pt>
                <c:pt idx="146">
                  <c:v>46247</c:v>
                </c:pt>
                <c:pt idx="147">
                  <c:v>46248</c:v>
                </c:pt>
                <c:pt idx="148">
                  <c:v>46249</c:v>
                </c:pt>
                <c:pt idx="149">
                  <c:v>46250</c:v>
                </c:pt>
                <c:pt idx="150">
                  <c:v>46251</c:v>
                </c:pt>
                <c:pt idx="151">
                  <c:v>46252</c:v>
                </c:pt>
                <c:pt idx="152">
                  <c:v>46253</c:v>
                </c:pt>
                <c:pt idx="153">
                  <c:v>46254</c:v>
                </c:pt>
                <c:pt idx="154">
                  <c:v>46255</c:v>
                </c:pt>
                <c:pt idx="155">
                  <c:v>46256</c:v>
                </c:pt>
                <c:pt idx="156">
                  <c:v>46257</c:v>
                </c:pt>
                <c:pt idx="157">
                  <c:v>46258</c:v>
                </c:pt>
                <c:pt idx="158">
                  <c:v>46259</c:v>
                </c:pt>
                <c:pt idx="159">
                  <c:v>46260</c:v>
                </c:pt>
                <c:pt idx="160">
                  <c:v>46261</c:v>
                </c:pt>
                <c:pt idx="161">
                  <c:v>46262</c:v>
                </c:pt>
                <c:pt idx="162">
                  <c:v>46263</c:v>
                </c:pt>
                <c:pt idx="163">
                  <c:v>46264</c:v>
                </c:pt>
                <c:pt idx="164">
                  <c:v>46265</c:v>
                </c:pt>
                <c:pt idx="165">
                  <c:v>46266</c:v>
                </c:pt>
                <c:pt idx="166">
                  <c:v>46267</c:v>
                </c:pt>
                <c:pt idx="167">
                  <c:v>46268</c:v>
                </c:pt>
                <c:pt idx="168">
                  <c:v>46269</c:v>
                </c:pt>
                <c:pt idx="169">
                  <c:v>46270</c:v>
                </c:pt>
                <c:pt idx="170">
                  <c:v>46271</c:v>
                </c:pt>
                <c:pt idx="171">
                  <c:v>46272</c:v>
                </c:pt>
              </c:numCache>
            </c:numRef>
          </c:cat>
          <c:val>
            <c:numRef>
              <c:f>'Curva S'!$C$2:$C$173</c:f>
              <c:numCache>
                <c:formatCode>General</c:formatCode>
                <c:ptCount val="1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8</c:v>
                </c:pt>
                <c:pt idx="68">
                  <c:v>11</c:v>
                </c:pt>
                <c:pt idx="69">
                  <c:v>11</c:v>
                </c:pt>
                <c:pt idx="70">
                  <c:v>11</c:v>
                </c:pt>
                <c:pt idx="71">
                  <c:v>11</c:v>
                </c:pt>
                <c:pt idx="72">
                  <c:v>11</c:v>
                </c:pt>
                <c:pt idx="73">
                  <c:v>12</c:v>
                </c:pt>
                <c:pt idx="74">
                  <c:v>12</c:v>
                </c:pt>
                <c:pt idx="75">
                  <c:v>12</c:v>
                </c:pt>
                <c:pt idx="76">
                  <c:v>14</c:v>
                </c:pt>
                <c:pt idx="77">
                  <c:v>14</c:v>
                </c:pt>
                <c:pt idx="78">
                  <c:v>14</c:v>
                </c:pt>
                <c:pt idx="79">
                  <c:v>14</c:v>
                </c:pt>
                <c:pt idx="80">
                  <c:v>14</c:v>
                </c:pt>
                <c:pt idx="81">
                  <c:v>14</c:v>
                </c:pt>
                <c:pt idx="82">
                  <c:v>14</c:v>
                </c:pt>
                <c:pt idx="83">
                  <c:v>14</c:v>
                </c:pt>
                <c:pt idx="84">
                  <c:v>14</c:v>
                </c:pt>
                <c:pt idx="85">
                  <c:v>14</c:v>
                </c:pt>
                <c:pt idx="86">
                  <c:v>14</c:v>
                </c:pt>
                <c:pt idx="87">
                  <c:v>20</c:v>
                </c:pt>
                <c:pt idx="88">
                  <c:v>20</c:v>
                </c:pt>
                <c:pt idx="89">
                  <c:v>20</c:v>
                </c:pt>
                <c:pt idx="90">
                  <c:v>20</c:v>
                </c:pt>
                <c:pt idx="91">
                  <c:v>23</c:v>
                </c:pt>
                <c:pt idx="92">
                  <c:v>23</c:v>
                </c:pt>
                <c:pt idx="93">
                  <c:v>23</c:v>
                </c:pt>
                <c:pt idx="94">
                  <c:v>24</c:v>
                </c:pt>
                <c:pt idx="95">
                  <c:v>26</c:v>
                </c:pt>
                <c:pt idx="96">
                  <c:v>26</c:v>
                </c:pt>
                <c:pt idx="97">
                  <c:v>26</c:v>
                </c:pt>
                <c:pt idx="98">
                  <c:v>26</c:v>
                </c:pt>
                <c:pt idx="99">
                  <c:v>26</c:v>
                </c:pt>
                <c:pt idx="100">
                  <c:v>26</c:v>
                </c:pt>
                <c:pt idx="101">
                  <c:v>26</c:v>
                </c:pt>
                <c:pt idx="102">
                  <c:v>26</c:v>
                </c:pt>
                <c:pt idx="103">
                  <c:v>26</c:v>
                </c:pt>
                <c:pt idx="104">
                  <c:v>26</c:v>
                </c:pt>
                <c:pt idx="105">
                  <c:v>26</c:v>
                </c:pt>
                <c:pt idx="106">
                  <c:v>26</c:v>
                </c:pt>
                <c:pt idx="107">
                  <c:v>26</c:v>
                </c:pt>
                <c:pt idx="108">
                  <c:v>26</c:v>
                </c:pt>
                <c:pt idx="109">
                  <c:v>26</c:v>
                </c:pt>
                <c:pt idx="110">
                  <c:v>26</c:v>
                </c:pt>
                <c:pt idx="111">
                  <c:v>26</c:v>
                </c:pt>
                <c:pt idx="112">
                  <c:v>26</c:v>
                </c:pt>
                <c:pt idx="113">
                  <c:v>26</c:v>
                </c:pt>
                <c:pt idx="114">
                  <c:v>26</c:v>
                </c:pt>
                <c:pt idx="115">
                  <c:v>26</c:v>
                </c:pt>
                <c:pt idx="116">
                  <c:v>26</c:v>
                </c:pt>
                <c:pt idx="117">
                  <c:v>26</c:v>
                </c:pt>
                <c:pt idx="118">
                  <c:v>26</c:v>
                </c:pt>
                <c:pt idx="119">
                  <c:v>26</c:v>
                </c:pt>
                <c:pt idx="120">
                  <c:v>26</c:v>
                </c:pt>
                <c:pt idx="121">
                  <c:v>26</c:v>
                </c:pt>
                <c:pt idx="122">
                  <c:v>26</c:v>
                </c:pt>
                <c:pt idx="123">
                  <c:v>26</c:v>
                </c:pt>
                <c:pt idx="124">
                  <c:v>27</c:v>
                </c:pt>
                <c:pt idx="125">
                  <c:v>27</c:v>
                </c:pt>
                <c:pt idx="126">
                  <c:v>27</c:v>
                </c:pt>
                <c:pt idx="127">
                  <c:v>27</c:v>
                </c:pt>
                <c:pt idx="128">
                  <c:v>27</c:v>
                </c:pt>
                <c:pt idx="129">
                  <c:v>27</c:v>
                </c:pt>
                <c:pt idx="130">
                  <c:v>27</c:v>
                </c:pt>
                <c:pt idx="131">
                  <c:v>27</c:v>
                </c:pt>
                <c:pt idx="132">
                  <c:v>27</c:v>
                </c:pt>
                <c:pt idx="133">
                  <c:v>27</c:v>
                </c:pt>
                <c:pt idx="134">
                  <c:v>27</c:v>
                </c:pt>
                <c:pt idx="135">
                  <c:v>27</c:v>
                </c:pt>
                <c:pt idx="136">
                  <c:v>27</c:v>
                </c:pt>
                <c:pt idx="137">
                  <c:v>27</c:v>
                </c:pt>
                <c:pt idx="138">
                  <c:v>27</c:v>
                </c:pt>
                <c:pt idx="139">
                  <c:v>27</c:v>
                </c:pt>
                <c:pt idx="140">
                  <c:v>27</c:v>
                </c:pt>
                <c:pt idx="141">
                  <c:v>27</c:v>
                </c:pt>
                <c:pt idx="142">
                  <c:v>27</c:v>
                </c:pt>
                <c:pt idx="143">
                  <c:v>27</c:v>
                </c:pt>
                <c:pt idx="144">
                  <c:v>27</c:v>
                </c:pt>
                <c:pt idx="145">
                  <c:v>27</c:v>
                </c:pt>
                <c:pt idx="146">
                  <c:v>27</c:v>
                </c:pt>
                <c:pt idx="147">
                  <c:v>27</c:v>
                </c:pt>
                <c:pt idx="148">
                  <c:v>27</c:v>
                </c:pt>
                <c:pt idx="149">
                  <c:v>27</c:v>
                </c:pt>
                <c:pt idx="150">
                  <c:v>27</c:v>
                </c:pt>
                <c:pt idx="151">
                  <c:v>27</c:v>
                </c:pt>
                <c:pt idx="152">
                  <c:v>27</c:v>
                </c:pt>
                <c:pt idx="153">
                  <c:v>27</c:v>
                </c:pt>
                <c:pt idx="154">
                  <c:v>27</c:v>
                </c:pt>
                <c:pt idx="155">
                  <c:v>27</c:v>
                </c:pt>
                <c:pt idx="156">
                  <c:v>27</c:v>
                </c:pt>
                <c:pt idx="157">
                  <c:v>27</c:v>
                </c:pt>
                <c:pt idx="158">
                  <c:v>27</c:v>
                </c:pt>
                <c:pt idx="159">
                  <c:v>27</c:v>
                </c:pt>
                <c:pt idx="160">
                  <c:v>27</c:v>
                </c:pt>
                <c:pt idx="161">
                  <c:v>27</c:v>
                </c:pt>
                <c:pt idx="162">
                  <c:v>27</c:v>
                </c:pt>
                <c:pt idx="163">
                  <c:v>27</c:v>
                </c:pt>
                <c:pt idx="164">
                  <c:v>27</c:v>
                </c:pt>
                <c:pt idx="165">
                  <c:v>27</c:v>
                </c:pt>
                <c:pt idx="166">
                  <c:v>27</c:v>
                </c:pt>
                <c:pt idx="167">
                  <c:v>27</c:v>
                </c:pt>
                <c:pt idx="168">
                  <c:v>27</c:v>
                </c:pt>
                <c:pt idx="169">
                  <c:v>27</c:v>
                </c:pt>
                <c:pt idx="170">
                  <c:v>27</c:v>
                </c:pt>
                <c:pt idx="171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ABB-439B-961D-ADBD6EED81C8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4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'Curva S'!$A$2:$A$173</c:f>
              <c:numCache>
                <c:formatCode>m/d/yyyy</c:formatCode>
                <c:ptCount val="172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  <c:pt idx="119">
                  <c:v>46220</c:v>
                </c:pt>
                <c:pt idx="120">
                  <c:v>46221</c:v>
                </c:pt>
                <c:pt idx="121">
                  <c:v>46222</c:v>
                </c:pt>
                <c:pt idx="122">
                  <c:v>46223</c:v>
                </c:pt>
                <c:pt idx="123">
                  <c:v>46224</c:v>
                </c:pt>
                <c:pt idx="124">
                  <c:v>46225</c:v>
                </c:pt>
                <c:pt idx="125">
                  <c:v>46226</c:v>
                </c:pt>
                <c:pt idx="126">
                  <c:v>46227</c:v>
                </c:pt>
                <c:pt idx="127">
                  <c:v>46228</c:v>
                </c:pt>
                <c:pt idx="128">
                  <c:v>46229</c:v>
                </c:pt>
                <c:pt idx="129">
                  <c:v>46230</c:v>
                </c:pt>
                <c:pt idx="130">
                  <c:v>46231</c:v>
                </c:pt>
                <c:pt idx="131">
                  <c:v>46232</c:v>
                </c:pt>
                <c:pt idx="132">
                  <c:v>46233</c:v>
                </c:pt>
                <c:pt idx="133">
                  <c:v>46234</c:v>
                </c:pt>
                <c:pt idx="134">
                  <c:v>46235</c:v>
                </c:pt>
                <c:pt idx="135">
                  <c:v>46236</c:v>
                </c:pt>
                <c:pt idx="136">
                  <c:v>46237</c:v>
                </c:pt>
                <c:pt idx="137">
                  <c:v>46238</c:v>
                </c:pt>
                <c:pt idx="138">
                  <c:v>46239</c:v>
                </c:pt>
                <c:pt idx="139">
                  <c:v>46240</c:v>
                </c:pt>
                <c:pt idx="140">
                  <c:v>46241</c:v>
                </c:pt>
                <c:pt idx="141">
                  <c:v>46242</c:v>
                </c:pt>
                <c:pt idx="142">
                  <c:v>46243</c:v>
                </c:pt>
                <c:pt idx="143">
                  <c:v>46244</c:v>
                </c:pt>
                <c:pt idx="144">
                  <c:v>46245</c:v>
                </c:pt>
                <c:pt idx="145">
                  <c:v>46246</c:v>
                </c:pt>
                <c:pt idx="146">
                  <c:v>46247</c:v>
                </c:pt>
                <c:pt idx="147">
                  <c:v>46248</c:v>
                </c:pt>
                <c:pt idx="148">
                  <c:v>46249</c:v>
                </c:pt>
                <c:pt idx="149">
                  <c:v>46250</c:v>
                </c:pt>
                <c:pt idx="150">
                  <c:v>46251</c:v>
                </c:pt>
                <c:pt idx="151">
                  <c:v>46252</c:v>
                </c:pt>
                <c:pt idx="152">
                  <c:v>46253</c:v>
                </c:pt>
                <c:pt idx="153">
                  <c:v>46254</c:v>
                </c:pt>
                <c:pt idx="154">
                  <c:v>46255</c:v>
                </c:pt>
                <c:pt idx="155">
                  <c:v>46256</c:v>
                </c:pt>
                <c:pt idx="156">
                  <c:v>46257</c:v>
                </c:pt>
                <c:pt idx="157">
                  <c:v>46258</c:v>
                </c:pt>
                <c:pt idx="158">
                  <c:v>46259</c:v>
                </c:pt>
                <c:pt idx="159">
                  <c:v>46260</c:v>
                </c:pt>
                <c:pt idx="160">
                  <c:v>46261</c:v>
                </c:pt>
                <c:pt idx="161">
                  <c:v>46262</c:v>
                </c:pt>
                <c:pt idx="162">
                  <c:v>46263</c:v>
                </c:pt>
                <c:pt idx="163">
                  <c:v>46264</c:v>
                </c:pt>
                <c:pt idx="164">
                  <c:v>46265</c:v>
                </c:pt>
                <c:pt idx="165">
                  <c:v>46266</c:v>
                </c:pt>
                <c:pt idx="166">
                  <c:v>46267</c:v>
                </c:pt>
                <c:pt idx="167">
                  <c:v>46268</c:v>
                </c:pt>
                <c:pt idx="168">
                  <c:v>46269</c:v>
                </c:pt>
                <c:pt idx="169">
                  <c:v>46270</c:v>
                </c:pt>
                <c:pt idx="170">
                  <c:v>46271</c:v>
                </c:pt>
                <c:pt idx="171">
                  <c:v>46272</c:v>
                </c:pt>
              </c:numCache>
            </c:numRef>
          </c:cat>
          <c:val>
            <c:numRef>
              <c:f>'Curva S'!$E$2:$E$173</c:f>
              <c:numCache>
                <c:formatCode>General</c:formatCode>
                <c:ptCount val="1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5</c:v>
                </c:pt>
                <c:pt idx="75">
                  <c:v>6</c:v>
                </c:pt>
                <c:pt idx="76">
                  <c:v>6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8</c:v>
                </c:pt>
                <c:pt idx="85">
                  <c:v>8</c:v>
                </c:pt>
                <c:pt idx="86">
                  <c:v>8</c:v>
                </c:pt>
                <c:pt idx="87">
                  <c:v>9</c:v>
                </c:pt>
                <c:pt idx="88">
                  <c:v>9</c:v>
                </c:pt>
                <c:pt idx="89">
                  <c:v>9</c:v>
                </c:pt>
                <c:pt idx="90">
                  <c:v>9</c:v>
                </c:pt>
                <c:pt idx="91">
                  <c:v>9</c:v>
                </c:pt>
                <c:pt idx="92">
                  <c:v>9</c:v>
                </c:pt>
                <c:pt idx="93">
                  <c:v>9</c:v>
                </c:pt>
                <c:pt idx="94">
                  <c:v>9</c:v>
                </c:pt>
                <c:pt idx="95">
                  <c:v>9</c:v>
                </c:pt>
                <c:pt idx="96">
                  <c:v>10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  <c:pt idx="100">
                  <c:v>10</c:v>
                </c:pt>
                <c:pt idx="101">
                  <c:v>10</c:v>
                </c:pt>
                <c:pt idx="102">
                  <c:v>10</c:v>
                </c:pt>
                <c:pt idx="103">
                  <c:v>10</c:v>
                </c:pt>
                <c:pt idx="104">
                  <c:v>10</c:v>
                </c:pt>
                <c:pt idx="105">
                  <c:v>10</c:v>
                </c:pt>
                <c:pt idx="106">
                  <c:v>10</c:v>
                </c:pt>
                <c:pt idx="107">
                  <c:v>10</c:v>
                </c:pt>
                <c:pt idx="108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ABB-439B-961D-ADBD6EED81C8}"/>
            </c:ext>
          </c:extLst>
        </c:ser>
        <c:ser>
          <c:idx val="6"/>
          <c:order val="6"/>
          <c:tx>
            <c:strRef>
              <c:f>'Curva S'!$H$1</c:f>
              <c:strCache>
                <c:ptCount val="1"/>
                <c:pt idx="0">
                  <c:v>Aprovação prevista na LB acumulada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S'!$A$2:$A$173</c:f>
              <c:numCache>
                <c:formatCode>m/d/yyyy</c:formatCode>
                <c:ptCount val="172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  <c:pt idx="119">
                  <c:v>46220</c:v>
                </c:pt>
                <c:pt idx="120">
                  <c:v>46221</c:v>
                </c:pt>
                <c:pt idx="121">
                  <c:v>46222</c:v>
                </c:pt>
                <c:pt idx="122">
                  <c:v>46223</c:v>
                </c:pt>
                <c:pt idx="123">
                  <c:v>46224</c:v>
                </c:pt>
                <c:pt idx="124">
                  <c:v>46225</c:v>
                </c:pt>
                <c:pt idx="125">
                  <c:v>46226</c:v>
                </c:pt>
                <c:pt idx="126">
                  <c:v>46227</c:v>
                </c:pt>
                <c:pt idx="127">
                  <c:v>46228</c:v>
                </c:pt>
                <c:pt idx="128">
                  <c:v>46229</c:v>
                </c:pt>
                <c:pt idx="129">
                  <c:v>46230</c:v>
                </c:pt>
                <c:pt idx="130">
                  <c:v>46231</c:v>
                </c:pt>
                <c:pt idx="131">
                  <c:v>46232</c:v>
                </c:pt>
                <c:pt idx="132">
                  <c:v>46233</c:v>
                </c:pt>
                <c:pt idx="133">
                  <c:v>46234</c:v>
                </c:pt>
                <c:pt idx="134">
                  <c:v>46235</c:v>
                </c:pt>
                <c:pt idx="135">
                  <c:v>46236</c:v>
                </c:pt>
                <c:pt idx="136">
                  <c:v>46237</c:v>
                </c:pt>
                <c:pt idx="137">
                  <c:v>46238</c:v>
                </c:pt>
                <c:pt idx="138">
                  <c:v>46239</c:v>
                </c:pt>
                <c:pt idx="139">
                  <c:v>46240</c:v>
                </c:pt>
                <c:pt idx="140">
                  <c:v>46241</c:v>
                </c:pt>
                <c:pt idx="141">
                  <c:v>46242</c:v>
                </c:pt>
                <c:pt idx="142">
                  <c:v>46243</c:v>
                </c:pt>
                <c:pt idx="143">
                  <c:v>46244</c:v>
                </c:pt>
                <c:pt idx="144">
                  <c:v>46245</c:v>
                </c:pt>
                <c:pt idx="145">
                  <c:v>46246</c:v>
                </c:pt>
                <c:pt idx="146">
                  <c:v>46247</c:v>
                </c:pt>
                <c:pt idx="147">
                  <c:v>46248</c:v>
                </c:pt>
                <c:pt idx="148">
                  <c:v>46249</c:v>
                </c:pt>
                <c:pt idx="149">
                  <c:v>46250</c:v>
                </c:pt>
                <c:pt idx="150">
                  <c:v>46251</c:v>
                </c:pt>
                <c:pt idx="151">
                  <c:v>46252</c:v>
                </c:pt>
                <c:pt idx="152">
                  <c:v>46253</c:v>
                </c:pt>
                <c:pt idx="153">
                  <c:v>46254</c:v>
                </c:pt>
                <c:pt idx="154">
                  <c:v>46255</c:v>
                </c:pt>
                <c:pt idx="155">
                  <c:v>46256</c:v>
                </c:pt>
                <c:pt idx="156">
                  <c:v>46257</c:v>
                </c:pt>
                <c:pt idx="157">
                  <c:v>46258</c:v>
                </c:pt>
                <c:pt idx="158">
                  <c:v>46259</c:v>
                </c:pt>
                <c:pt idx="159">
                  <c:v>46260</c:v>
                </c:pt>
                <c:pt idx="160">
                  <c:v>46261</c:v>
                </c:pt>
                <c:pt idx="161">
                  <c:v>46262</c:v>
                </c:pt>
                <c:pt idx="162">
                  <c:v>46263</c:v>
                </c:pt>
                <c:pt idx="163">
                  <c:v>46264</c:v>
                </c:pt>
                <c:pt idx="164">
                  <c:v>46265</c:v>
                </c:pt>
                <c:pt idx="165">
                  <c:v>46266</c:v>
                </c:pt>
                <c:pt idx="166">
                  <c:v>46267</c:v>
                </c:pt>
                <c:pt idx="167">
                  <c:v>46268</c:v>
                </c:pt>
                <c:pt idx="168">
                  <c:v>46269</c:v>
                </c:pt>
                <c:pt idx="169">
                  <c:v>46270</c:v>
                </c:pt>
                <c:pt idx="170">
                  <c:v>46271</c:v>
                </c:pt>
                <c:pt idx="171">
                  <c:v>46272</c:v>
                </c:pt>
              </c:numCache>
            </c:numRef>
          </c:cat>
          <c:val>
            <c:numRef>
              <c:f>'Curva S'!$H$2:$H$173</c:f>
              <c:numCache>
                <c:formatCode>General</c:formatCode>
                <c:ptCount val="1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7</c:v>
                </c:pt>
                <c:pt idx="74">
                  <c:v>10</c:v>
                </c:pt>
                <c:pt idx="75">
                  <c:v>10</c:v>
                </c:pt>
                <c:pt idx="76">
                  <c:v>10</c:v>
                </c:pt>
                <c:pt idx="77">
                  <c:v>11</c:v>
                </c:pt>
                <c:pt idx="78">
                  <c:v>11</c:v>
                </c:pt>
                <c:pt idx="79">
                  <c:v>11</c:v>
                </c:pt>
                <c:pt idx="80">
                  <c:v>11</c:v>
                </c:pt>
                <c:pt idx="81">
                  <c:v>11</c:v>
                </c:pt>
                <c:pt idx="82">
                  <c:v>13</c:v>
                </c:pt>
                <c:pt idx="83">
                  <c:v>13</c:v>
                </c:pt>
                <c:pt idx="84">
                  <c:v>13</c:v>
                </c:pt>
                <c:pt idx="85">
                  <c:v>13</c:v>
                </c:pt>
                <c:pt idx="86">
                  <c:v>13</c:v>
                </c:pt>
                <c:pt idx="87">
                  <c:v>13</c:v>
                </c:pt>
                <c:pt idx="88">
                  <c:v>14</c:v>
                </c:pt>
                <c:pt idx="89">
                  <c:v>14</c:v>
                </c:pt>
                <c:pt idx="90">
                  <c:v>14</c:v>
                </c:pt>
                <c:pt idx="91">
                  <c:v>20</c:v>
                </c:pt>
                <c:pt idx="92">
                  <c:v>20</c:v>
                </c:pt>
                <c:pt idx="93">
                  <c:v>20</c:v>
                </c:pt>
                <c:pt idx="94">
                  <c:v>20</c:v>
                </c:pt>
                <c:pt idx="95">
                  <c:v>20</c:v>
                </c:pt>
                <c:pt idx="96">
                  <c:v>20</c:v>
                </c:pt>
                <c:pt idx="97">
                  <c:v>23</c:v>
                </c:pt>
                <c:pt idx="98">
                  <c:v>24</c:v>
                </c:pt>
                <c:pt idx="99">
                  <c:v>24</c:v>
                </c:pt>
                <c:pt idx="100">
                  <c:v>24</c:v>
                </c:pt>
                <c:pt idx="101">
                  <c:v>26</c:v>
                </c:pt>
                <c:pt idx="102">
                  <c:v>26</c:v>
                </c:pt>
                <c:pt idx="103">
                  <c:v>26</c:v>
                </c:pt>
                <c:pt idx="104">
                  <c:v>26</c:v>
                </c:pt>
                <c:pt idx="105">
                  <c:v>26</c:v>
                </c:pt>
                <c:pt idx="106">
                  <c:v>26</c:v>
                </c:pt>
                <c:pt idx="107">
                  <c:v>26</c:v>
                </c:pt>
                <c:pt idx="108">
                  <c:v>26</c:v>
                </c:pt>
                <c:pt idx="109">
                  <c:v>26</c:v>
                </c:pt>
                <c:pt idx="110">
                  <c:v>26</c:v>
                </c:pt>
                <c:pt idx="111">
                  <c:v>26</c:v>
                </c:pt>
                <c:pt idx="112">
                  <c:v>26</c:v>
                </c:pt>
                <c:pt idx="113">
                  <c:v>26</c:v>
                </c:pt>
                <c:pt idx="114">
                  <c:v>26</c:v>
                </c:pt>
                <c:pt idx="115">
                  <c:v>26</c:v>
                </c:pt>
                <c:pt idx="116">
                  <c:v>26</c:v>
                </c:pt>
                <c:pt idx="117">
                  <c:v>26</c:v>
                </c:pt>
                <c:pt idx="118">
                  <c:v>26</c:v>
                </c:pt>
                <c:pt idx="119">
                  <c:v>26</c:v>
                </c:pt>
                <c:pt idx="120">
                  <c:v>26</c:v>
                </c:pt>
                <c:pt idx="121">
                  <c:v>26</c:v>
                </c:pt>
                <c:pt idx="122">
                  <c:v>26</c:v>
                </c:pt>
                <c:pt idx="123">
                  <c:v>26</c:v>
                </c:pt>
                <c:pt idx="124">
                  <c:v>26</c:v>
                </c:pt>
                <c:pt idx="125">
                  <c:v>26</c:v>
                </c:pt>
                <c:pt idx="126">
                  <c:v>26</c:v>
                </c:pt>
                <c:pt idx="127">
                  <c:v>26</c:v>
                </c:pt>
                <c:pt idx="128">
                  <c:v>26</c:v>
                </c:pt>
                <c:pt idx="129">
                  <c:v>26</c:v>
                </c:pt>
                <c:pt idx="130">
                  <c:v>27</c:v>
                </c:pt>
                <c:pt idx="131">
                  <c:v>27</c:v>
                </c:pt>
                <c:pt idx="132">
                  <c:v>27</c:v>
                </c:pt>
                <c:pt idx="133">
                  <c:v>27</c:v>
                </c:pt>
                <c:pt idx="134">
                  <c:v>27</c:v>
                </c:pt>
                <c:pt idx="135">
                  <c:v>27</c:v>
                </c:pt>
                <c:pt idx="136">
                  <c:v>27</c:v>
                </c:pt>
                <c:pt idx="137">
                  <c:v>27</c:v>
                </c:pt>
                <c:pt idx="138">
                  <c:v>27</c:v>
                </c:pt>
                <c:pt idx="139">
                  <c:v>27</c:v>
                </c:pt>
                <c:pt idx="140">
                  <c:v>27</c:v>
                </c:pt>
                <c:pt idx="141">
                  <c:v>27</c:v>
                </c:pt>
                <c:pt idx="142">
                  <c:v>27</c:v>
                </c:pt>
                <c:pt idx="143">
                  <c:v>27</c:v>
                </c:pt>
                <c:pt idx="144">
                  <c:v>27</c:v>
                </c:pt>
                <c:pt idx="145">
                  <c:v>27</c:v>
                </c:pt>
                <c:pt idx="146">
                  <c:v>27</c:v>
                </c:pt>
                <c:pt idx="147">
                  <c:v>27</c:v>
                </c:pt>
                <c:pt idx="148">
                  <c:v>27</c:v>
                </c:pt>
                <c:pt idx="149">
                  <c:v>27</c:v>
                </c:pt>
                <c:pt idx="150">
                  <c:v>27</c:v>
                </c:pt>
                <c:pt idx="151">
                  <c:v>27</c:v>
                </c:pt>
                <c:pt idx="152">
                  <c:v>27</c:v>
                </c:pt>
                <c:pt idx="153">
                  <c:v>27</c:v>
                </c:pt>
                <c:pt idx="154">
                  <c:v>27</c:v>
                </c:pt>
                <c:pt idx="155">
                  <c:v>27</c:v>
                </c:pt>
                <c:pt idx="156">
                  <c:v>27</c:v>
                </c:pt>
                <c:pt idx="157">
                  <c:v>27</c:v>
                </c:pt>
                <c:pt idx="158">
                  <c:v>27</c:v>
                </c:pt>
                <c:pt idx="159">
                  <c:v>27</c:v>
                </c:pt>
                <c:pt idx="160">
                  <c:v>27</c:v>
                </c:pt>
                <c:pt idx="161">
                  <c:v>27</c:v>
                </c:pt>
                <c:pt idx="162">
                  <c:v>27</c:v>
                </c:pt>
                <c:pt idx="163">
                  <c:v>27</c:v>
                </c:pt>
                <c:pt idx="164">
                  <c:v>27</c:v>
                </c:pt>
                <c:pt idx="165">
                  <c:v>27</c:v>
                </c:pt>
                <c:pt idx="166">
                  <c:v>27</c:v>
                </c:pt>
                <c:pt idx="167">
                  <c:v>27</c:v>
                </c:pt>
                <c:pt idx="168">
                  <c:v>27</c:v>
                </c:pt>
                <c:pt idx="169">
                  <c:v>27</c:v>
                </c:pt>
                <c:pt idx="170">
                  <c:v>27</c:v>
                </c:pt>
                <c:pt idx="171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ABB-439B-961D-ADBD6EED81C8}"/>
            </c:ext>
          </c:extLst>
        </c:ser>
        <c:ser>
          <c:idx val="7"/>
          <c:order val="7"/>
          <c:tx>
            <c:strRef>
              <c:f>'Curva S'!$I$1</c:f>
              <c:strCache>
                <c:ptCount val="1"/>
                <c:pt idx="0">
                  <c:v>Aprovação realizada acumulada</c:v>
                </c:pt>
              </c:strCache>
            </c:strRef>
          </c:tx>
          <c:spPr>
            <a:ln w="28575" cap="rnd">
              <a:solidFill>
                <a:srgbClr val="FF993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9933"/>
              </a:solidFill>
              <a:ln w="9525">
                <a:solidFill>
                  <a:srgbClr val="FF9933"/>
                </a:solidFill>
              </a:ln>
              <a:effectLst/>
            </c:spPr>
          </c:marker>
          <c:cat>
            <c:numRef>
              <c:f>'Curva S'!$A$2:$A$173</c:f>
              <c:numCache>
                <c:formatCode>m/d/yyyy</c:formatCode>
                <c:ptCount val="172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  <c:pt idx="119">
                  <c:v>46220</c:v>
                </c:pt>
                <c:pt idx="120">
                  <c:v>46221</c:v>
                </c:pt>
                <c:pt idx="121">
                  <c:v>46222</c:v>
                </c:pt>
                <c:pt idx="122">
                  <c:v>46223</c:v>
                </c:pt>
                <c:pt idx="123">
                  <c:v>46224</c:v>
                </c:pt>
                <c:pt idx="124">
                  <c:v>46225</c:v>
                </c:pt>
                <c:pt idx="125">
                  <c:v>46226</c:v>
                </c:pt>
                <c:pt idx="126">
                  <c:v>46227</c:v>
                </c:pt>
                <c:pt idx="127">
                  <c:v>46228</c:v>
                </c:pt>
                <c:pt idx="128">
                  <c:v>46229</c:v>
                </c:pt>
                <c:pt idx="129">
                  <c:v>46230</c:v>
                </c:pt>
                <c:pt idx="130">
                  <c:v>46231</c:v>
                </c:pt>
                <c:pt idx="131">
                  <c:v>46232</c:v>
                </c:pt>
                <c:pt idx="132">
                  <c:v>46233</c:v>
                </c:pt>
                <c:pt idx="133">
                  <c:v>46234</c:v>
                </c:pt>
                <c:pt idx="134">
                  <c:v>46235</c:v>
                </c:pt>
                <c:pt idx="135">
                  <c:v>46236</c:v>
                </c:pt>
                <c:pt idx="136">
                  <c:v>46237</c:v>
                </c:pt>
                <c:pt idx="137">
                  <c:v>46238</c:v>
                </c:pt>
                <c:pt idx="138">
                  <c:v>46239</c:v>
                </c:pt>
                <c:pt idx="139">
                  <c:v>46240</c:v>
                </c:pt>
                <c:pt idx="140">
                  <c:v>46241</c:v>
                </c:pt>
                <c:pt idx="141">
                  <c:v>46242</c:v>
                </c:pt>
                <c:pt idx="142">
                  <c:v>46243</c:v>
                </c:pt>
                <c:pt idx="143">
                  <c:v>46244</c:v>
                </c:pt>
                <c:pt idx="144">
                  <c:v>46245</c:v>
                </c:pt>
                <c:pt idx="145">
                  <c:v>46246</c:v>
                </c:pt>
                <c:pt idx="146">
                  <c:v>46247</c:v>
                </c:pt>
                <c:pt idx="147">
                  <c:v>46248</c:v>
                </c:pt>
                <c:pt idx="148">
                  <c:v>46249</c:v>
                </c:pt>
                <c:pt idx="149">
                  <c:v>46250</c:v>
                </c:pt>
                <c:pt idx="150">
                  <c:v>46251</c:v>
                </c:pt>
                <c:pt idx="151">
                  <c:v>46252</c:v>
                </c:pt>
                <c:pt idx="152">
                  <c:v>46253</c:v>
                </c:pt>
                <c:pt idx="153">
                  <c:v>46254</c:v>
                </c:pt>
                <c:pt idx="154">
                  <c:v>46255</c:v>
                </c:pt>
                <c:pt idx="155">
                  <c:v>46256</c:v>
                </c:pt>
                <c:pt idx="156">
                  <c:v>46257</c:v>
                </c:pt>
                <c:pt idx="157">
                  <c:v>46258</c:v>
                </c:pt>
                <c:pt idx="158">
                  <c:v>46259</c:v>
                </c:pt>
                <c:pt idx="159">
                  <c:v>46260</c:v>
                </c:pt>
                <c:pt idx="160">
                  <c:v>46261</c:v>
                </c:pt>
                <c:pt idx="161">
                  <c:v>46262</c:v>
                </c:pt>
                <c:pt idx="162">
                  <c:v>46263</c:v>
                </c:pt>
                <c:pt idx="163">
                  <c:v>46264</c:v>
                </c:pt>
                <c:pt idx="164">
                  <c:v>46265</c:v>
                </c:pt>
                <c:pt idx="165">
                  <c:v>46266</c:v>
                </c:pt>
                <c:pt idx="166">
                  <c:v>46267</c:v>
                </c:pt>
                <c:pt idx="167">
                  <c:v>46268</c:v>
                </c:pt>
                <c:pt idx="168">
                  <c:v>46269</c:v>
                </c:pt>
                <c:pt idx="169">
                  <c:v>46270</c:v>
                </c:pt>
                <c:pt idx="170">
                  <c:v>46271</c:v>
                </c:pt>
                <c:pt idx="171">
                  <c:v>46272</c:v>
                </c:pt>
              </c:numCache>
            </c:numRef>
          </c:cat>
          <c:val>
            <c:numRef>
              <c:f>'Curva S'!$I$2:$I$173</c:f>
              <c:numCache>
                <c:formatCode>General</c:formatCode>
                <c:ptCount val="1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ABB-439B-961D-ADBD6EED8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386447"/>
        <c:axId val="1737387407"/>
      </c:lineChart>
      <c:dateAx>
        <c:axId val="173738644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387407"/>
        <c:crosses val="autoZero"/>
        <c:auto val="1"/>
        <c:lblOffset val="100"/>
        <c:baseTimeUnit val="days"/>
      </c:dateAx>
      <c:valAx>
        <c:axId val="173738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386447"/>
        <c:crosses val="autoZero"/>
        <c:crossBetween val="between"/>
      </c:valAx>
      <c:valAx>
        <c:axId val="173741044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11407"/>
        <c:crosses val="max"/>
        <c:crossBetween val="between"/>
      </c:valAx>
      <c:dateAx>
        <c:axId val="173741140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3741044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31696</xdr:colOff>
      <xdr:row>2</xdr:row>
      <xdr:rowOff>0</xdr:rowOff>
    </xdr:from>
    <xdr:ext cx="10800000" cy="5123006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D2009574-7E03-404E-9FC8-F9BAF70ECE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30</xdr:row>
      <xdr:rowOff>54429</xdr:rowOff>
    </xdr:from>
    <xdr:ext cx="10800000" cy="5400000"/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14A3F9C1-4F39-4B18-A521-E51F2083DA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</xdr:row>
      <xdr:rowOff>0</xdr:rowOff>
    </xdr:from>
    <xdr:to>
      <xdr:col>29</xdr:col>
      <xdr:colOff>218591</xdr:colOff>
      <xdr:row>29</xdr:row>
      <xdr:rowOff>66000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C0AD505-6B75-478D-913E-E570E11167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19050</xdr:colOff>
      <xdr:row>32</xdr:row>
      <xdr:rowOff>180975</xdr:rowOff>
    </xdr:from>
    <xdr:to>
      <xdr:col>29</xdr:col>
      <xdr:colOff>237641</xdr:colOff>
      <xdr:row>61</xdr:row>
      <xdr:rowOff>56475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B30948C-7EA1-4E91-86F3-958093FCBB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F0009_305/Comparativo%20Cronograma%2006-07-2026_R1.xlsx" TargetMode="External"/><Relationship Id="rId2" Type="http://schemas.openxmlformats.org/officeDocument/2006/relationships/externalLinkPath" Target="https://bureauveritas.sharepoint.com/teams/POP-Planejamento/Shared%20Documents/Automacoes/Comparativo_Cronograma/saida/F0009_305/Comparativo%20Cronograma%2006-07-2026_R1.xlsx" TargetMode="External"/><Relationship Id="rId1" Type="http://schemas.openxmlformats.org/officeDocument/2006/relationships/externalLinkPath" Target="/teams/POP-Planejamento/Shared%20Documents/Automacoes/Comparativo_Cronograma/saida/F0009_305/Comparativo%20Cronograma%2006-07-2026_R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ase"/>
      <sheetName val="Resumo"/>
      <sheetName val="Curva S"/>
      <sheetName val="Concluídas"/>
      <sheetName val="Atrasadas"/>
      <sheetName val="Sprint Atual"/>
      <sheetName val="Próximo Sprint"/>
    </sheetNames>
    <sheetDataSet>
      <sheetData sheetId="0"/>
      <sheetData sheetId="1">
        <row r="3">
          <cell r="B3" t="str">
            <v>Emissão inicial total</v>
          </cell>
          <cell r="C3" t="str">
            <v>Emissão inicial concluída</v>
          </cell>
          <cell r="D3" t="str">
            <v>%EI</v>
          </cell>
          <cell r="E3" t="str">
            <v>Avaliação do cliente concluída</v>
          </cell>
          <cell r="F3" t="str">
            <v>Atendimento de comentário concluído</v>
          </cell>
          <cell r="G3" t="str">
            <v>Aprovação concluída</v>
          </cell>
          <cell r="H3" t="str">
            <v>%AP</v>
          </cell>
        </row>
        <row r="4">
          <cell r="A4" t="str">
            <v>AUTOMAÇÃO E INSTRUMENTAÇÃO</v>
          </cell>
          <cell r="B4">
            <v>42</v>
          </cell>
          <cell r="C4">
            <v>37</v>
          </cell>
          <cell r="D4">
            <v>0.88095238095238093</v>
          </cell>
          <cell r="E4">
            <v>3</v>
          </cell>
          <cell r="F4">
            <v>0</v>
          </cell>
          <cell r="G4">
            <v>0</v>
          </cell>
          <cell r="H4">
            <v>0</v>
          </cell>
        </row>
        <row r="5">
          <cell r="A5" t="str">
            <v>CIVIL</v>
          </cell>
          <cell r="B5">
            <v>2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</row>
        <row r="6">
          <cell r="A6" t="str">
            <v>COORDENAÇÃO</v>
          </cell>
          <cell r="B6">
            <v>3</v>
          </cell>
          <cell r="C6">
            <v>1</v>
          </cell>
          <cell r="D6">
            <v>0.33333333333333331</v>
          </cell>
          <cell r="E6">
            <v>1</v>
          </cell>
          <cell r="F6">
            <v>0</v>
          </cell>
          <cell r="G6">
            <v>0</v>
          </cell>
          <cell r="H6">
            <v>0</v>
          </cell>
        </row>
        <row r="7">
          <cell r="A7" t="str">
            <v>ELÉTRICA</v>
          </cell>
          <cell r="B7">
            <v>3</v>
          </cell>
          <cell r="C7">
            <v>3</v>
          </cell>
          <cell r="D7">
            <v>1</v>
          </cell>
          <cell r="E7">
            <v>2</v>
          </cell>
          <cell r="F7">
            <v>0</v>
          </cell>
          <cell r="G7">
            <v>0</v>
          </cell>
          <cell r="H7">
            <v>0</v>
          </cell>
        </row>
        <row r="8">
          <cell r="A8" t="str">
            <v>ESTRUTURA METÁLICA</v>
          </cell>
          <cell r="B8">
            <v>14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</row>
        <row r="9">
          <cell r="A9" t="str">
            <v>GERAL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</row>
        <row r="10">
          <cell r="A10" t="str">
            <v>MARCOS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A11" t="str">
            <v>MECÂNICA</v>
          </cell>
          <cell r="B11">
            <v>25</v>
          </cell>
          <cell r="C11">
            <v>16</v>
          </cell>
          <cell r="D11">
            <v>0.64</v>
          </cell>
          <cell r="E11">
            <v>4</v>
          </cell>
          <cell r="F11">
            <v>1</v>
          </cell>
          <cell r="G11">
            <v>1</v>
          </cell>
          <cell r="H11">
            <v>0.04</v>
          </cell>
        </row>
        <row r="12">
          <cell r="A12" t="str">
            <v>PENDÊNCIAS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A13" t="str">
            <v>PLANEJAMENTO</v>
          </cell>
          <cell r="B13">
            <v>2</v>
          </cell>
          <cell r="C13">
            <v>2</v>
          </cell>
          <cell r="D13">
            <v>1</v>
          </cell>
          <cell r="E13">
            <v>2</v>
          </cell>
          <cell r="F13">
            <v>2</v>
          </cell>
          <cell r="G13">
            <v>2</v>
          </cell>
          <cell r="H13">
            <v>1</v>
          </cell>
        </row>
        <row r="14">
          <cell r="A14" t="str">
            <v>PROCESSOS</v>
          </cell>
          <cell r="B14">
            <v>1</v>
          </cell>
          <cell r="C14">
            <v>1</v>
          </cell>
          <cell r="D14">
            <v>1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</row>
        <row r="15">
          <cell r="A15" t="str">
            <v>TUBULAÇÃO / UTILIDADES</v>
          </cell>
          <cell r="B15">
            <v>13</v>
          </cell>
          <cell r="C15">
            <v>1</v>
          </cell>
          <cell r="D15">
            <v>7.6923076923076927E-2</v>
          </cell>
          <cell r="E15">
            <v>1</v>
          </cell>
          <cell r="F15">
            <v>0</v>
          </cell>
          <cell r="G15">
            <v>0</v>
          </cell>
          <cell r="H15">
            <v>0</v>
          </cell>
        </row>
        <row r="21">
          <cell r="B21" t="str">
            <v>Emissão Inicial Atrasada</v>
          </cell>
          <cell r="C21" t="str">
            <v>Avaliação Cliente Atrasada</v>
          </cell>
          <cell r="D21" t="str">
            <v>Atendimento Atrasado</v>
          </cell>
          <cell r="E21" t="str">
            <v>Aprovação Atrasada</v>
          </cell>
        </row>
        <row r="22">
          <cell r="A22" t="str">
            <v>AUTOMAÇÃO E INSTRUMENTAÇÃO</v>
          </cell>
          <cell r="B22">
            <v>3</v>
          </cell>
          <cell r="C22">
            <v>30</v>
          </cell>
          <cell r="D22">
            <v>32</v>
          </cell>
          <cell r="E22">
            <v>32</v>
          </cell>
        </row>
        <row r="23">
          <cell r="A23" t="str">
            <v>CIVIL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A24" t="str">
            <v>COORDENAÇÃO</v>
          </cell>
          <cell r="B24">
            <v>1</v>
          </cell>
          <cell r="C24">
            <v>0</v>
          </cell>
          <cell r="D24">
            <v>0</v>
          </cell>
          <cell r="E24">
            <v>0</v>
          </cell>
        </row>
        <row r="25">
          <cell r="A25" t="str">
            <v>ELÉTRICA</v>
          </cell>
          <cell r="B25">
            <v>0</v>
          </cell>
          <cell r="C25">
            <v>0</v>
          </cell>
          <cell r="D25">
            <v>2</v>
          </cell>
          <cell r="E25">
            <v>2</v>
          </cell>
        </row>
        <row r="26">
          <cell r="A26" t="str">
            <v>ESTRUTURA METÁLICA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</row>
        <row r="27">
          <cell r="A27" t="str">
            <v>GERAL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A28" t="str">
            <v>MARCOS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</row>
        <row r="29">
          <cell r="A29" t="str">
            <v>MECÂNICA</v>
          </cell>
          <cell r="B29">
            <v>1</v>
          </cell>
          <cell r="C29">
            <v>11</v>
          </cell>
          <cell r="D29">
            <v>14</v>
          </cell>
          <cell r="E29">
            <v>8</v>
          </cell>
        </row>
        <row r="30">
          <cell r="A30" t="str">
            <v>PENDÊNCIAS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A31" t="str">
            <v>PLANEJAMENTO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A32" t="str">
            <v>PROCESSOS</v>
          </cell>
          <cell r="B32">
            <v>0</v>
          </cell>
          <cell r="C32">
            <v>0</v>
          </cell>
          <cell r="D32">
            <v>1</v>
          </cell>
          <cell r="E32">
            <v>0</v>
          </cell>
        </row>
        <row r="33">
          <cell r="A33" t="str">
            <v>TUBULAÇÃO / UTILIDADES</v>
          </cell>
          <cell r="B33">
            <v>1</v>
          </cell>
          <cell r="C33">
            <v>0</v>
          </cell>
          <cell r="D33">
            <v>1</v>
          </cell>
          <cell r="E33">
            <v>1</v>
          </cell>
        </row>
      </sheetData>
      <sheetData sheetId="2">
        <row r="1">
          <cell r="B1" t="str">
            <v>Emissão prevista na LB</v>
          </cell>
          <cell r="C1" t="str">
            <v>Emissão prevista na LB acumulada</v>
          </cell>
          <cell r="D1" t="str">
            <v>Emissão realizada por dia</v>
          </cell>
          <cell r="E1" t="str">
            <v>Emissão realizada acumulada</v>
          </cell>
          <cell r="F1" t="str">
            <v>Aprovação prevista na LB</v>
          </cell>
          <cell r="G1" t="str">
            <v>Aprovação realizada por dia</v>
          </cell>
          <cell r="H1" t="str">
            <v>Aprovação prevista na LB acumulada</v>
          </cell>
          <cell r="I1" t="str">
            <v>Aprovação realizada acumulada</v>
          </cell>
        </row>
        <row r="2">
          <cell r="A2">
            <v>46101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</row>
        <row r="3">
          <cell r="A3">
            <v>46102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</row>
        <row r="4">
          <cell r="A4">
            <v>46103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</row>
        <row r="5">
          <cell r="A5">
            <v>46104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</row>
        <row r="6">
          <cell r="A6">
            <v>46105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</row>
        <row r="7">
          <cell r="A7">
            <v>46106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</row>
        <row r="8">
          <cell r="A8">
            <v>46107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A9">
            <v>46108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A10">
            <v>46109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A11">
            <v>46110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A12">
            <v>46111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>
            <v>46112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</row>
        <row r="14">
          <cell r="A14">
            <v>46113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</row>
        <row r="15">
          <cell r="A15">
            <v>46114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</row>
        <row r="16">
          <cell r="A16">
            <v>46115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</row>
        <row r="17">
          <cell r="A17">
            <v>46116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A18">
            <v>46117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</row>
        <row r="19">
          <cell r="A19">
            <v>46118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</row>
        <row r="20">
          <cell r="A20">
            <v>46119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</row>
        <row r="21">
          <cell r="A21">
            <v>46120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</row>
        <row r="22">
          <cell r="A22">
            <v>46121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</row>
        <row r="23">
          <cell r="A23">
            <v>46122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</row>
        <row r="24">
          <cell r="A24">
            <v>46123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</row>
        <row r="25">
          <cell r="A25">
            <v>46124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>
            <v>46125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>
            <v>46126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</row>
        <row r="28">
          <cell r="A28">
            <v>46127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>
            <v>46128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</row>
        <row r="30">
          <cell r="A30">
            <v>46129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</row>
        <row r="31">
          <cell r="A31">
            <v>46130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</row>
        <row r="32">
          <cell r="A32">
            <v>46131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</row>
        <row r="33">
          <cell r="A33">
            <v>46132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A34">
            <v>46133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A35">
            <v>46134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</row>
        <row r="36">
          <cell r="A36">
            <v>46135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</row>
        <row r="37">
          <cell r="A37">
            <v>46136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A38">
            <v>46137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A39">
            <v>46138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</row>
        <row r="40">
          <cell r="A40">
            <v>46139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</row>
        <row r="41">
          <cell r="A41">
            <v>46140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</row>
        <row r="42">
          <cell r="A42">
            <v>46141</v>
          </cell>
          <cell r="B42">
            <v>2</v>
          </cell>
          <cell r="C42">
            <v>2</v>
          </cell>
          <cell r="D42">
            <v>2</v>
          </cell>
          <cell r="E42">
            <v>2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</row>
        <row r="43">
          <cell r="A43">
            <v>46142</v>
          </cell>
          <cell r="B43">
            <v>0</v>
          </cell>
          <cell r="C43">
            <v>2</v>
          </cell>
          <cell r="D43">
            <v>0</v>
          </cell>
          <cell r="E43">
            <v>2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</row>
        <row r="44">
          <cell r="A44">
            <v>46143</v>
          </cell>
          <cell r="B44">
            <v>0</v>
          </cell>
          <cell r="C44">
            <v>2</v>
          </cell>
          <cell r="D44">
            <v>0</v>
          </cell>
          <cell r="E44">
            <v>2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</row>
        <row r="45">
          <cell r="A45">
            <v>46144</v>
          </cell>
          <cell r="B45">
            <v>0</v>
          </cell>
          <cell r="C45">
            <v>2</v>
          </cell>
          <cell r="D45">
            <v>0</v>
          </cell>
          <cell r="E45">
            <v>2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</row>
        <row r="46">
          <cell r="A46">
            <v>46145</v>
          </cell>
          <cell r="B46">
            <v>0</v>
          </cell>
          <cell r="C46">
            <v>2</v>
          </cell>
          <cell r="D46">
            <v>0</v>
          </cell>
          <cell r="E46">
            <v>2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</row>
        <row r="47">
          <cell r="A47">
            <v>46146</v>
          </cell>
          <cell r="B47">
            <v>1</v>
          </cell>
          <cell r="C47">
            <v>3</v>
          </cell>
          <cell r="D47">
            <v>1</v>
          </cell>
          <cell r="E47">
            <v>3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</row>
        <row r="48">
          <cell r="A48">
            <v>46147</v>
          </cell>
          <cell r="B48">
            <v>0</v>
          </cell>
          <cell r="C48">
            <v>3</v>
          </cell>
          <cell r="D48">
            <v>0</v>
          </cell>
          <cell r="E48">
            <v>3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</row>
        <row r="49">
          <cell r="A49">
            <v>46148</v>
          </cell>
          <cell r="B49">
            <v>0</v>
          </cell>
          <cell r="C49">
            <v>3</v>
          </cell>
          <cell r="D49">
            <v>0</v>
          </cell>
          <cell r="E49">
            <v>3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</row>
        <row r="50">
          <cell r="A50">
            <v>46149</v>
          </cell>
          <cell r="B50">
            <v>0</v>
          </cell>
          <cell r="C50">
            <v>3</v>
          </cell>
          <cell r="D50">
            <v>0</v>
          </cell>
          <cell r="E50">
            <v>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</row>
        <row r="51">
          <cell r="A51">
            <v>46150</v>
          </cell>
          <cell r="B51">
            <v>0</v>
          </cell>
          <cell r="C51">
            <v>3</v>
          </cell>
          <cell r="D51">
            <v>0</v>
          </cell>
          <cell r="E51">
            <v>3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</row>
        <row r="52">
          <cell r="A52">
            <v>46151</v>
          </cell>
          <cell r="B52">
            <v>0</v>
          </cell>
          <cell r="C52">
            <v>3</v>
          </cell>
          <cell r="D52">
            <v>0</v>
          </cell>
          <cell r="E52">
            <v>3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</row>
        <row r="53">
          <cell r="A53">
            <v>46152</v>
          </cell>
          <cell r="B53">
            <v>0</v>
          </cell>
          <cell r="C53">
            <v>3</v>
          </cell>
          <cell r="D53">
            <v>0</v>
          </cell>
          <cell r="E53">
            <v>3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</row>
        <row r="54">
          <cell r="A54">
            <v>46153</v>
          </cell>
          <cell r="B54">
            <v>0</v>
          </cell>
          <cell r="C54">
            <v>3</v>
          </cell>
          <cell r="D54">
            <v>0</v>
          </cell>
          <cell r="E54">
            <v>3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</row>
        <row r="55">
          <cell r="A55">
            <v>46154</v>
          </cell>
          <cell r="B55">
            <v>0</v>
          </cell>
          <cell r="C55">
            <v>3</v>
          </cell>
          <cell r="D55">
            <v>0</v>
          </cell>
          <cell r="E55">
            <v>3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</row>
        <row r="56">
          <cell r="A56">
            <v>46155</v>
          </cell>
          <cell r="B56">
            <v>0</v>
          </cell>
          <cell r="C56">
            <v>3</v>
          </cell>
          <cell r="D56">
            <v>0</v>
          </cell>
          <cell r="E56">
            <v>3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</row>
        <row r="57">
          <cell r="A57">
            <v>46156</v>
          </cell>
          <cell r="B57">
            <v>0</v>
          </cell>
          <cell r="C57">
            <v>3</v>
          </cell>
          <cell r="D57">
            <v>0</v>
          </cell>
          <cell r="E57">
            <v>3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</row>
        <row r="58">
          <cell r="A58">
            <v>46157</v>
          </cell>
          <cell r="B58">
            <v>0</v>
          </cell>
          <cell r="C58">
            <v>3</v>
          </cell>
          <cell r="D58">
            <v>0</v>
          </cell>
          <cell r="E58">
            <v>3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</row>
        <row r="59">
          <cell r="A59">
            <v>46158</v>
          </cell>
          <cell r="B59">
            <v>0</v>
          </cell>
          <cell r="C59">
            <v>3</v>
          </cell>
          <cell r="D59">
            <v>0</v>
          </cell>
          <cell r="E59">
            <v>3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</row>
        <row r="60">
          <cell r="A60">
            <v>46159</v>
          </cell>
          <cell r="B60">
            <v>0</v>
          </cell>
          <cell r="C60">
            <v>3</v>
          </cell>
          <cell r="D60">
            <v>0</v>
          </cell>
          <cell r="E60">
            <v>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</row>
        <row r="61">
          <cell r="A61">
            <v>46160</v>
          </cell>
          <cell r="B61">
            <v>0</v>
          </cell>
          <cell r="C61">
            <v>3</v>
          </cell>
          <cell r="D61">
            <v>0</v>
          </cell>
          <cell r="E61">
            <v>3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</row>
        <row r="62">
          <cell r="A62">
            <v>46161</v>
          </cell>
          <cell r="B62">
            <v>1</v>
          </cell>
          <cell r="C62">
            <v>4</v>
          </cell>
          <cell r="D62">
            <v>0</v>
          </cell>
          <cell r="E62">
            <v>3</v>
          </cell>
          <cell r="F62">
            <v>2</v>
          </cell>
          <cell r="G62">
            <v>0</v>
          </cell>
          <cell r="H62">
            <v>2</v>
          </cell>
          <cell r="I62">
            <v>0</v>
          </cell>
        </row>
        <row r="63">
          <cell r="A63">
            <v>46162</v>
          </cell>
          <cell r="B63">
            <v>1</v>
          </cell>
          <cell r="C63">
            <v>5</v>
          </cell>
          <cell r="D63">
            <v>0</v>
          </cell>
          <cell r="E63">
            <v>3</v>
          </cell>
          <cell r="F63">
            <v>0</v>
          </cell>
          <cell r="G63">
            <v>0</v>
          </cell>
          <cell r="H63">
            <v>2</v>
          </cell>
          <cell r="I63">
            <v>0</v>
          </cell>
        </row>
        <row r="64">
          <cell r="A64">
            <v>46163</v>
          </cell>
          <cell r="B64">
            <v>4</v>
          </cell>
          <cell r="C64">
            <v>9</v>
          </cell>
          <cell r="D64">
            <v>0</v>
          </cell>
          <cell r="E64">
            <v>3</v>
          </cell>
          <cell r="F64">
            <v>0</v>
          </cell>
          <cell r="G64">
            <v>0</v>
          </cell>
          <cell r="H64">
            <v>2</v>
          </cell>
          <cell r="I64">
            <v>0</v>
          </cell>
        </row>
        <row r="65">
          <cell r="A65">
            <v>46164</v>
          </cell>
          <cell r="B65">
            <v>0</v>
          </cell>
          <cell r="C65">
            <v>9</v>
          </cell>
          <cell r="D65">
            <v>0</v>
          </cell>
          <cell r="E65">
            <v>3</v>
          </cell>
          <cell r="F65">
            <v>0</v>
          </cell>
          <cell r="G65">
            <v>0</v>
          </cell>
          <cell r="H65">
            <v>2</v>
          </cell>
          <cell r="I65">
            <v>0</v>
          </cell>
        </row>
        <row r="66">
          <cell r="A66">
            <v>46165</v>
          </cell>
          <cell r="B66">
            <v>0</v>
          </cell>
          <cell r="C66">
            <v>9</v>
          </cell>
          <cell r="D66">
            <v>0</v>
          </cell>
          <cell r="E66">
            <v>3</v>
          </cell>
          <cell r="F66">
            <v>0</v>
          </cell>
          <cell r="G66">
            <v>0</v>
          </cell>
          <cell r="H66">
            <v>2</v>
          </cell>
          <cell r="I66">
            <v>0</v>
          </cell>
        </row>
        <row r="67">
          <cell r="A67">
            <v>46166</v>
          </cell>
          <cell r="B67">
            <v>0</v>
          </cell>
          <cell r="C67">
            <v>9</v>
          </cell>
          <cell r="D67">
            <v>0</v>
          </cell>
          <cell r="E67">
            <v>3</v>
          </cell>
          <cell r="F67">
            <v>0</v>
          </cell>
          <cell r="G67">
            <v>0</v>
          </cell>
          <cell r="H67">
            <v>2</v>
          </cell>
          <cell r="I67">
            <v>0</v>
          </cell>
        </row>
        <row r="68">
          <cell r="A68">
            <v>46167</v>
          </cell>
          <cell r="B68">
            <v>1</v>
          </cell>
          <cell r="C68">
            <v>10</v>
          </cell>
          <cell r="D68">
            <v>0</v>
          </cell>
          <cell r="E68">
            <v>3</v>
          </cell>
          <cell r="F68">
            <v>1</v>
          </cell>
          <cell r="G68">
            <v>0</v>
          </cell>
          <cell r="H68">
            <v>3</v>
          </cell>
          <cell r="I68">
            <v>0</v>
          </cell>
        </row>
        <row r="69">
          <cell r="A69">
            <v>46168</v>
          </cell>
          <cell r="B69">
            <v>2</v>
          </cell>
          <cell r="C69">
            <v>12</v>
          </cell>
          <cell r="D69">
            <v>1</v>
          </cell>
          <cell r="E69">
            <v>4</v>
          </cell>
          <cell r="F69">
            <v>1</v>
          </cell>
          <cell r="G69">
            <v>0</v>
          </cell>
          <cell r="H69">
            <v>4</v>
          </cell>
          <cell r="I69">
            <v>0</v>
          </cell>
        </row>
        <row r="70">
          <cell r="A70">
            <v>46169</v>
          </cell>
          <cell r="B70">
            <v>1</v>
          </cell>
          <cell r="C70">
            <v>13</v>
          </cell>
          <cell r="D70">
            <v>1</v>
          </cell>
          <cell r="E70">
            <v>5</v>
          </cell>
          <cell r="F70">
            <v>4</v>
          </cell>
          <cell r="G70">
            <v>0</v>
          </cell>
          <cell r="H70">
            <v>8</v>
          </cell>
          <cell r="I70">
            <v>0</v>
          </cell>
        </row>
        <row r="71">
          <cell r="A71">
            <v>46170</v>
          </cell>
          <cell r="B71">
            <v>1</v>
          </cell>
          <cell r="C71">
            <v>14</v>
          </cell>
          <cell r="D71">
            <v>0</v>
          </cell>
          <cell r="E71">
            <v>5</v>
          </cell>
          <cell r="F71">
            <v>0</v>
          </cell>
          <cell r="G71">
            <v>1</v>
          </cell>
          <cell r="H71">
            <v>8</v>
          </cell>
          <cell r="I71">
            <v>1</v>
          </cell>
        </row>
        <row r="72">
          <cell r="A72">
            <v>46171</v>
          </cell>
          <cell r="B72">
            <v>0</v>
          </cell>
          <cell r="C72">
            <v>14</v>
          </cell>
          <cell r="D72">
            <v>1</v>
          </cell>
          <cell r="E72">
            <v>6</v>
          </cell>
          <cell r="F72">
            <v>1</v>
          </cell>
          <cell r="G72">
            <v>0</v>
          </cell>
          <cell r="H72">
            <v>9</v>
          </cell>
          <cell r="I72">
            <v>1</v>
          </cell>
        </row>
        <row r="73">
          <cell r="A73">
            <v>46172</v>
          </cell>
          <cell r="B73">
            <v>0</v>
          </cell>
          <cell r="C73">
            <v>14</v>
          </cell>
          <cell r="D73">
            <v>0</v>
          </cell>
          <cell r="E73">
            <v>6</v>
          </cell>
          <cell r="F73">
            <v>0</v>
          </cell>
          <cell r="G73">
            <v>0</v>
          </cell>
          <cell r="H73">
            <v>9</v>
          </cell>
          <cell r="I73">
            <v>1</v>
          </cell>
        </row>
        <row r="74">
          <cell r="A74">
            <v>46173</v>
          </cell>
          <cell r="B74">
            <v>0</v>
          </cell>
          <cell r="C74">
            <v>14</v>
          </cell>
          <cell r="D74">
            <v>0</v>
          </cell>
          <cell r="E74">
            <v>6</v>
          </cell>
          <cell r="F74">
            <v>0</v>
          </cell>
          <cell r="G74">
            <v>0</v>
          </cell>
          <cell r="H74">
            <v>9</v>
          </cell>
          <cell r="I74">
            <v>1</v>
          </cell>
        </row>
        <row r="75">
          <cell r="A75">
            <v>46174</v>
          </cell>
          <cell r="B75">
            <v>2</v>
          </cell>
          <cell r="C75">
            <v>16</v>
          </cell>
          <cell r="D75">
            <v>0</v>
          </cell>
          <cell r="E75">
            <v>6</v>
          </cell>
          <cell r="F75">
            <v>1</v>
          </cell>
          <cell r="G75">
            <v>1</v>
          </cell>
          <cell r="H75">
            <v>10</v>
          </cell>
          <cell r="I75">
            <v>2</v>
          </cell>
        </row>
        <row r="76">
          <cell r="A76">
            <v>46175</v>
          </cell>
          <cell r="B76">
            <v>0</v>
          </cell>
          <cell r="C76">
            <v>16</v>
          </cell>
          <cell r="D76">
            <v>0</v>
          </cell>
          <cell r="E76">
            <v>6</v>
          </cell>
          <cell r="F76">
            <v>1</v>
          </cell>
          <cell r="G76">
            <v>1</v>
          </cell>
          <cell r="H76">
            <v>11</v>
          </cell>
          <cell r="I76">
            <v>3</v>
          </cell>
        </row>
        <row r="77">
          <cell r="A77">
            <v>46176</v>
          </cell>
          <cell r="B77">
            <v>0</v>
          </cell>
          <cell r="C77">
            <v>16</v>
          </cell>
          <cell r="D77">
            <v>1</v>
          </cell>
          <cell r="E77">
            <v>7</v>
          </cell>
          <cell r="F77">
            <v>2</v>
          </cell>
          <cell r="G77">
            <v>0</v>
          </cell>
          <cell r="H77">
            <v>13</v>
          </cell>
          <cell r="I77">
            <v>3</v>
          </cell>
        </row>
        <row r="78">
          <cell r="A78">
            <v>46177</v>
          </cell>
          <cell r="B78">
            <v>7</v>
          </cell>
          <cell r="C78">
            <v>23</v>
          </cell>
          <cell r="D78">
            <v>0</v>
          </cell>
          <cell r="E78">
            <v>7</v>
          </cell>
          <cell r="F78">
            <v>0</v>
          </cell>
          <cell r="G78">
            <v>0</v>
          </cell>
          <cell r="H78">
            <v>13</v>
          </cell>
          <cell r="I78">
            <v>3</v>
          </cell>
        </row>
        <row r="79">
          <cell r="A79">
            <v>46178</v>
          </cell>
          <cell r="B79">
            <v>0</v>
          </cell>
          <cell r="C79">
            <v>23</v>
          </cell>
          <cell r="D79">
            <v>0</v>
          </cell>
          <cell r="E79">
            <v>7</v>
          </cell>
          <cell r="F79">
            <v>2</v>
          </cell>
          <cell r="G79">
            <v>0</v>
          </cell>
          <cell r="H79">
            <v>15</v>
          </cell>
          <cell r="I79">
            <v>3</v>
          </cell>
        </row>
        <row r="80">
          <cell r="A80">
            <v>46179</v>
          </cell>
          <cell r="B80">
            <v>0</v>
          </cell>
          <cell r="C80">
            <v>23</v>
          </cell>
          <cell r="D80">
            <v>0</v>
          </cell>
          <cell r="E80">
            <v>7</v>
          </cell>
          <cell r="F80">
            <v>0</v>
          </cell>
          <cell r="G80">
            <v>0</v>
          </cell>
          <cell r="H80">
            <v>15</v>
          </cell>
          <cell r="I80">
            <v>3</v>
          </cell>
        </row>
        <row r="81">
          <cell r="A81">
            <v>46180</v>
          </cell>
          <cell r="B81">
            <v>0</v>
          </cell>
          <cell r="C81">
            <v>23</v>
          </cell>
          <cell r="D81">
            <v>0</v>
          </cell>
          <cell r="E81">
            <v>7</v>
          </cell>
          <cell r="F81">
            <v>0</v>
          </cell>
          <cell r="G81">
            <v>0</v>
          </cell>
          <cell r="H81">
            <v>15</v>
          </cell>
          <cell r="I81">
            <v>3</v>
          </cell>
        </row>
        <row r="82">
          <cell r="A82">
            <v>46181</v>
          </cell>
          <cell r="B82">
            <v>0</v>
          </cell>
          <cell r="C82">
            <v>23</v>
          </cell>
          <cell r="D82">
            <v>0</v>
          </cell>
          <cell r="E82">
            <v>7</v>
          </cell>
          <cell r="F82">
            <v>0</v>
          </cell>
          <cell r="G82">
            <v>0</v>
          </cell>
          <cell r="H82">
            <v>15</v>
          </cell>
          <cell r="I82">
            <v>3</v>
          </cell>
        </row>
        <row r="83">
          <cell r="A83">
            <v>46182</v>
          </cell>
          <cell r="B83">
            <v>8</v>
          </cell>
          <cell r="C83">
            <v>31</v>
          </cell>
          <cell r="D83">
            <v>0</v>
          </cell>
          <cell r="E83">
            <v>7</v>
          </cell>
          <cell r="F83">
            <v>0</v>
          </cell>
          <cell r="G83">
            <v>0</v>
          </cell>
          <cell r="H83">
            <v>15</v>
          </cell>
          <cell r="I83">
            <v>3</v>
          </cell>
        </row>
        <row r="84">
          <cell r="A84">
            <v>46183</v>
          </cell>
          <cell r="B84">
            <v>0</v>
          </cell>
          <cell r="C84">
            <v>31</v>
          </cell>
          <cell r="D84">
            <v>0</v>
          </cell>
          <cell r="E84">
            <v>7</v>
          </cell>
          <cell r="F84">
            <v>7</v>
          </cell>
          <cell r="G84">
            <v>0</v>
          </cell>
          <cell r="H84">
            <v>22</v>
          </cell>
          <cell r="I84">
            <v>3</v>
          </cell>
        </row>
        <row r="85">
          <cell r="A85">
            <v>46184</v>
          </cell>
          <cell r="B85">
            <v>1</v>
          </cell>
          <cell r="C85">
            <v>32</v>
          </cell>
          <cell r="D85">
            <v>0</v>
          </cell>
          <cell r="E85">
            <v>7</v>
          </cell>
          <cell r="F85">
            <v>0</v>
          </cell>
          <cell r="G85">
            <v>0</v>
          </cell>
          <cell r="H85">
            <v>22</v>
          </cell>
          <cell r="I85">
            <v>3</v>
          </cell>
        </row>
        <row r="86">
          <cell r="A86">
            <v>46185</v>
          </cell>
          <cell r="B86">
            <v>2</v>
          </cell>
          <cell r="C86">
            <v>34</v>
          </cell>
          <cell r="D86">
            <v>4</v>
          </cell>
          <cell r="E86">
            <v>11</v>
          </cell>
          <cell r="F86">
            <v>0</v>
          </cell>
          <cell r="G86">
            <v>0</v>
          </cell>
          <cell r="H86">
            <v>22</v>
          </cell>
          <cell r="I86">
            <v>3</v>
          </cell>
        </row>
        <row r="87">
          <cell r="A87">
            <v>46186</v>
          </cell>
          <cell r="B87">
            <v>0</v>
          </cell>
          <cell r="C87">
            <v>34</v>
          </cell>
          <cell r="D87">
            <v>0</v>
          </cell>
          <cell r="E87">
            <v>11</v>
          </cell>
          <cell r="F87">
            <v>0</v>
          </cell>
          <cell r="G87">
            <v>0</v>
          </cell>
          <cell r="H87">
            <v>22</v>
          </cell>
          <cell r="I87">
            <v>3</v>
          </cell>
        </row>
        <row r="88">
          <cell r="A88">
            <v>46187</v>
          </cell>
          <cell r="B88">
            <v>0</v>
          </cell>
          <cell r="C88">
            <v>34</v>
          </cell>
          <cell r="D88">
            <v>0</v>
          </cell>
          <cell r="E88">
            <v>11</v>
          </cell>
          <cell r="F88">
            <v>0</v>
          </cell>
          <cell r="G88">
            <v>0</v>
          </cell>
          <cell r="H88">
            <v>22</v>
          </cell>
          <cell r="I88">
            <v>3</v>
          </cell>
        </row>
        <row r="89">
          <cell r="A89">
            <v>46188</v>
          </cell>
          <cell r="B89">
            <v>0</v>
          </cell>
          <cell r="C89">
            <v>34</v>
          </cell>
          <cell r="D89">
            <v>0</v>
          </cell>
          <cell r="E89">
            <v>11</v>
          </cell>
          <cell r="F89">
            <v>8</v>
          </cell>
          <cell r="G89">
            <v>0</v>
          </cell>
          <cell r="H89">
            <v>30</v>
          </cell>
          <cell r="I89">
            <v>3</v>
          </cell>
        </row>
        <row r="90">
          <cell r="A90">
            <v>46189</v>
          </cell>
          <cell r="B90">
            <v>6</v>
          </cell>
          <cell r="C90">
            <v>40</v>
          </cell>
          <cell r="D90">
            <v>4</v>
          </cell>
          <cell r="E90">
            <v>15</v>
          </cell>
          <cell r="F90">
            <v>1</v>
          </cell>
          <cell r="G90">
            <v>0</v>
          </cell>
          <cell r="H90">
            <v>31</v>
          </cell>
          <cell r="I90">
            <v>3</v>
          </cell>
        </row>
        <row r="91">
          <cell r="A91">
            <v>46190</v>
          </cell>
          <cell r="B91">
            <v>0</v>
          </cell>
          <cell r="C91">
            <v>40</v>
          </cell>
          <cell r="D91">
            <v>0</v>
          </cell>
          <cell r="E91">
            <v>15</v>
          </cell>
          <cell r="F91">
            <v>1</v>
          </cell>
          <cell r="G91">
            <v>0</v>
          </cell>
          <cell r="H91">
            <v>32</v>
          </cell>
          <cell r="I91">
            <v>3</v>
          </cell>
        </row>
        <row r="92">
          <cell r="A92">
            <v>46191</v>
          </cell>
          <cell r="B92">
            <v>0</v>
          </cell>
          <cell r="C92">
            <v>40</v>
          </cell>
          <cell r="D92">
            <v>1</v>
          </cell>
          <cell r="E92">
            <v>16</v>
          </cell>
          <cell r="F92">
            <v>2</v>
          </cell>
          <cell r="G92">
            <v>0</v>
          </cell>
          <cell r="H92">
            <v>34</v>
          </cell>
          <cell r="I92">
            <v>3</v>
          </cell>
        </row>
        <row r="93">
          <cell r="A93">
            <v>46192</v>
          </cell>
          <cell r="B93">
            <v>2</v>
          </cell>
          <cell r="C93">
            <v>42</v>
          </cell>
          <cell r="D93">
            <v>3</v>
          </cell>
          <cell r="E93">
            <v>19</v>
          </cell>
          <cell r="F93">
            <v>0</v>
          </cell>
          <cell r="G93">
            <v>0</v>
          </cell>
          <cell r="H93">
            <v>34</v>
          </cell>
          <cell r="I93">
            <v>3</v>
          </cell>
        </row>
        <row r="94">
          <cell r="A94">
            <v>46193</v>
          </cell>
          <cell r="B94">
            <v>0</v>
          </cell>
          <cell r="C94">
            <v>42</v>
          </cell>
          <cell r="D94">
            <v>0</v>
          </cell>
          <cell r="E94">
            <v>19</v>
          </cell>
          <cell r="F94">
            <v>0</v>
          </cell>
          <cell r="G94">
            <v>0</v>
          </cell>
          <cell r="H94">
            <v>34</v>
          </cell>
          <cell r="I94">
            <v>3</v>
          </cell>
        </row>
        <row r="95">
          <cell r="A95">
            <v>46194</v>
          </cell>
          <cell r="B95">
            <v>0</v>
          </cell>
          <cell r="C95">
            <v>42</v>
          </cell>
          <cell r="D95">
            <v>0</v>
          </cell>
          <cell r="E95">
            <v>19</v>
          </cell>
          <cell r="F95">
            <v>0</v>
          </cell>
          <cell r="G95">
            <v>0</v>
          </cell>
          <cell r="H95">
            <v>34</v>
          </cell>
          <cell r="I95">
            <v>3</v>
          </cell>
        </row>
        <row r="96">
          <cell r="A96">
            <v>46195</v>
          </cell>
          <cell r="B96">
            <v>1</v>
          </cell>
          <cell r="C96">
            <v>43</v>
          </cell>
          <cell r="D96">
            <v>0</v>
          </cell>
          <cell r="E96">
            <v>19</v>
          </cell>
          <cell r="F96">
            <v>6</v>
          </cell>
          <cell r="G96">
            <v>0</v>
          </cell>
          <cell r="H96">
            <v>40</v>
          </cell>
          <cell r="I96">
            <v>3</v>
          </cell>
        </row>
        <row r="97">
          <cell r="A97">
            <v>46196</v>
          </cell>
          <cell r="B97">
            <v>6</v>
          </cell>
          <cell r="C97">
            <v>49</v>
          </cell>
          <cell r="D97">
            <v>11</v>
          </cell>
          <cell r="E97">
            <v>30</v>
          </cell>
          <cell r="F97">
            <v>0</v>
          </cell>
          <cell r="G97">
            <v>0</v>
          </cell>
          <cell r="H97">
            <v>40</v>
          </cell>
          <cell r="I97">
            <v>3</v>
          </cell>
        </row>
        <row r="98">
          <cell r="A98">
            <v>46197</v>
          </cell>
          <cell r="B98">
            <v>0</v>
          </cell>
          <cell r="C98">
            <v>49</v>
          </cell>
          <cell r="D98">
            <v>9</v>
          </cell>
          <cell r="E98">
            <v>39</v>
          </cell>
          <cell r="F98">
            <v>0</v>
          </cell>
          <cell r="G98">
            <v>0</v>
          </cell>
          <cell r="H98">
            <v>40</v>
          </cell>
          <cell r="I98">
            <v>3</v>
          </cell>
        </row>
        <row r="99">
          <cell r="A99">
            <v>46198</v>
          </cell>
          <cell r="B99">
            <v>2</v>
          </cell>
          <cell r="C99">
            <v>51</v>
          </cell>
          <cell r="D99">
            <v>1</v>
          </cell>
          <cell r="E99">
            <v>40</v>
          </cell>
          <cell r="F99">
            <v>2</v>
          </cell>
          <cell r="G99">
            <v>0</v>
          </cell>
          <cell r="H99">
            <v>42</v>
          </cell>
          <cell r="I99">
            <v>3</v>
          </cell>
        </row>
        <row r="100">
          <cell r="A100">
            <v>46199</v>
          </cell>
          <cell r="B100">
            <v>0</v>
          </cell>
          <cell r="C100">
            <v>51</v>
          </cell>
          <cell r="D100">
            <v>4</v>
          </cell>
          <cell r="E100">
            <v>44</v>
          </cell>
          <cell r="F100">
            <v>7</v>
          </cell>
          <cell r="G100">
            <v>0</v>
          </cell>
          <cell r="H100">
            <v>49</v>
          </cell>
          <cell r="I100">
            <v>3</v>
          </cell>
        </row>
        <row r="101">
          <cell r="A101">
            <v>46200</v>
          </cell>
          <cell r="B101">
            <v>0</v>
          </cell>
          <cell r="C101">
            <v>51</v>
          </cell>
          <cell r="D101">
            <v>0</v>
          </cell>
          <cell r="E101">
            <v>44</v>
          </cell>
          <cell r="F101">
            <v>0</v>
          </cell>
          <cell r="G101">
            <v>0</v>
          </cell>
          <cell r="H101">
            <v>49</v>
          </cell>
          <cell r="I101">
            <v>3</v>
          </cell>
        </row>
        <row r="102">
          <cell r="A102">
            <v>46201</v>
          </cell>
          <cell r="B102">
            <v>0</v>
          </cell>
          <cell r="C102">
            <v>51</v>
          </cell>
          <cell r="D102">
            <v>0</v>
          </cell>
          <cell r="E102">
            <v>44</v>
          </cell>
          <cell r="F102">
            <v>0</v>
          </cell>
          <cell r="G102">
            <v>0</v>
          </cell>
          <cell r="H102">
            <v>49</v>
          </cell>
          <cell r="I102">
            <v>3</v>
          </cell>
        </row>
        <row r="103">
          <cell r="A103">
            <v>46202</v>
          </cell>
          <cell r="B103">
            <v>3</v>
          </cell>
          <cell r="C103">
            <v>54</v>
          </cell>
          <cell r="D103">
            <v>4</v>
          </cell>
          <cell r="E103">
            <v>48</v>
          </cell>
          <cell r="F103">
            <v>0</v>
          </cell>
          <cell r="G103">
            <v>0</v>
          </cell>
          <cell r="H103">
            <v>49</v>
          </cell>
          <cell r="I103">
            <v>3</v>
          </cell>
        </row>
        <row r="104">
          <cell r="A104">
            <v>46203</v>
          </cell>
          <cell r="B104">
            <v>3</v>
          </cell>
          <cell r="C104">
            <v>57</v>
          </cell>
          <cell r="D104">
            <v>0</v>
          </cell>
          <cell r="E104">
            <v>48</v>
          </cell>
          <cell r="F104">
            <v>0</v>
          </cell>
          <cell r="G104">
            <v>0</v>
          </cell>
          <cell r="H104">
            <v>49</v>
          </cell>
          <cell r="I104">
            <v>3</v>
          </cell>
        </row>
        <row r="105">
          <cell r="A105">
            <v>46204</v>
          </cell>
          <cell r="B105">
            <v>22</v>
          </cell>
          <cell r="C105">
            <v>79</v>
          </cell>
          <cell r="D105">
            <v>6</v>
          </cell>
          <cell r="E105">
            <v>54</v>
          </cell>
          <cell r="F105">
            <v>2</v>
          </cell>
          <cell r="G105">
            <v>0</v>
          </cell>
          <cell r="H105">
            <v>51</v>
          </cell>
          <cell r="I105">
            <v>3</v>
          </cell>
        </row>
        <row r="106">
          <cell r="A106">
            <v>46205</v>
          </cell>
          <cell r="B106">
            <v>22</v>
          </cell>
          <cell r="C106">
            <v>101</v>
          </cell>
          <cell r="D106">
            <v>1</v>
          </cell>
          <cell r="E106">
            <v>55</v>
          </cell>
          <cell r="F106">
            <v>3</v>
          </cell>
          <cell r="G106">
            <v>0</v>
          </cell>
          <cell r="H106">
            <v>54</v>
          </cell>
          <cell r="I106">
            <v>3</v>
          </cell>
        </row>
        <row r="107">
          <cell r="A107">
            <v>46206</v>
          </cell>
          <cell r="B107">
            <v>1</v>
          </cell>
          <cell r="C107">
            <v>102</v>
          </cell>
          <cell r="D107">
            <v>6</v>
          </cell>
          <cell r="E107">
            <v>61</v>
          </cell>
          <cell r="F107">
            <v>0</v>
          </cell>
          <cell r="G107">
            <v>0</v>
          </cell>
          <cell r="H107">
            <v>54</v>
          </cell>
          <cell r="I107">
            <v>3</v>
          </cell>
        </row>
        <row r="108">
          <cell r="A108">
            <v>46207</v>
          </cell>
          <cell r="B108">
            <v>0</v>
          </cell>
          <cell r="C108">
            <v>102</v>
          </cell>
          <cell r="D108">
            <v>0</v>
          </cell>
          <cell r="E108">
            <v>61</v>
          </cell>
          <cell r="F108">
            <v>0</v>
          </cell>
          <cell r="G108">
            <v>0</v>
          </cell>
          <cell r="H108">
            <v>54</v>
          </cell>
          <cell r="I108">
            <v>3</v>
          </cell>
        </row>
        <row r="109">
          <cell r="A109">
            <v>46208</v>
          </cell>
          <cell r="B109">
            <v>0</v>
          </cell>
          <cell r="C109">
            <v>102</v>
          </cell>
          <cell r="D109">
            <v>0</v>
          </cell>
          <cell r="E109">
            <v>61</v>
          </cell>
          <cell r="F109">
            <v>0</v>
          </cell>
          <cell r="G109">
            <v>0</v>
          </cell>
          <cell r="H109">
            <v>54</v>
          </cell>
          <cell r="I109">
            <v>3</v>
          </cell>
        </row>
        <row r="110">
          <cell r="A110">
            <v>46209</v>
          </cell>
          <cell r="B110">
            <v>0</v>
          </cell>
          <cell r="C110">
            <v>102</v>
          </cell>
          <cell r="D110">
            <v>0</v>
          </cell>
          <cell r="E110">
            <v>61</v>
          </cell>
          <cell r="F110">
            <v>3</v>
          </cell>
          <cell r="G110">
            <v>0</v>
          </cell>
          <cell r="H110">
            <v>57</v>
          </cell>
          <cell r="I110">
            <v>3</v>
          </cell>
        </row>
        <row r="111">
          <cell r="A111">
            <v>46210</v>
          </cell>
          <cell r="B111">
            <v>0</v>
          </cell>
          <cell r="C111">
            <v>102</v>
          </cell>
          <cell r="D111">
            <v>0</v>
          </cell>
          <cell r="F111">
            <v>22</v>
          </cell>
          <cell r="G111">
            <v>0</v>
          </cell>
          <cell r="H111">
            <v>79</v>
          </cell>
        </row>
        <row r="112">
          <cell r="A112">
            <v>46211</v>
          </cell>
          <cell r="B112">
            <v>3</v>
          </cell>
          <cell r="C112">
            <v>105</v>
          </cell>
          <cell r="D112">
            <v>0</v>
          </cell>
          <cell r="F112">
            <v>22</v>
          </cell>
          <cell r="G112">
            <v>0</v>
          </cell>
          <cell r="H112">
            <v>101</v>
          </cell>
        </row>
        <row r="113">
          <cell r="A113">
            <v>46212</v>
          </cell>
          <cell r="B113">
            <v>0</v>
          </cell>
          <cell r="C113">
            <v>105</v>
          </cell>
          <cell r="D113">
            <v>0</v>
          </cell>
          <cell r="F113">
            <v>0</v>
          </cell>
          <cell r="G113">
            <v>0</v>
          </cell>
          <cell r="H113">
            <v>101</v>
          </cell>
        </row>
        <row r="114">
          <cell r="A114">
            <v>46213</v>
          </cell>
          <cell r="B114">
            <v>0</v>
          </cell>
          <cell r="C114">
            <v>105</v>
          </cell>
          <cell r="D114">
            <v>0</v>
          </cell>
          <cell r="F114">
            <v>0</v>
          </cell>
          <cell r="G114">
            <v>0</v>
          </cell>
          <cell r="H114">
            <v>101</v>
          </cell>
        </row>
        <row r="115">
          <cell r="A115">
            <v>46214</v>
          </cell>
          <cell r="B115">
            <v>0</v>
          </cell>
          <cell r="C115">
            <v>105</v>
          </cell>
          <cell r="D115">
            <v>0</v>
          </cell>
          <cell r="F115">
            <v>0</v>
          </cell>
          <cell r="G115">
            <v>0</v>
          </cell>
          <cell r="H115">
            <v>101</v>
          </cell>
        </row>
        <row r="116">
          <cell r="A116">
            <v>46215</v>
          </cell>
          <cell r="B116">
            <v>0</v>
          </cell>
          <cell r="C116">
            <v>105</v>
          </cell>
          <cell r="D116">
            <v>0</v>
          </cell>
          <cell r="F116">
            <v>0</v>
          </cell>
          <cell r="G116">
            <v>0</v>
          </cell>
          <cell r="H116">
            <v>101</v>
          </cell>
        </row>
        <row r="117">
          <cell r="A117">
            <v>46216</v>
          </cell>
          <cell r="B117">
            <v>0</v>
          </cell>
          <cell r="C117">
            <v>105</v>
          </cell>
          <cell r="D117">
            <v>0</v>
          </cell>
          <cell r="F117">
            <v>1</v>
          </cell>
          <cell r="G117">
            <v>0</v>
          </cell>
          <cell r="H117">
            <v>102</v>
          </cell>
        </row>
        <row r="118">
          <cell r="A118">
            <v>46217</v>
          </cell>
          <cell r="B118">
            <v>0</v>
          </cell>
          <cell r="C118">
            <v>105</v>
          </cell>
          <cell r="D118">
            <v>0</v>
          </cell>
          <cell r="F118">
            <v>0</v>
          </cell>
          <cell r="G118">
            <v>0</v>
          </cell>
          <cell r="H118">
            <v>102</v>
          </cell>
        </row>
        <row r="119">
          <cell r="A119">
            <v>46218</v>
          </cell>
          <cell r="B119">
            <v>0</v>
          </cell>
          <cell r="C119">
            <v>105</v>
          </cell>
          <cell r="D119">
            <v>0</v>
          </cell>
          <cell r="F119">
            <v>0</v>
          </cell>
          <cell r="G119">
            <v>0</v>
          </cell>
          <cell r="H119">
            <v>102</v>
          </cell>
        </row>
        <row r="120">
          <cell r="A120">
            <v>46219</v>
          </cell>
          <cell r="B120">
            <v>0</v>
          </cell>
          <cell r="C120">
            <v>105</v>
          </cell>
          <cell r="D120">
            <v>0</v>
          </cell>
          <cell r="F120">
            <v>3</v>
          </cell>
          <cell r="G120">
            <v>0</v>
          </cell>
          <cell r="H120">
            <v>105</v>
          </cell>
        </row>
      </sheetData>
      <sheetData sheetId="3"/>
      <sheetData sheetId="4"/>
      <sheetData sheetId="5"/>
      <sheetData sheetId="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51DF5F-9AF2-4B66-894A-611BB91E8AB6}" name="Tabela1" displayName="Tabela1" ref="A1:AF151" totalsRowShown="0" headerRowDxfId="147" dataDxfId="146">
  <autoFilter ref="A1:AF151" xr:uid="{4851DF5F-9AF2-4B66-894A-611BB91E8AB6}"/>
  <tableColumns count="32">
    <tableColumn id="1" xr3:uid="{5B8D47D4-F4F8-4F1D-8677-144636FAF9FC}" name="Id" dataDxfId="172"/>
    <tableColumn id="2" xr3:uid="{AEB72ECD-6DBB-49C4-9A18-4A004B6140B0}" name="EDT" dataDxfId="171"/>
    <tableColumn id="3" xr3:uid="{F1B3BDC1-B0FA-4AA2-A781-7E50276764D1}" name="Nome do Resumo da Tarefa" dataDxfId="170"/>
    <tableColumn id="4" xr3:uid="{E7A65A34-3B1A-4FD6-AA4B-C39B3B0C13F6}" name="Nome da Tarefa" dataDxfId="169"/>
    <tableColumn id="5" xr3:uid="{18C37BA5-9117-410F-8EB6-E054D757090C}" name="Título" dataDxfId="168"/>
    <tableColumn id="6" xr3:uid="{2770852C-E541-4A53-87BA-CCA07E165ECE}" name="Duração" dataDxfId="145"/>
    <tableColumn id="7" xr3:uid="{CABAB09D-E924-4209-A69C-C92801CA4DA2}" name="Início" dataDxfId="144"/>
    <tableColumn id="8" xr3:uid="{E6096DD8-4F7F-4C4F-AA7B-9DB6D55558DF}" name="Término" dataDxfId="142"/>
    <tableColumn id="9" xr3:uid="{5BF5D37B-58ED-4DBE-B31F-1FA1D510E4B2}" name="Predecessoras" dataDxfId="143"/>
    <tableColumn id="10" xr3:uid="{B7CC53D0-9863-49E9-AE96-BEE7B3AFB24A}" name="% concluída" dataDxfId="141" dataCellStyle="Porcentagem"/>
    <tableColumn id="11" xr3:uid="{948E65D9-A3C6-40F7-9D38-3010DDBE6073}" name="Término real" dataDxfId="139"/>
    <tableColumn id="12" xr3:uid="{E5A4C84C-6DB6-477C-B91C-21D49C0DE64E}" name="Status" dataDxfId="140"/>
    <tableColumn id="13" xr3:uid="{526806FF-19A0-400F-BADA-2BF0D94831CB}" name="Crítica" dataDxfId="167"/>
    <tableColumn id="14" xr3:uid="{DF293240-2EFF-4D1C-AE85-27D92B2E49EE}" name="Disciplina" dataDxfId="166"/>
    <tableColumn id="15" xr3:uid="{6939EC6F-E282-42A3-B511-A71C3B2E8935}" name="Inicio_LB_R0" dataDxfId="165"/>
    <tableColumn id="16" xr3:uid="{488A5C45-936C-450E-B61F-08831291720A}" name="Término_LB_R0" dataDxfId="164"/>
    <tableColumn id="17" xr3:uid="{E19FD996-5D6F-4680-964F-DC278CB90ED5}" name="Sprint" dataDxfId="163"/>
    <tableColumn id="18" xr3:uid="{520E057E-C853-468F-BBBB-3BCD7E68D8D7}" name="Sucessoras" dataDxfId="162"/>
    <tableColumn id="19" xr3:uid="{A85A4697-34DD-4DB4-81FF-CCDB6C93C240}" name="Comparação" dataDxfId="161"/>
    <tableColumn id="20" xr3:uid="{C4E69459-64F4-4006-9CE6-F7DB3EA2C5D8}" name="Nomes dos recursos" dataDxfId="160"/>
    <tableColumn id="21" xr3:uid="{07EC37CD-60A4-4A7C-AD84-0ACE5C7C4825}" name="pct_val" dataDxfId="159"/>
    <tableColumn id="22" xr3:uid="{2BE11646-C6F8-40C7-9862-67E63D899F68}" name="Emissão inicial total" dataDxfId="158"/>
    <tableColumn id="23" xr3:uid="{17754EBE-3A9C-43CF-9D5B-3C2CCFB033CD}" name="Emissão inicial concluída" dataDxfId="157"/>
    <tableColumn id="24" xr3:uid="{FD674C1B-6B78-449C-A89E-2996D6200778}" name="Emissão Inicial Atrasada" dataDxfId="156"/>
    <tableColumn id="25" xr3:uid="{B817ECA4-1D11-42E4-8A7C-38B3F0E613C9}" name="Aprovação total" dataDxfId="155"/>
    <tableColumn id="26" xr3:uid="{C660E364-1042-4F22-B794-C9CBCA55B5B3}" name="Avaliação do cliente concluída" dataDxfId="154"/>
    <tableColumn id="27" xr3:uid="{FE98CEE6-1811-4DED-B4BC-18CC6A8370EE}" name="Avaliação Cliente Atrasada" dataDxfId="153"/>
    <tableColumn id="28" xr3:uid="{A84A0758-EE1C-42DD-83A3-9F33CB0D840C}" name="Atendimento de comentário concluído" dataDxfId="152"/>
    <tableColumn id="29" xr3:uid="{FBE3576E-6FB4-419C-A785-2EB8CEBADD16}" name="Atendimento Atrasado" dataDxfId="151"/>
    <tableColumn id="30" xr3:uid="{F327F1FF-F894-42CE-BB4E-FE01CADFD0D5}" name="Aprovação concluída" dataDxfId="150"/>
    <tableColumn id="31" xr3:uid="{1928ECCC-C07D-48F9-AD45-91FFFCCB6209}" name="Aprovação Atrasada" dataDxfId="149"/>
    <tableColumn id="32" xr3:uid="{22203B61-B586-4A3E-AAA2-8590100D8BF4}" name="Aderência" dataDxfId="14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DFFE29-F4EE-4BA0-9A30-3E738C7434F8}" name="Tabela2" displayName="Tabela2" ref="A3:H16" totalsRowCount="1" headerRowDxfId="130" dataDxfId="129">
  <autoFilter ref="A3:H15" xr:uid="{E1DFFE29-F4EE-4BA0-9A30-3E738C7434F8}"/>
  <tableColumns count="8">
    <tableColumn id="1" xr3:uid="{FB1DD28C-4C3A-4721-9266-275F4E579F32}" name="Disciplina" totalsRowLabel="TOTAL" dataDxfId="138" totalsRowDxfId="128"/>
    <tableColumn id="2" xr3:uid="{32B204F1-32B3-4834-A015-15926AF976F5}" name="Emissão inicial total" totalsRowFunction="sum" dataDxfId="137" totalsRowDxfId="127"/>
    <tableColumn id="3" xr3:uid="{DCAAFA79-E3AB-420B-82EA-29B33239913A}" name="Emissão inicial concluída" totalsRowFunction="sum" dataDxfId="136" totalsRowDxfId="126"/>
    <tableColumn id="4" xr3:uid="{C36131B2-C43F-4EDA-B8CC-C12E4CAFBF9C}" name="%EI" dataDxfId="135" totalsRowDxfId="122"/>
    <tableColumn id="5" xr3:uid="{1FAD1C7A-4A11-4579-8F49-A2E667D847E8}" name="Avaliação do cliente concluída" totalsRowFunction="sum" dataDxfId="134" totalsRowDxfId="125"/>
    <tableColumn id="6" xr3:uid="{28775D18-9F41-4778-81C0-5156BCDD4AC2}" name="Atendimento de comentário concluído" totalsRowFunction="sum" dataDxfId="133" totalsRowDxfId="124"/>
    <tableColumn id="7" xr3:uid="{CE1B144D-7A1F-4F8D-8FFC-9AAB6864DB5D}" name="Aprovação concluída" totalsRowFunction="sum" dataDxfId="132" totalsRowDxfId="123"/>
    <tableColumn id="8" xr3:uid="{892BB9F3-2BE3-4BED-8FD6-817FE710A14D}" name="%AP" dataDxfId="131" totalsRowDxfId="12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4BE1F38-E75A-43F5-81F0-7AD1F54790DE}" name="Tabela3" displayName="Tabela3" ref="A21:E34" totalsRowCount="1" headerRowDxfId="114" dataDxfId="115">
  <autoFilter ref="A21:E33" xr:uid="{A4BE1F38-E75A-43F5-81F0-7AD1F54790DE}"/>
  <tableColumns count="5">
    <tableColumn id="1" xr3:uid="{44E58AFA-D688-404B-97EF-693BF20B2BD7}" name="Disciplina" totalsRowLabel="TOTAL" dataDxfId="120" totalsRowDxfId="113"/>
    <tableColumn id="2" xr3:uid="{5D0DB386-45D7-4B19-8A4B-365BC0A1E0A7}" name="Emissão Inicial Atrasada" totalsRowFunction="sum" dataDxfId="119" totalsRowDxfId="112"/>
    <tableColumn id="3" xr3:uid="{B0E7543C-49F1-48D2-B9C4-5B3B766BFF94}" name="Avaliação Cliente Atrasada" totalsRowFunction="sum" dataDxfId="118" totalsRowDxfId="111"/>
    <tableColumn id="4" xr3:uid="{CB6829B9-55B1-4D7B-851C-60A30B8916D7}" name="Atendimento Atrasado" totalsRowFunction="sum" dataDxfId="117" totalsRowDxfId="110"/>
    <tableColumn id="5" xr3:uid="{7582647B-CFD0-406E-AD46-9BE8C07A2E58}" name="Aprovação Atrasada" totalsRowFunction="sum" dataDxfId="116" totalsRowDxfId="10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803E172-B13F-4898-B570-DA818615F369}" name="Tabela4" displayName="Tabela4" ref="A1:O173" totalsRowShown="0" headerRowDxfId="95" dataDxfId="94">
  <autoFilter ref="A1:O173" xr:uid="{6803E172-B13F-4898-B570-DA818615F369}"/>
  <tableColumns count="15">
    <tableColumn id="1" xr3:uid="{6799575E-A074-4DCE-8BC2-E98664779D9F}" name="Data" dataDxfId="92"/>
    <tableColumn id="2" xr3:uid="{A7EC3B7D-9679-4C6B-B4AA-263BCE48CEEF}" name="Emissão prevista na LB" dataDxfId="93"/>
    <tableColumn id="3" xr3:uid="{C917D318-7B19-4F91-BA8E-653BEE625FD8}" name="Emissão prevista na LB acumulada" dataDxfId="108"/>
    <tableColumn id="4" xr3:uid="{4D8C6697-03A5-4992-A2C2-C2141FDE6C31}" name="Emissão realizada por dia" dataDxfId="107"/>
    <tableColumn id="5" xr3:uid="{B7F2697E-50EF-49CD-9616-A3E2C6DCD93B}" name="Emissão realizada acumulada" dataDxfId="106"/>
    <tableColumn id="6" xr3:uid="{763EB678-A88A-4AF7-B95D-7E7D3DDD706A}" name="Aprovação prevista na LB" dataDxfId="105"/>
    <tableColumn id="7" xr3:uid="{41601E18-2B0F-47BB-BEE4-8181E0A686E6}" name="Aprovação realizada por dia" dataDxfId="104"/>
    <tableColumn id="8" xr3:uid="{1D82EF21-9062-470E-B1D3-79F4DFE25C26}" name="Aprovação prevista na LB acumulada" dataDxfId="103"/>
    <tableColumn id="9" xr3:uid="{3E46B4C2-EC5B-4FE7-96A7-FE07B3B32F82}" name="Aprovação realizada acumulada" dataDxfId="102"/>
    <tableColumn id="10" xr3:uid="{1D23CECB-C3E8-41F0-82BF-73E08F6A62A0}" name="Avanço da EI previsto na LB" dataDxfId="101" dataCellStyle="Porcentagem"/>
    <tableColumn id="11" xr3:uid="{78373524-12A2-47E8-9547-D18D38293C87}" name="Avanço real da EI na LB" dataDxfId="100" dataCellStyle="Porcentagem"/>
    <tableColumn id="12" xr3:uid="{053B383F-368B-4E2D-9588-675EB29144E4}" name="COMP_EI" dataDxfId="99"/>
    <tableColumn id="13" xr3:uid="{D84D76C0-709B-4F9E-A6EC-DDC9B94FDA48}" name="Avanço da AP previsto na LB" dataDxfId="98" dataCellStyle="Porcentagem"/>
    <tableColumn id="14" xr3:uid="{70CAA186-5B90-4112-97F8-F48F5525E85D}" name="Avanço da AP real na LB" dataDxfId="97" dataCellStyle="Porcentagem"/>
    <tableColumn id="15" xr3:uid="{17AAE6B8-D41B-411D-B754-CAADB9C6B7BA}" name="COMP_AP" dataDxfId="9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D5FB0E2-5816-40CB-94EC-E4026BD7F0D8}" name="Tabela5" displayName="Tabela5" ref="A1:AF27" totalsRowShown="0" headerRowDxfId="66" dataDxfId="65">
  <autoFilter ref="A1:AF27" xr:uid="{8D5FB0E2-5816-40CB-94EC-E4026BD7F0D8}">
    <filterColumn colId="3">
      <filters>
        <filter val="emissão inicial"/>
      </filters>
    </filterColumn>
  </autoFilter>
  <tableColumns count="32">
    <tableColumn id="1" xr3:uid="{73C46E76-BDB6-4C44-9901-A81CEB19B7EC}" name="Id" dataDxfId="91"/>
    <tableColumn id="2" xr3:uid="{9A503303-F4E1-4F40-A346-92242EE4C072}" name="EDT" dataDxfId="90"/>
    <tableColumn id="3" xr3:uid="{3DDCEBD6-D944-4AAB-8E9B-CC3AC71139BD}" name="Nome do Resumo da Tarefa" dataDxfId="89"/>
    <tableColumn id="4" xr3:uid="{2BFC90FC-386E-4411-9E93-06B3326E757D}" name="Nome da Tarefa" dataDxfId="88"/>
    <tableColumn id="5" xr3:uid="{38CD865F-3DE5-49B3-BF3F-4A082E59220C}" name="Título" dataDxfId="87"/>
    <tableColumn id="6" xr3:uid="{826F09D7-822D-421A-9618-097A115C49FA}" name="Duração" dataDxfId="64"/>
    <tableColumn id="7" xr3:uid="{7AA62B02-BC62-481E-910B-BE806DBC5E56}" name="Início" dataDxfId="63"/>
    <tableColumn id="8" xr3:uid="{8866303C-A7BA-4B7F-A21A-482079597765}" name="Término" dataDxfId="61"/>
    <tableColumn id="9" xr3:uid="{E917154E-B756-4EB5-9177-D6E2347B72CE}" name="Predecessoras" dataDxfId="62"/>
    <tableColumn id="10" xr3:uid="{804BDEDB-D133-4C7C-AC65-E796E73D5CD5}" name="% concluída" dataDxfId="60"/>
    <tableColumn id="11" xr3:uid="{7A7C0F34-76DA-44E6-8F61-D50B05BFD581}" name="Término real" dataDxfId="58"/>
    <tableColumn id="12" xr3:uid="{6FE57C26-6E29-4204-953B-C5D6D029DCED}" name="Status" dataDxfId="59"/>
    <tableColumn id="13" xr3:uid="{D0ECD027-238C-47F5-A7AD-9ED19F0279E2}" name="Crítica" dataDxfId="86"/>
    <tableColumn id="14" xr3:uid="{297AD3E4-1920-4DCE-A121-ADBAD1667045}" name="Disciplina" dataDxfId="85"/>
    <tableColumn id="15" xr3:uid="{01322816-A102-4904-807A-9E1A155D9475}" name="Inicio_LB_R0" dataDxfId="84"/>
    <tableColumn id="16" xr3:uid="{967539AA-DDB6-404B-B895-273A8456682B}" name="Término_LB_R0" dataDxfId="83"/>
    <tableColumn id="17" xr3:uid="{C81C283A-C70A-4BFA-98D4-3AD063A5365F}" name="Sprint" dataDxfId="82"/>
    <tableColumn id="18" xr3:uid="{DCC87281-573B-4DB6-865C-0512CF3BE373}" name="Sucessoras" dataDxfId="81"/>
    <tableColumn id="19" xr3:uid="{D22CD627-EABF-470B-9109-A10B53D70CC2}" name="Comparação" dataDxfId="80"/>
    <tableColumn id="20" xr3:uid="{2C6A79F9-8E68-4206-8265-FAAE889B8DA6}" name="Nomes dos recursos" dataDxfId="79"/>
    <tableColumn id="21" xr3:uid="{40C18272-33D9-4015-8184-59405E024B49}" name="pct_val" dataDxfId="78"/>
    <tableColumn id="22" xr3:uid="{1175FF2C-CE82-4759-8EF8-01BCF4713F81}" name="Emissão inicial total" dataDxfId="77"/>
    <tableColumn id="23" xr3:uid="{D3E59B52-240F-4E32-9440-9CAA8C0B8680}" name="Emissão inicial concluída" dataDxfId="76"/>
    <tableColumn id="24" xr3:uid="{D8550C24-46A3-4300-B5A8-0461E4CA867B}" name="Emissão Inicial Atrasada" dataDxfId="75"/>
    <tableColumn id="25" xr3:uid="{3DBA408D-C2A3-4ACC-8A9B-4028827D3CBC}" name="Aprovação total" dataDxfId="74"/>
    <tableColumn id="26" xr3:uid="{31FFAE4E-6020-4811-B53B-C4553BEA6B17}" name="Avaliação do cliente concluída" dataDxfId="73"/>
    <tableColumn id="27" xr3:uid="{2F07B4B8-00E9-4BB8-8908-30D44736E16C}" name="Avaliação Cliente Atrasada" dataDxfId="72"/>
    <tableColumn id="28" xr3:uid="{ACCE7BBA-A773-48B2-8AC9-8FAEBAE01333}" name="Atendimento de comentário concluído" dataDxfId="71"/>
    <tableColumn id="29" xr3:uid="{4190B415-91C6-4C57-974C-DF8B8AA0EA95}" name="Atendimento Atrasado" dataDxfId="70"/>
    <tableColumn id="30" xr3:uid="{C5A46B22-82BD-41D6-897B-B80AB184C9E7}" name="Aprovação concluída" dataDxfId="69"/>
    <tableColumn id="31" xr3:uid="{DED8F4F8-C15E-4978-A887-A8525AC8E2B1}" name="Aprovação Atrasada" dataDxfId="68"/>
    <tableColumn id="32" xr3:uid="{4D4D0737-79E7-4528-9365-CD366318F7C1}" name="Aderência" dataDxfId="6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429CB40-D7FE-43E9-B990-FC44F1AF4080}" name="Tabela6" displayName="Tabela6" ref="A1:AF33" totalsRowShown="0" headerRowDxfId="29" dataDxfId="28">
  <autoFilter ref="A1:AF33" xr:uid="{1429CB40-D7FE-43E9-B990-FC44F1AF4080}">
    <filterColumn colId="3">
      <filters>
        <filter val="emissão inicial"/>
      </filters>
    </filterColumn>
  </autoFilter>
  <tableColumns count="32">
    <tableColumn id="1" xr3:uid="{9B98F7EA-8E11-4412-85C0-678A24C52B1E}" name="Id" dataDxfId="57"/>
    <tableColumn id="2" xr3:uid="{5B46F128-B9B5-4DBE-9C79-EBB08F088EA7}" name="EDT" dataDxfId="56"/>
    <tableColumn id="3" xr3:uid="{21CEA5E1-DB9C-49D0-B001-B058E32BDDCA}" name="Nome do Resumo da Tarefa" dataDxfId="55"/>
    <tableColumn id="4" xr3:uid="{0221A25F-310C-4F8C-868B-73E4486B475A}" name="Nome da Tarefa" dataDxfId="54"/>
    <tableColumn id="5" xr3:uid="{AF6E7F29-F2CE-498E-8712-1CC2786BEF8F}" name="Título" dataDxfId="53"/>
    <tableColumn id="6" xr3:uid="{FCA5978B-356A-4E2B-97D6-FD1A73ED6F23}" name="Duração" dataDxfId="27"/>
    <tableColumn id="7" xr3:uid="{E867D1EA-AA23-49B6-AD8E-F47AF76CD709}" name="Início" dataDxfId="26"/>
    <tableColumn id="8" xr3:uid="{27F90197-B683-4FE3-932A-2E51F7FAFAD1}" name="Término" dataDxfId="24"/>
    <tableColumn id="9" xr3:uid="{064192D9-FE88-4728-9E72-7A92F3AC6AD2}" name="Predecessoras" dataDxfId="25"/>
    <tableColumn id="10" xr3:uid="{2B596B56-7155-46D5-87F6-807F9E576D29}" name="% concluída" dataDxfId="52" dataCellStyle="Porcentagem"/>
    <tableColumn id="11" xr3:uid="{2CC0C3E2-98BF-47AB-AD6F-B25FD25181D3}" name="Término real" dataDxfId="51"/>
    <tableColumn id="12" xr3:uid="{98DFCD79-F73B-4164-8745-9212E2F14044}" name="Status" dataDxfId="50"/>
    <tableColumn id="13" xr3:uid="{225BA252-0EA6-471A-A424-63DC3AB4F10A}" name="Crítica" dataDxfId="49"/>
    <tableColumn id="14" xr3:uid="{3177F7A2-3F75-42D2-BD8B-547F351C9599}" name="Disciplina" dataDxfId="48"/>
    <tableColumn id="15" xr3:uid="{11823AA8-25D5-400F-968E-092D7801857F}" name="Inicio_LB_R0" dataDxfId="47"/>
    <tableColumn id="16" xr3:uid="{AF67C524-ECFA-48FB-922B-72690B8270B7}" name="Término_LB_R0" dataDxfId="46"/>
    <tableColumn id="17" xr3:uid="{4195B66C-F7B1-4E54-947B-A12306758B83}" name="Sprint" dataDxfId="45"/>
    <tableColumn id="18" xr3:uid="{F7F7BEAF-8E09-4F3F-A8EC-385553885923}" name="Sucessoras" dataDxfId="44"/>
    <tableColumn id="19" xr3:uid="{AD599040-06FD-40E0-BB4C-8D3D1F25ACDC}" name="Comparação" dataDxfId="43"/>
    <tableColumn id="20" xr3:uid="{9C140913-6077-47F9-AC86-B2AAB968DA0B}" name="Nomes dos recursos" dataDxfId="42"/>
    <tableColumn id="21" xr3:uid="{6123CC1B-8761-4B4D-92FC-A46D0B53E841}" name="pct_val" dataDxfId="41"/>
    <tableColumn id="22" xr3:uid="{5090A3DA-B4B4-4B83-9617-DA4EE210DA72}" name="Emissão inicial total" dataDxfId="40"/>
    <tableColumn id="23" xr3:uid="{32D5FE51-7FCD-414C-840A-DF730D8B7540}" name="Emissão inicial concluída" dataDxfId="39"/>
    <tableColumn id="24" xr3:uid="{14254B5D-AFA9-487A-8B05-9D1CD407C5F6}" name="Emissão Inicial Atrasada" dataDxfId="38"/>
    <tableColumn id="25" xr3:uid="{D6DE2BC7-059F-4417-B873-6FC48C7329EE}" name="Aprovação total" dataDxfId="37"/>
    <tableColumn id="26" xr3:uid="{1CE37111-DC6F-4082-90AF-F4C69BE6D858}" name="Avaliação do cliente concluída" dataDxfId="36"/>
    <tableColumn id="27" xr3:uid="{F4A66740-C3BE-4CAE-B216-D3A13EDB3D57}" name="Avaliação Cliente Atrasada" dataDxfId="35"/>
    <tableColumn id="28" xr3:uid="{5EE6AE9F-7F01-4F51-BA8F-19CEEF41BCD2}" name="Atendimento de comentário concluído" dataDxfId="34"/>
    <tableColumn id="29" xr3:uid="{606AF73F-EA87-4FD4-9768-7056DEE3CF06}" name="Atendimento Atrasado" dataDxfId="33"/>
    <tableColumn id="30" xr3:uid="{6C025FB3-9285-42D9-B934-D364BBE580D3}" name="Aprovação concluída" dataDxfId="32"/>
    <tableColumn id="31" xr3:uid="{0EE779CE-3552-41F8-9C37-3500A4BA7FCC}" name="Aprovação Atrasada" dataDxfId="31"/>
    <tableColumn id="32" xr3:uid="{13281D8C-6E7E-440E-B622-AEE255B70026}" name="Aderência" dataDxfId="3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C28C9A9-29EA-493F-A466-5218A96A090D}" name="Tabela7" displayName="Tabela7" ref="A1:J58" totalsRowShown="0" headerRowDxfId="13" dataDxfId="12">
  <autoFilter ref="A1:J58" xr:uid="{7C28C9A9-29EA-493F-A466-5218A96A090D}">
    <filterColumn colId="4">
      <filters>
        <filter val="emissão inicial"/>
      </filters>
    </filterColumn>
  </autoFilter>
  <tableColumns count="10">
    <tableColumn id="1" xr3:uid="{ABE4326E-1B20-4AE1-AE79-C865B9CB8215}" name="Sprint" dataDxfId="23"/>
    <tableColumn id="2" xr3:uid="{33741331-736E-4BDD-9335-5948740A1C47}" name="Id" dataDxfId="22"/>
    <tableColumn id="3" xr3:uid="{F239B22C-37B6-482D-B1C9-E13755585394}" name="EDT" dataDxfId="21"/>
    <tableColumn id="4" xr3:uid="{6C4456F5-A0B8-435C-862F-7211F6CC4213}" name="Nome do Resumo da Tarefa" dataDxfId="20"/>
    <tableColumn id="5" xr3:uid="{ED276345-D249-4521-AE63-853D9146827F}" name="Nome da Tarefa" dataDxfId="19"/>
    <tableColumn id="6" xr3:uid="{22BADFD5-3CC5-416F-9209-1CCA815B618D}" name="Status" dataDxfId="18"/>
    <tableColumn id="7" xr3:uid="{326AF3C0-A14D-482B-B747-E783CF9318FF}" name="% concluída" dataDxfId="17"/>
    <tableColumn id="8" xr3:uid="{2E97BC7A-102D-49A5-BA71-62B32F4C0AE8}" name="Nomes dos recursos" dataDxfId="16"/>
    <tableColumn id="9" xr3:uid="{7575E1C2-3A62-4281-9B52-481458D53A9E}" name="Disciplina" dataDxfId="15"/>
    <tableColumn id="10" xr3:uid="{173BC478-9CB0-4C66-A9DC-B2B835A6F449}" name="Crítica" dataDxfId="1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695E562-B84B-49D4-A42D-48A5C02F283C}" name="Tabela8" displayName="Tabela8" ref="A1:J18" totalsRowShown="0" headerRowDxfId="1" dataDxfId="0">
  <autoFilter ref="A1:J18" xr:uid="{6695E562-B84B-49D4-A42D-48A5C02F283C}"/>
  <tableColumns count="10">
    <tableColumn id="1" xr3:uid="{2FA8950E-72AE-4361-B753-207EC5372FEA}" name="Sprint" dataDxfId="11"/>
    <tableColumn id="2" xr3:uid="{0B8C23F4-A951-4A33-9117-4DDD92D1CF9D}" name="Id" dataDxfId="10"/>
    <tableColumn id="3" xr3:uid="{40453E69-1068-4181-BAEA-73290876D451}" name="EDT" dataDxfId="9"/>
    <tableColumn id="4" xr3:uid="{3B81367D-A2AA-4242-94F6-FB7E7062CCEC}" name="Nome do Resumo da Tarefa" dataDxfId="8"/>
    <tableColumn id="5" xr3:uid="{A4090983-618A-4814-A5BE-EFC0D5D606DC}" name="Nome da Tarefa" dataDxfId="7"/>
    <tableColumn id="6" xr3:uid="{B324C0AC-DF89-4966-882A-0D99E8131025}" name="Status" dataDxfId="6"/>
    <tableColumn id="7" xr3:uid="{0A398B4A-1B32-44D0-AA89-7F642BCBCFEE}" name="% concluída" dataDxfId="5" dataCellStyle="Porcentagem"/>
    <tableColumn id="8" xr3:uid="{E8FC7AAF-89C4-4445-A4DF-2ACCFD025F86}" name="Nomes dos recursos" dataDxfId="4"/>
    <tableColumn id="9" xr3:uid="{6B3FBA73-8F14-4A47-91D5-E4F16853B9BB}" name="Disciplina" dataDxfId="3"/>
    <tableColumn id="10" xr3:uid="{C44D6B69-EC43-4C18-8BF9-50A4F14F6569}" name="Crític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51"/>
  <sheetViews>
    <sheetView workbookViewId="0">
      <selection activeCell="J9" sqref="J9"/>
    </sheetView>
  </sheetViews>
  <sheetFormatPr defaultRowHeight="15" x14ac:dyDescent="0.25"/>
  <cols>
    <col min="1" max="1" width="7.28515625" style="1" bestFit="1" customWidth="1"/>
    <col min="2" max="2" width="9.28515625" style="1" bestFit="1" customWidth="1"/>
    <col min="3" max="3" width="30.42578125" style="1" bestFit="1" customWidth="1"/>
    <col min="4" max="4" width="31.5703125" style="1" bestFit="1" customWidth="1"/>
    <col min="5" max="5" width="29.85546875" style="1" bestFit="1" customWidth="1"/>
    <col min="6" max="6" width="12.7109375" style="1" bestFit="1" customWidth="1"/>
    <col min="7" max="7" width="10.7109375" style="3" bestFit="1" customWidth="1"/>
    <col min="8" max="8" width="13" style="3" bestFit="1" customWidth="1"/>
    <col min="9" max="9" width="18.42578125" style="1" bestFit="1" customWidth="1"/>
    <col min="10" max="10" width="16" style="4" bestFit="1" customWidth="1"/>
    <col min="11" max="11" width="16.85546875" style="3" bestFit="1" customWidth="1"/>
    <col min="12" max="12" width="12.42578125" style="1" bestFit="1" customWidth="1"/>
    <col min="13" max="13" width="11.140625" style="1" bestFit="1" customWidth="1"/>
    <col min="14" max="14" width="32.140625" style="1" bestFit="1" customWidth="1"/>
    <col min="15" max="15" width="16.5703125" style="1" bestFit="1" customWidth="1"/>
    <col min="16" max="16" width="19.28515625" style="1" bestFit="1" customWidth="1"/>
    <col min="17" max="17" width="14.5703125" style="1" bestFit="1" customWidth="1"/>
    <col min="18" max="18" width="74.5703125" style="1" bestFit="1" customWidth="1"/>
    <col min="19" max="19" width="16.42578125" style="1" bestFit="1" customWidth="1"/>
    <col min="20" max="20" width="23.5703125" style="1" bestFit="1" customWidth="1"/>
    <col min="21" max="21" width="11.85546875" style="1" bestFit="1" customWidth="1"/>
    <col min="22" max="22" width="23.28515625" style="1" bestFit="1" customWidth="1"/>
    <col min="23" max="23" width="27.7109375" style="1" bestFit="1" customWidth="1"/>
    <col min="24" max="24" width="27" style="1" bestFit="1" customWidth="1"/>
    <col min="25" max="25" width="19.5703125" style="1" bestFit="1" customWidth="1"/>
    <col min="26" max="26" width="32.7109375" style="1" bestFit="1" customWidth="1"/>
    <col min="27" max="27" width="29.42578125" style="1" bestFit="1" customWidth="1"/>
    <col min="28" max="28" width="40.5703125" style="1" bestFit="1" customWidth="1"/>
    <col min="29" max="29" width="26.140625" style="1" bestFit="1" customWidth="1"/>
    <col min="30" max="30" width="24" style="1" bestFit="1" customWidth="1"/>
    <col min="31" max="31" width="23.28515625" style="1" bestFit="1" customWidth="1"/>
    <col min="32" max="32" width="14.5703125" style="1" bestFit="1" customWidth="1"/>
    <col min="33" max="16384" width="9.140625" style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4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1">
        <v>1</v>
      </c>
      <c r="B2" s="1">
        <v>1</v>
      </c>
      <c r="D2" s="1" t="s">
        <v>32</v>
      </c>
      <c r="F2" s="1" t="s">
        <v>33</v>
      </c>
      <c r="G2" s="3">
        <v>46160</v>
      </c>
      <c r="H2" s="3">
        <v>46381</v>
      </c>
      <c r="J2" s="4">
        <v>0.28999999999999998</v>
      </c>
      <c r="L2" s="1" t="s">
        <v>34</v>
      </c>
      <c r="M2" s="1" t="s">
        <v>35</v>
      </c>
      <c r="N2" s="1" t="s">
        <v>36</v>
      </c>
      <c r="O2" s="1" t="s">
        <v>37</v>
      </c>
      <c r="P2" s="2">
        <v>46211</v>
      </c>
      <c r="Q2" s="1" t="s">
        <v>38</v>
      </c>
      <c r="U2" s="1">
        <v>0.28999999999999998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</row>
    <row r="3" spans="1:32" x14ac:dyDescent="0.25">
      <c r="A3" s="1">
        <v>2</v>
      </c>
      <c r="B3" s="1" t="s">
        <v>39</v>
      </c>
      <c r="C3" s="1" t="s">
        <v>40</v>
      </c>
      <c r="D3" s="1" t="s">
        <v>41</v>
      </c>
      <c r="F3" s="1" t="s">
        <v>33</v>
      </c>
      <c r="G3" s="3">
        <v>46160</v>
      </c>
      <c r="H3" s="3">
        <v>46381</v>
      </c>
      <c r="J3" s="4">
        <v>0.28999999999999998</v>
      </c>
      <c r="L3" s="1" t="s">
        <v>34</v>
      </c>
      <c r="M3" s="1" t="s">
        <v>35</v>
      </c>
      <c r="N3" s="1" t="s">
        <v>36</v>
      </c>
      <c r="O3" s="1" t="s">
        <v>37</v>
      </c>
      <c r="P3" s="2">
        <v>46211</v>
      </c>
      <c r="Q3" s="1" t="s">
        <v>38</v>
      </c>
      <c r="U3" s="1">
        <v>0.28999999999999998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</row>
    <row r="4" spans="1:32" x14ac:dyDescent="0.25">
      <c r="A4" s="1">
        <v>3</v>
      </c>
      <c r="B4" s="1" t="s">
        <v>42</v>
      </c>
      <c r="C4" s="1" t="s">
        <v>43</v>
      </c>
      <c r="D4" s="1" t="s">
        <v>44</v>
      </c>
      <c r="F4" s="1" t="s">
        <v>45</v>
      </c>
      <c r="G4" s="3">
        <v>46160</v>
      </c>
      <c r="H4" s="3">
        <v>46160</v>
      </c>
      <c r="J4" s="4">
        <v>1</v>
      </c>
      <c r="K4" s="3">
        <v>46160</v>
      </c>
      <c r="L4" s="1" t="s">
        <v>46</v>
      </c>
      <c r="M4" s="1" t="s">
        <v>47</v>
      </c>
      <c r="N4" s="1" t="s">
        <v>36</v>
      </c>
      <c r="O4" s="1" t="s">
        <v>37</v>
      </c>
      <c r="P4" s="2">
        <v>46139</v>
      </c>
      <c r="Q4" s="1" t="s">
        <v>38</v>
      </c>
      <c r="R4" s="1" t="s">
        <v>48</v>
      </c>
      <c r="U4" s="1">
        <v>1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</row>
    <row r="5" spans="1:32" x14ac:dyDescent="0.25">
      <c r="A5" s="1">
        <v>4</v>
      </c>
      <c r="B5" s="1" t="s">
        <v>49</v>
      </c>
      <c r="C5" s="1" t="s">
        <v>43</v>
      </c>
      <c r="D5" s="1" t="s">
        <v>50</v>
      </c>
      <c r="F5" s="1" t="s">
        <v>45</v>
      </c>
      <c r="G5" s="3">
        <v>46160</v>
      </c>
      <c r="H5" s="3">
        <v>46160</v>
      </c>
      <c r="J5" s="4">
        <v>1</v>
      </c>
      <c r="K5" s="3">
        <v>46160</v>
      </c>
      <c r="L5" s="1" t="s">
        <v>46</v>
      </c>
      <c r="M5" s="1" t="s">
        <v>47</v>
      </c>
      <c r="N5" s="1" t="s">
        <v>51</v>
      </c>
      <c r="O5" s="1" t="s">
        <v>52</v>
      </c>
      <c r="P5" s="2">
        <v>46141</v>
      </c>
      <c r="Q5" s="1" t="s">
        <v>38</v>
      </c>
      <c r="U5" s="1">
        <v>1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</row>
    <row r="6" spans="1:32" x14ac:dyDescent="0.25">
      <c r="A6" s="1">
        <v>5</v>
      </c>
      <c r="B6" s="1" t="s">
        <v>53</v>
      </c>
      <c r="C6" s="1" t="s">
        <v>54</v>
      </c>
      <c r="D6" s="1" t="s">
        <v>55</v>
      </c>
      <c r="F6" s="1" t="s">
        <v>45</v>
      </c>
      <c r="G6" s="3">
        <v>46160</v>
      </c>
      <c r="H6" s="3">
        <v>46160</v>
      </c>
      <c r="I6" s="1">
        <v>3</v>
      </c>
      <c r="J6" s="4">
        <v>1</v>
      </c>
      <c r="K6" s="3">
        <v>46160</v>
      </c>
      <c r="L6" s="1" t="s">
        <v>46</v>
      </c>
      <c r="M6" s="1" t="s">
        <v>47</v>
      </c>
      <c r="N6" s="1" t="s">
        <v>51</v>
      </c>
      <c r="O6" s="1" t="s">
        <v>52</v>
      </c>
      <c r="P6" s="2">
        <v>46141</v>
      </c>
      <c r="Q6" s="1" t="s">
        <v>38</v>
      </c>
      <c r="U6" s="1">
        <v>1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</row>
    <row r="7" spans="1:32" x14ac:dyDescent="0.25">
      <c r="A7" s="1">
        <v>6</v>
      </c>
      <c r="B7" s="1" t="s">
        <v>56</v>
      </c>
      <c r="C7" s="1" t="s">
        <v>43</v>
      </c>
      <c r="D7" s="1" t="s">
        <v>57</v>
      </c>
      <c r="F7" s="1" t="s">
        <v>58</v>
      </c>
      <c r="G7" s="3">
        <v>46174</v>
      </c>
      <c r="H7" s="3">
        <v>46381</v>
      </c>
      <c r="J7" s="4">
        <v>0.77</v>
      </c>
      <c r="L7" s="1" t="s">
        <v>34</v>
      </c>
      <c r="M7" s="1" t="s">
        <v>35</v>
      </c>
      <c r="N7" s="1" t="s">
        <v>59</v>
      </c>
      <c r="O7" s="1" t="s">
        <v>37</v>
      </c>
      <c r="P7" s="2">
        <v>46161</v>
      </c>
      <c r="Q7" s="1" t="s">
        <v>38</v>
      </c>
      <c r="U7" s="1">
        <v>0.77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</row>
    <row r="8" spans="1:32" x14ac:dyDescent="0.25">
      <c r="A8" s="1">
        <v>7</v>
      </c>
      <c r="B8" s="1" t="s">
        <v>60</v>
      </c>
      <c r="C8" s="1" t="s">
        <v>61</v>
      </c>
      <c r="D8" s="1" t="s">
        <v>62</v>
      </c>
      <c r="E8" s="1" t="s">
        <v>63</v>
      </c>
      <c r="F8" s="1" t="s">
        <v>58</v>
      </c>
      <c r="G8" s="3">
        <v>46174</v>
      </c>
      <c r="H8" s="3">
        <v>46381</v>
      </c>
      <c r="J8" s="4">
        <v>0.7</v>
      </c>
      <c r="L8" s="1" t="s">
        <v>64</v>
      </c>
      <c r="M8" s="1" t="s">
        <v>35</v>
      </c>
      <c r="N8" s="1" t="s">
        <v>59</v>
      </c>
      <c r="O8" s="1" t="s">
        <v>37</v>
      </c>
      <c r="P8" s="2">
        <v>46161</v>
      </c>
      <c r="Q8" s="1" t="s">
        <v>38</v>
      </c>
      <c r="U8" s="1">
        <v>0.7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</row>
    <row r="9" spans="1:32" x14ac:dyDescent="0.25">
      <c r="A9" s="1">
        <v>8</v>
      </c>
      <c r="B9" s="1" t="s">
        <v>65</v>
      </c>
      <c r="C9" s="1" t="s">
        <v>66</v>
      </c>
      <c r="D9" s="1" t="s">
        <v>67</v>
      </c>
      <c r="F9" s="1" t="s">
        <v>68</v>
      </c>
      <c r="G9" s="3">
        <v>46174</v>
      </c>
      <c r="H9" s="3">
        <v>46175</v>
      </c>
      <c r="I9" s="1" t="s">
        <v>69</v>
      </c>
      <c r="J9" s="4">
        <v>1</v>
      </c>
      <c r="K9" s="3">
        <v>46175</v>
      </c>
      <c r="L9" s="1" t="s">
        <v>46</v>
      </c>
      <c r="M9" s="1" t="s">
        <v>47</v>
      </c>
      <c r="N9" s="1" t="s">
        <v>59</v>
      </c>
      <c r="O9" s="1" t="s">
        <v>37</v>
      </c>
      <c r="P9" s="2">
        <v>46141</v>
      </c>
      <c r="Q9" s="1" t="s">
        <v>38</v>
      </c>
      <c r="R9" s="1" t="s">
        <v>70</v>
      </c>
      <c r="U9" s="1">
        <v>1</v>
      </c>
      <c r="V9" s="1">
        <v>1</v>
      </c>
      <c r="W9" s="1">
        <v>1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1</v>
      </c>
    </row>
    <row r="10" spans="1:32" x14ac:dyDescent="0.25">
      <c r="A10" s="1">
        <v>9</v>
      </c>
      <c r="B10" s="1" t="s">
        <v>71</v>
      </c>
      <c r="C10" s="1" t="s">
        <v>66</v>
      </c>
      <c r="D10" s="1" t="s">
        <v>72</v>
      </c>
      <c r="F10" s="1" t="s">
        <v>73</v>
      </c>
      <c r="G10" s="3">
        <v>46176</v>
      </c>
      <c r="H10" s="3">
        <v>46176</v>
      </c>
      <c r="I10" s="1">
        <v>8</v>
      </c>
      <c r="J10" s="4">
        <v>1</v>
      </c>
      <c r="K10" s="3">
        <v>46176</v>
      </c>
      <c r="L10" s="1" t="s">
        <v>46</v>
      </c>
      <c r="M10" s="1" t="s">
        <v>47</v>
      </c>
      <c r="N10" s="1" t="s">
        <v>59</v>
      </c>
      <c r="O10" s="1" t="s">
        <v>74</v>
      </c>
      <c r="P10" s="2">
        <v>46142</v>
      </c>
      <c r="Q10" s="1" t="s">
        <v>38</v>
      </c>
      <c r="R10" s="1" t="s">
        <v>75</v>
      </c>
      <c r="U10" s="1">
        <v>1</v>
      </c>
      <c r="V10" s="1">
        <v>0</v>
      </c>
      <c r="W10" s="1">
        <v>0</v>
      </c>
      <c r="X10" s="1">
        <v>0</v>
      </c>
      <c r="Y10" s="1">
        <v>0</v>
      </c>
      <c r="Z10" s="1">
        <v>1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</row>
    <row r="11" spans="1:32" x14ac:dyDescent="0.25">
      <c r="A11" s="1">
        <v>10</v>
      </c>
      <c r="B11" s="1" t="s">
        <v>76</v>
      </c>
      <c r="C11" s="1" t="s">
        <v>66</v>
      </c>
      <c r="D11" s="1" t="s">
        <v>77</v>
      </c>
      <c r="F11" s="1" t="s">
        <v>73</v>
      </c>
      <c r="G11" s="3">
        <v>46373</v>
      </c>
      <c r="H11" s="3">
        <v>46377</v>
      </c>
      <c r="I11" s="1" t="s">
        <v>78</v>
      </c>
      <c r="J11" s="4">
        <v>0.5</v>
      </c>
      <c r="L11" s="1" t="s">
        <v>79</v>
      </c>
      <c r="M11" s="1" t="s">
        <v>35</v>
      </c>
      <c r="N11" s="1" t="s">
        <v>59</v>
      </c>
      <c r="O11" s="1" t="s">
        <v>80</v>
      </c>
      <c r="P11" s="2">
        <v>46155</v>
      </c>
      <c r="Q11" s="1" t="s">
        <v>38</v>
      </c>
      <c r="R11" s="1" t="s">
        <v>81</v>
      </c>
      <c r="U11" s="1">
        <v>0.5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</row>
    <row r="12" spans="1:32" x14ac:dyDescent="0.25">
      <c r="A12" s="1">
        <v>11</v>
      </c>
      <c r="B12" s="1" t="s">
        <v>82</v>
      </c>
      <c r="C12" s="1" t="s">
        <v>66</v>
      </c>
      <c r="D12" s="1" t="s">
        <v>83</v>
      </c>
      <c r="F12" s="1" t="s">
        <v>73</v>
      </c>
      <c r="G12" s="3">
        <v>46380</v>
      </c>
      <c r="H12" s="3">
        <v>46381</v>
      </c>
      <c r="I12" s="1" t="s">
        <v>84</v>
      </c>
      <c r="J12" s="4">
        <v>0</v>
      </c>
      <c r="L12" s="1" t="s">
        <v>79</v>
      </c>
      <c r="M12" s="1" t="s">
        <v>35</v>
      </c>
      <c r="N12" s="1" t="s">
        <v>59</v>
      </c>
      <c r="O12" s="1" t="s">
        <v>85</v>
      </c>
      <c r="P12" s="2">
        <v>46161</v>
      </c>
      <c r="Q12" s="1" t="s">
        <v>38</v>
      </c>
      <c r="U12" s="1">
        <v>0</v>
      </c>
      <c r="V12" s="1">
        <v>0</v>
      </c>
      <c r="W12" s="1">
        <v>0</v>
      </c>
      <c r="X12" s="1">
        <v>0</v>
      </c>
      <c r="Y12" s="1">
        <v>1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</row>
    <row r="13" spans="1:32" x14ac:dyDescent="0.25">
      <c r="A13" s="1">
        <v>12</v>
      </c>
      <c r="B13" s="1" t="s">
        <v>86</v>
      </c>
      <c r="C13" s="1" t="s">
        <v>61</v>
      </c>
      <c r="D13" s="1" t="s">
        <v>87</v>
      </c>
      <c r="E13" s="1" t="s">
        <v>88</v>
      </c>
      <c r="F13" s="1" t="s">
        <v>89</v>
      </c>
      <c r="G13" s="3">
        <v>46176</v>
      </c>
      <c r="H13" s="3">
        <v>46197</v>
      </c>
      <c r="J13" s="4">
        <v>0.81</v>
      </c>
      <c r="L13" s="1" t="s">
        <v>34</v>
      </c>
      <c r="M13" s="1" t="s">
        <v>47</v>
      </c>
      <c r="N13" s="1" t="s">
        <v>59</v>
      </c>
      <c r="O13" s="1" t="s">
        <v>74</v>
      </c>
      <c r="P13" s="2">
        <v>46161</v>
      </c>
      <c r="Q13" s="1" t="s">
        <v>38</v>
      </c>
      <c r="U13" s="1">
        <v>0.81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</row>
    <row r="14" spans="1:32" x14ac:dyDescent="0.25">
      <c r="A14" s="1">
        <v>13</v>
      </c>
      <c r="B14" s="1" t="s">
        <v>90</v>
      </c>
      <c r="C14" s="1" t="s">
        <v>91</v>
      </c>
      <c r="D14" s="1" t="s">
        <v>67</v>
      </c>
      <c r="F14" s="1" t="s">
        <v>92</v>
      </c>
      <c r="G14" s="3">
        <v>46176</v>
      </c>
      <c r="H14" s="3">
        <v>46178</v>
      </c>
      <c r="I14" s="1">
        <v>8</v>
      </c>
      <c r="J14" s="4">
        <v>1</v>
      </c>
      <c r="K14" s="3">
        <v>46178</v>
      </c>
      <c r="L14" s="1" t="s">
        <v>46</v>
      </c>
      <c r="M14" s="1" t="s">
        <v>47</v>
      </c>
      <c r="N14" s="1" t="s">
        <v>59</v>
      </c>
      <c r="O14" s="1" t="s">
        <v>74</v>
      </c>
      <c r="P14" s="2">
        <v>46146</v>
      </c>
      <c r="Q14" s="1" t="s">
        <v>38</v>
      </c>
      <c r="R14" s="1" t="s">
        <v>93</v>
      </c>
      <c r="U14" s="1">
        <v>1</v>
      </c>
      <c r="V14" s="1">
        <v>1</v>
      </c>
      <c r="W14" s="1">
        <v>1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1</v>
      </c>
    </row>
    <row r="15" spans="1:32" x14ac:dyDescent="0.25">
      <c r="A15" s="1">
        <v>14</v>
      </c>
      <c r="B15" s="1" t="s">
        <v>94</v>
      </c>
      <c r="C15" s="1" t="s">
        <v>91</v>
      </c>
      <c r="D15" s="1" t="s">
        <v>72</v>
      </c>
      <c r="F15" s="1" t="s">
        <v>92</v>
      </c>
      <c r="G15" s="3">
        <v>46181</v>
      </c>
      <c r="H15" s="3">
        <v>46183</v>
      </c>
      <c r="I15" s="1">
        <v>13</v>
      </c>
      <c r="J15" s="4">
        <v>1</v>
      </c>
      <c r="K15" s="3">
        <v>46183</v>
      </c>
      <c r="L15" s="1" t="s">
        <v>46</v>
      </c>
      <c r="M15" s="1" t="s">
        <v>47</v>
      </c>
      <c r="N15" s="1" t="s">
        <v>59</v>
      </c>
      <c r="O15" s="1" t="s">
        <v>95</v>
      </c>
      <c r="P15" s="2">
        <v>46147</v>
      </c>
      <c r="Q15" s="1" t="s">
        <v>38</v>
      </c>
      <c r="R15" s="1" t="s">
        <v>96</v>
      </c>
      <c r="U15" s="1">
        <v>1</v>
      </c>
      <c r="V15" s="1">
        <v>0</v>
      </c>
      <c r="W15" s="1">
        <v>0</v>
      </c>
      <c r="X15" s="1">
        <v>0</v>
      </c>
      <c r="Y15" s="1">
        <v>0</v>
      </c>
      <c r="Z15" s="1">
        <v>1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</row>
    <row r="16" spans="1:32" x14ac:dyDescent="0.25">
      <c r="A16" s="1">
        <v>15</v>
      </c>
      <c r="B16" s="1" t="s">
        <v>97</v>
      </c>
      <c r="C16" s="1" t="s">
        <v>91</v>
      </c>
      <c r="D16" s="1" t="s">
        <v>77</v>
      </c>
      <c r="F16" s="1" t="s">
        <v>73</v>
      </c>
      <c r="G16" s="3">
        <v>46196</v>
      </c>
      <c r="H16" s="3">
        <v>46196</v>
      </c>
      <c r="I16" s="1" t="s">
        <v>98</v>
      </c>
      <c r="J16" s="4">
        <v>0.5</v>
      </c>
      <c r="L16" s="1" t="s">
        <v>34</v>
      </c>
      <c r="M16" s="1" t="s">
        <v>47</v>
      </c>
      <c r="N16" s="1" t="s">
        <v>59</v>
      </c>
      <c r="O16" s="1" t="s">
        <v>99</v>
      </c>
      <c r="P16" s="2">
        <v>46160</v>
      </c>
      <c r="Q16" s="1" t="s">
        <v>38</v>
      </c>
      <c r="R16" s="1">
        <v>16</v>
      </c>
      <c r="U16" s="1">
        <v>0.5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1</v>
      </c>
      <c r="AD16" s="1">
        <v>0</v>
      </c>
      <c r="AE16" s="1">
        <v>0</v>
      </c>
      <c r="AF16" s="1">
        <v>0</v>
      </c>
    </row>
    <row r="17" spans="1:32" x14ac:dyDescent="0.25">
      <c r="A17" s="1">
        <v>16</v>
      </c>
      <c r="B17" s="1" t="s">
        <v>100</v>
      </c>
      <c r="C17" s="1" t="s">
        <v>91</v>
      </c>
      <c r="D17" s="1" t="s">
        <v>83</v>
      </c>
      <c r="F17" s="1" t="s">
        <v>73</v>
      </c>
      <c r="G17" s="3">
        <v>46197</v>
      </c>
      <c r="H17" s="3">
        <v>46197</v>
      </c>
      <c r="I17" s="1">
        <v>15</v>
      </c>
      <c r="J17" s="4">
        <v>0</v>
      </c>
      <c r="L17" s="1" t="s">
        <v>34</v>
      </c>
      <c r="M17" s="1" t="s">
        <v>47</v>
      </c>
      <c r="N17" s="1" t="s">
        <v>59</v>
      </c>
      <c r="O17" s="1" t="s">
        <v>101</v>
      </c>
      <c r="P17" s="2">
        <v>46161</v>
      </c>
      <c r="Q17" s="1" t="s">
        <v>38</v>
      </c>
      <c r="U17" s="1">
        <v>0</v>
      </c>
      <c r="V17" s="1">
        <v>0</v>
      </c>
      <c r="W17" s="1">
        <v>0</v>
      </c>
      <c r="X17" s="1">
        <v>0</v>
      </c>
      <c r="Y17" s="1">
        <v>1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1</v>
      </c>
      <c r="AF17" s="1">
        <v>0</v>
      </c>
    </row>
    <row r="18" spans="1:32" x14ac:dyDescent="0.25">
      <c r="A18" s="1">
        <v>17</v>
      </c>
      <c r="B18" s="1" t="s">
        <v>102</v>
      </c>
      <c r="C18" s="1" t="s">
        <v>43</v>
      </c>
      <c r="D18" s="1" t="s">
        <v>103</v>
      </c>
      <c r="F18" s="1" t="s">
        <v>104</v>
      </c>
      <c r="G18" s="3">
        <v>46174</v>
      </c>
      <c r="H18" s="3">
        <v>46225</v>
      </c>
      <c r="J18" s="4">
        <v>0.71</v>
      </c>
      <c r="L18" s="1" t="s">
        <v>34</v>
      </c>
      <c r="M18" s="1" t="s">
        <v>47</v>
      </c>
      <c r="N18" s="1" t="s">
        <v>105</v>
      </c>
      <c r="O18" s="1" t="s">
        <v>37</v>
      </c>
      <c r="P18" s="2">
        <v>46211</v>
      </c>
      <c r="Q18" s="1" t="s">
        <v>38</v>
      </c>
      <c r="U18" s="1">
        <v>0.71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</row>
    <row r="19" spans="1:32" x14ac:dyDescent="0.25">
      <c r="A19" s="1">
        <v>18</v>
      </c>
      <c r="B19" s="1" t="s">
        <v>106</v>
      </c>
      <c r="C19" s="1" t="s">
        <v>107</v>
      </c>
      <c r="D19" s="1" t="s">
        <v>108</v>
      </c>
      <c r="E19" s="1" t="s">
        <v>109</v>
      </c>
      <c r="F19" s="1" t="s">
        <v>110</v>
      </c>
      <c r="G19" s="3">
        <v>46195</v>
      </c>
      <c r="H19" s="3">
        <v>46203</v>
      </c>
      <c r="J19" s="4">
        <v>0.71</v>
      </c>
      <c r="L19" s="1" t="s">
        <v>34</v>
      </c>
      <c r="M19" s="1" t="s">
        <v>47</v>
      </c>
      <c r="N19" s="1" t="s">
        <v>105</v>
      </c>
      <c r="O19" s="1" t="s">
        <v>111</v>
      </c>
      <c r="P19" s="2">
        <v>46231</v>
      </c>
      <c r="Q19" s="1" t="s">
        <v>38</v>
      </c>
      <c r="U19" s="1">
        <v>0.71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</row>
    <row r="20" spans="1:32" x14ac:dyDescent="0.25">
      <c r="A20" s="1">
        <v>19</v>
      </c>
      <c r="B20" s="1" t="s">
        <v>112</v>
      </c>
      <c r="C20" s="1" t="s">
        <v>113</v>
      </c>
      <c r="D20" s="1" t="s">
        <v>67</v>
      </c>
      <c r="F20" s="1" t="s">
        <v>92</v>
      </c>
      <c r="G20" s="3">
        <v>46195</v>
      </c>
      <c r="H20" s="3">
        <v>46197</v>
      </c>
      <c r="I20" s="1" t="s">
        <v>114</v>
      </c>
      <c r="J20" s="4">
        <v>1</v>
      </c>
      <c r="K20" s="3">
        <v>46197</v>
      </c>
      <c r="L20" s="1" t="s">
        <v>46</v>
      </c>
      <c r="M20" s="1" t="s">
        <v>47</v>
      </c>
      <c r="N20" s="1" t="s">
        <v>105</v>
      </c>
      <c r="O20" s="1" t="s">
        <v>111</v>
      </c>
      <c r="P20" s="2">
        <v>46225</v>
      </c>
      <c r="Q20" s="1" t="s">
        <v>38</v>
      </c>
      <c r="R20" s="1">
        <v>20</v>
      </c>
      <c r="U20" s="1">
        <v>1</v>
      </c>
      <c r="V20" s="1">
        <v>1</v>
      </c>
      <c r="W20" s="1">
        <v>1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</row>
    <row r="21" spans="1:32" x14ac:dyDescent="0.25">
      <c r="A21" s="1">
        <v>20</v>
      </c>
      <c r="B21" s="1" t="s">
        <v>115</v>
      </c>
      <c r="C21" s="1" t="s">
        <v>113</v>
      </c>
      <c r="D21" s="1" t="s">
        <v>72</v>
      </c>
      <c r="F21" s="1" t="s">
        <v>73</v>
      </c>
      <c r="G21" s="3">
        <v>46198</v>
      </c>
      <c r="H21" s="3">
        <v>46198</v>
      </c>
      <c r="I21" s="1">
        <v>19</v>
      </c>
      <c r="J21" s="4">
        <v>1</v>
      </c>
      <c r="K21" s="3">
        <v>46198</v>
      </c>
      <c r="L21" s="1" t="s">
        <v>46</v>
      </c>
      <c r="M21" s="1" t="s">
        <v>47</v>
      </c>
      <c r="N21" s="1" t="s">
        <v>105</v>
      </c>
      <c r="O21" s="1" t="s">
        <v>116</v>
      </c>
      <c r="P21" s="2">
        <v>46226</v>
      </c>
      <c r="Q21" s="1" t="s">
        <v>38</v>
      </c>
      <c r="R21" s="1">
        <v>21</v>
      </c>
      <c r="U21" s="1">
        <v>1</v>
      </c>
      <c r="V21" s="1">
        <v>0</v>
      </c>
      <c r="W21" s="1">
        <v>0</v>
      </c>
      <c r="X21" s="1">
        <v>0</v>
      </c>
      <c r="Y21" s="1">
        <v>0</v>
      </c>
      <c r="Z21" s="1">
        <v>1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</row>
    <row r="22" spans="1:32" x14ac:dyDescent="0.25">
      <c r="A22" s="1">
        <v>21</v>
      </c>
      <c r="B22" s="1" t="s">
        <v>117</v>
      </c>
      <c r="C22" s="1" t="s">
        <v>113</v>
      </c>
      <c r="D22" s="1" t="s">
        <v>77</v>
      </c>
      <c r="F22" s="1" t="s">
        <v>68</v>
      </c>
      <c r="G22" s="3">
        <v>46199</v>
      </c>
      <c r="H22" s="3">
        <v>46202</v>
      </c>
      <c r="I22" s="1">
        <v>20</v>
      </c>
      <c r="J22" s="4">
        <v>0.5</v>
      </c>
      <c r="L22" s="1" t="s">
        <v>34</v>
      </c>
      <c r="M22" s="1" t="s">
        <v>47</v>
      </c>
      <c r="N22" s="1" t="s">
        <v>105</v>
      </c>
      <c r="O22" s="1" t="s">
        <v>118</v>
      </c>
      <c r="P22" s="2">
        <v>46230</v>
      </c>
      <c r="Q22" s="1" t="s">
        <v>38</v>
      </c>
      <c r="R22" s="1">
        <v>22</v>
      </c>
      <c r="U22" s="1">
        <v>0.5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1</v>
      </c>
      <c r="AD22" s="1">
        <v>0</v>
      </c>
      <c r="AE22" s="1">
        <v>0</v>
      </c>
      <c r="AF22" s="1">
        <v>0</v>
      </c>
    </row>
    <row r="23" spans="1:32" x14ac:dyDescent="0.25">
      <c r="A23" s="1">
        <v>22</v>
      </c>
      <c r="B23" s="1" t="s">
        <v>119</v>
      </c>
      <c r="C23" s="1" t="s">
        <v>113</v>
      </c>
      <c r="D23" s="1" t="s">
        <v>83</v>
      </c>
      <c r="F23" s="1" t="s">
        <v>73</v>
      </c>
      <c r="G23" s="3">
        <v>46203</v>
      </c>
      <c r="H23" s="3">
        <v>46203</v>
      </c>
      <c r="I23" s="1">
        <v>21</v>
      </c>
      <c r="J23" s="4">
        <v>0</v>
      </c>
      <c r="L23" s="1" t="s">
        <v>34</v>
      </c>
      <c r="M23" s="1" t="s">
        <v>47</v>
      </c>
      <c r="N23" s="1" t="s">
        <v>105</v>
      </c>
      <c r="O23" s="1" t="s">
        <v>120</v>
      </c>
      <c r="P23" s="2">
        <v>46231</v>
      </c>
      <c r="Q23" s="1" t="s">
        <v>38</v>
      </c>
      <c r="U23" s="1">
        <v>0</v>
      </c>
      <c r="V23" s="1">
        <v>0</v>
      </c>
      <c r="W23" s="1">
        <v>0</v>
      </c>
      <c r="X23" s="1">
        <v>0</v>
      </c>
      <c r="Y23" s="1">
        <v>1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1</v>
      </c>
      <c r="AF23" s="1">
        <v>0</v>
      </c>
    </row>
    <row r="24" spans="1:32" x14ac:dyDescent="0.25">
      <c r="A24" s="1">
        <v>23</v>
      </c>
      <c r="B24" s="1" t="s">
        <v>121</v>
      </c>
      <c r="C24" s="1" t="s">
        <v>107</v>
      </c>
      <c r="D24" s="1" t="s">
        <v>122</v>
      </c>
      <c r="E24" s="1" t="s">
        <v>123</v>
      </c>
      <c r="F24" s="1" t="s">
        <v>104</v>
      </c>
      <c r="G24" s="3">
        <v>46174</v>
      </c>
      <c r="H24" s="3">
        <v>46225</v>
      </c>
      <c r="J24" s="4">
        <v>0.71</v>
      </c>
      <c r="L24" s="1" t="s">
        <v>64</v>
      </c>
      <c r="M24" s="1" t="s">
        <v>47</v>
      </c>
      <c r="N24" s="1" t="s">
        <v>105</v>
      </c>
      <c r="O24" s="1" t="s">
        <v>37</v>
      </c>
      <c r="P24" s="2">
        <v>46189</v>
      </c>
      <c r="Q24" s="1" t="s">
        <v>38</v>
      </c>
      <c r="U24" s="1">
        <v>0.71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</row>
    <row r="25" spans="1:32" x14ac:dyDescent="0.25">
      <c r="A25" s="1">
        <v>24</v>
      </c>
      <c r="B25" s="1" t="s">
        <v>124</v>
      </c>
      <c r="C25" s="1" t="s">
        <v>125</v>
      </c>
      <c r="D25" s="1" t="s">
        <v>67</v>
      </c>
      <c r="F25" s="1" t="s">
        <v>92</v>
      </c>
      <c r="G25" s="3">
        <v>46174</v>
      </c>
      <c r="H25" s="3">
        <v>46176</v>
      </c>
      <c r="I25" s="1" t="s">
        <v>69</v>
      </c>
      <c r="J25" s="4">
        <v>1</v>
      </c>
      <c r="K25" s="3">
        <v>46176</v>
      </c>
      <c r="L25" s="1" t="s">
        <v>46</v>
      </c>
      <c r="M25" s="1" t="s">
        <v>47</v>
      </c>
      <c r="N25" s="1" t="s">
        <v>105</v>
      </c>
      <c r="O25" s="1" t="s">
        <v>37</v>
      </c>
      <c r="P25" s="2">
        <v>46141</v>
      </c>
      <c r="Q25" s="1" t="s">
        <v>38</v>
      </c>
      <c r="R25" s="1">
        <v>25</v>
      </c>
      <c r="U25" s="1">
        <v>1</v>
      </c>
      <c r="V25" s="1">
        <v>1</v>
      </c>
      <c r="W25" s="1">
        <v>1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1</v>
      </c>
    </row>
    <row r="26" spans="1:32" x14ac:dyDescent="0.25">
      <c r="A26" s="1">
        <v>25</v>
      </c>
      <c r="B26" s="1" t="s">
        <v>126</v>
      </c>
      <c r="C26" s="1" t="s">
        <v>125</v>
      </c>
      <c r="D26" s="1" t="s">
        <v>72</v>
      </c>
      <c r="F26" s="1" t="s">
        <v>73</v>
      </c>
      <c r="G26" s="3">
        <v>46177</v>
      </c>
      <c r="H26" s="3">
        <v>46177</v>
      </c>
      <c r="I26" s="1">
        <v>24</v>
      </c>
      <c r="J26" s="4">
        <v>1</v>
      </c>
      <c r="K26" s="3">
        <v>46177</v>
      </c>
      <c r="L26" s="1" t="s">
        <v>46</v>
      </c>
      <c r="M26" s="1" t="s">
        <v>47</v>
      </c>
      <c r="N26" s="1" t="s">
        <v>105</v>
      </c>
      <c r="O26" s="1" t="s">
        <v>74</v>
      </c>
      <c r="P26" s="2">
        <v>46142</v>
      </c>
      <c r="Q26" s="1" t="s">
        <v>38</v>
      </c>
      <c r="R26" s="1" t="s">
        <v>127</v>
      </c>
      <c r="U26" s="1">
        <v>1</v>
      </c>
      <c r="V26" s="1">
        <v>0</v>
      </c>
      <c r="W26" s="1">
        <v>0</v>
      </c>
      <c r="X26" s="1">
        <v>0</v>
      </c>
      <c r="Y26" s="1">
        <v>0</v>
      </c>
      <c r="Z26" s="1">
        <v>1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</row>
    <row r="27" spans="1:32" x14ac:dyDescent="0.25">
      <c r="A27" s="1">
        <v>26</v>
      </c>
      <c r="B27" s="1" t="s">
        <v>128</v>
      </c>
      <c r="C27" s="1" t="s">
        <v>125</v>
      </c>
      <c r="D27" s="1" t="s">
        <v>77</v>
      </c>
      <c r="F27" s="1" t="s">
        <v>68</v>
      </c>
      <c r="G27" s="3">
        <v>46220</v>
      </c>
      <c r="H27" s="3">
        <v>46224</v>
      </c>
      <c r="I27" s="1" t="s">
        <v>129</v>
      </c>
      <c r="J27" s="4">
        <v>0.5</v>
      </c>
      <c r="L27" s="1" t="s">
        <v>79</v>
      </c>
      <c r="M27" s="1" t="s">
        <v>47</v>
      </c>
      <c r="N27" s="1" t="s">
        <v>105</v>
      </c>
      <c r="O27" s="1" t="s">
        <v>130</v>
      </c>
      <c r="P27" s="2">
        <v>46188</v>
      </c>
      <c r="Q27" s="1" t="s">
        <v>38</v>
      </c>
      <c r="R27" s="1">
        <v>27</v>
      </c>
      <c r="U27" s="1">
        <v>0.5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</row>
    <row r="28" spans="1:32" x14ac:dyDescent="0.25">
      <c r="A28" s="1">
        <v>27</v>
      </c>
      <c r="B28" s="1" t="s">
        <v>131</v>
      </c>
      <c r="C28" s="1" t="s">
        <v>125</v>
      </c>
      <c r="D28" s="1" t="s">
        <v>83</v>
      </c>
      <c r="F28" s="1" t="s">
        <v>73</v>
      </c>
      <c r="G28" s="3">
        <v>46225</v>
      </c>
      <c r="H28" s="3">
        <v>46225</v>
      </c>
      <c r="I28" s="1">
        <v>26</v>
      </c>
      <c r="J28" s="4">
        <v>0</v>
      </c>
      <c r="L28" s="1" t="s">
        <v>79</v>
      </c>
      <c r="M28" s="1" t="s">
        <v>47</v>
      </c>
      <c r="N28" s="1" t="s">
        <v>105</v>
      </c>
      <c r="O28" s="1" t="s">
        <v>132</v>
      </c>
      <c r="P28" s="2">
        <v>46189</v>
      </c>
      <c r="Q28" s="1" t="s">
        <v>38</v>
      </c>
      <c r="U28" s="1">
        <v>0</v>
      </c>
      <c r="V28" s="1">
        <v>0</v>
      </c>
      <c r="W28" s="1">
        <v>0</v>
      </c>
      <c r="X28" s="1">
        <v>0</v>
      </c>
      <c r="Y28" s="1">
        <v>1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</row>
    <row r="29" spans="1:32" x14ac:dyDescent="0.25">
      <c r="A29" s="1">
        <v>28</v>
      </c>
      <c r="B29" s="1" t="s">
        <v>133</v>
      </c>
      <c r="C29" s="1" t="s">
        <v>43</v>
      </c>
      <c r="D29" s="1" t="s">
        <v>134</v>
      </c>
      <c r="F29" s="1" t="s">
        <v>135</v>
      </c>
      <c r="G29" s="3">
        <v>46170</v>
      </c>
      <c r="H29" s="3">
        <v>46366</v>
      </c>
      <c r="J29" s="4">
        <v>0.31</v>
      </c>
      <c r="L29" s="1" t="s">
        <v>34</v>
      </c>
      <c r="M29" s="1" t="s">
        <v>47</v>
      </c>
      <c r="N29" s="1" t="s">
        <v>136</v>
      </c>
      <c r="O29" s="1" t="s">
        <v>85</v>
      </c>
      <c r="P29" s="2">
        <v>46198</v>
      </c>
      <c r="Q29" s="1" t="s">
        <v>38</v>
      </c>
      <c r="U29" s="1">
        <v>0.31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</row>
    <row r="30" spans="1:32" x14ac:dyDescent="0.25">
      <c r="A30" s="1">
        <v>29</v>
      </c>
      <c r="B30" s="1" t="s">
        <v>137</v>
      </c>
      <c r="C30" s="1" t="s">
        <v>138</v>
      </c>
      <c r="D30" s="1" t="s">
        <v>139</v>
      </c>
      <c r="E30" s="1" t="s">
        <v>140</v>
      </c>
      <c r="F30" s="1" t="s">
        <v>141</v>
      </c>
      <c r="G30" s="3">
        <v>46181</v>
      </c>
      <c r="H30" s="3">
        <v>46191</v>
      </c>
      <c r="J30" s="4">
        <v>0.28000000000000003</v>
      </c>
      <c r="L30" s="1" t="s">
        <v>34</v>
      </c>
      <c r="M30" s="1" t="s">
        <v>47</v>
      </c>
      <c r="N30" s="1" t="s">
        <v>136</v>
      </c>
      <c r="O30" s="1" t="s">
        <v>142</v>
      </c>
      <c r="P30" s="2">
        <v>46192</v>
      </c>
      <c r="Q30" s="1" t="s">
        <v>38</v>
      </c>
      <c r="U30" s="1">
        <v>0.28000000000000003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</row>
    <row r="31" spans="1:32" x14ac:dyDescent="0.25">
      <c r="A31" s="1">
        <v>30</v>
      </c>
      <c r="B31" s="1" t="s">
        <v>143</v>
      </c>
      <c r="C31" s="1" t="s">
        <v>144</v>
      </c>
      <c r="D31" s="1" t="s">
        <v>67</v>
      </c>
      <c r="F31" s="1" t="s">
        <v>145</v>
      </c>
      <c r="G31" s="3">
        <v>46181</v>
      </c>
      <c r="H31" s="3">
        <v>46185</v>
      </c>
      <c r="I31" s="1">
        <v>13</v>
      </c>
      <c r="J31" s="4">
        <v>0.5</v>
      </c>
      <c r="L31" s="1" t="s">
        <v>34</v>
      </c>
      <c r="M31" s="1" t="s">
        <v>47</v>
      </c>
      <c r="N31" s="1" t="s">
        <v>136</v>
      </c>
      <c r="O31" s="1" t="s">
        <v>142</v>
      </c>
      <c r="P31" s="2">
        <v>46188</v>
      </c>
      <c r="Q31" s="1" t="s">
        <v>38</v>
      </c>
      <c r="R31" s="1" t="s">
        <v>146</v>
      </c>
      <c r="U31" s="1">
        <v>0.5</v>
      </c>
      <c r="V31" s="1">
        <v>1</v>
      </c>
      <c r="W31" s="1">
        <v>0</v>
      </c>
      <c r="X31" s="1">
        <v>1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</row>
    <row r="32" spans="1:32" x14ac:dyDescent="0.25">
      <c r="A32" s="1">
        <v>31</v>
      </c>
      <c r="B32" s="1" t="s">
        <v>147</v>
      </c>
      <c r="C32" s="1" t="s">
        <v>144</v>
      </c>
      <c r="D32" s="1" t="s">
        <v>72</v>
      </c>
      <c r="F32" s="1" t="s">
        <v>73</v>
      </c>
      <c r="G32" s="3">
        <v>46188</v>
      </c>
      <c r="H32" s="3">
        <v>46188</v>
      </c>
      <c r="I32" s="1">
        <v>30</v>
      </c>
      <c r="J32" s="4">
        <v>0</v>
      </c>
      <c r="L32" s="1" t="s">
        <v>34</v>
      </c>
      <c r="M32" s="1" t="s">
        <v>47</v>
      </c>
      <c r="N32" s="1" t="s">
        <v>148</v>
      </c>
      <c r="O32" s="1" t="s">
        <v>132</v>
      </c>
      <c r="P32" s="2">
        <v>46189</v>
      </c>
      <c r="Q32" s="1" t="s">
        <v>38</v>
      </c>
      <c r="R32" s="1">
        <v>32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1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</row>
    <row r="33" spans="1:32" x14ac:dyDescent="0.25">
      <c r="A33" s="1">
        <v>32</v>
      </c>
      <c r="B33" s="1" t="s">
        <v>149</v>
      </c>
      <c r="C33" s="1" t="s">
        <v>144</v>
      </c>
      <c r="D33" s="1" t="s">
        <v>77</v>
      </c>
      <c r="F33" s="1" t="s">
        <v>68</v>
      </c>
      <c r="G33" s="3">
        <v>46189</v>
      </c>
      <c r="H33" s="3">
        <v>46190</v>
      </c>
      <c r="I33" s="1">
        <v>31</v>
      </c>
      <c r="J33" s="4">
        <v>0</v>
      </c>
      <c r="L33" s="1" t="s">
        <v>34</v>
      </c>
      <c r="M33" s="1" t="s">
        <v>47</v>
      </c>
      <c r="N33" s="1" t="s">
        <v>148</v>
      </c>
      <c r="O33" s="1" t="s">
        <v>150</v>
      </c>
      <c r="P33" s="2">
        <v>46191</v>
      </c>
      <c r="Q33" s="1" t="s">
        <v>38</v>
      </c>
      <c r="R33" s="1">
        <v>33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1</v>
      </c>
      <c r="AD33" s="1">
        <v>0</v>
      </c>
      <c r="AE33" s="1">
        <v>0</v>
      </c>
      <c r="AF33" s="1">
        <v>0</v>
      </c>
    </row>
    <row r="34" spans="1:32" x14ac:dyDescent="0.25">
      <c r="A34" s="1">
        <v>33</v>
      </c>
      <c r="B34" s="1" t="s">
        <v>151</v>
      </c>
      <c r="C34" s="1" t="s">
        <v>144</v>
      </c>
      <c r="D34" s="1" t="s">
        <v>83</v>
      </c>
      <c r="F34" s="1" t="s">
        <v>73</v>
      </c>
      <c r="G34" s="3">
        <v>46191</v>
      </c>
      <c r="H34" s="3">
        <v>46191</v>
      </c>
      <c r="I34" s="1">
        <v>32</v>
      </c>
      <c r="J34" s="4">
        <v>0</v>
      </c>
      <c r="L34" s="1" t="s">
        <v>34</v>
      </c>
      <c r="M34" s="1" t="s">
        <v>47</v>
      </c>
      <c r="N34" s="1" t="s">
        <v>148</v>
      </c>
      <c r="O34" s="1" t="s">
        <v>152</v>
      </c>
      <c r="P34" s="2">
        <v>46192</v>
      </c>
      <c r="Q34" s="1" t="s">
        <v>38</v>
      </c>
      <c r="U34" s="1">
        <v>0</v>
      </c>
      <c r="V34" s="1">
        <v>0</v>
      </c>
      <c r="W34" s="1">
        <v>0</v>
      </c>
      <c r="X34" s="1">
        <v>0</v>
      </c>
      <c r="Y34" s="1">
        <v>1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1</v>
      </c>
      <c r="AF34" s="1">
        <v>0</v>
      </c>
    </row>
    <row r="35" spans="1:32" x14ac:dyDescent="0.25">
      <c r="A35" s="1">
        <v>34</v>
      </c>
      <c r="B35" s="1" t="s">
        <v>153</v>
      </c>
      <c r="C35" s="1" t="s">
        <v>138</v>
      </c>
      <c r="D35" s="1" t="s">
        <v>154</v>
      </c>
      <c r="E35" s="1" t="s">
        <v>155</v>
      </c>
      <c r="F35" s="1" t="s">
        <v>110</v>
      </c>
      <c r="G35" s="3">
        <v>46358</v>
      </c>
      <c r="H35" s="3">
        <v>46366</v>
      </c>
      <c r="J35" s="4">
        <v>0</v>
      </c>
      <c r="L35" s="1" t="s">
        <v>79</v>
      </c>
      <c r="M35" s="1" t="s">
        <v>47</v>
      </c>
      <c r="N35" s="1" t="s">
        <v>136</v>
      </c>
      <c r="O35" s="1" t="s">
        <v>150</v>
      </c>
      <c r="P35" s="2">
        <v>46198</v>
      </c>
      <c r="Q35" s="1" t="s">
        <v>38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</row>
    <row r="36" spans="1:32" x14ac:dyDescent="0.25">
      <c r="A36" s="1">
        <v>35</v>
      </c>
      <c r="B36" s="1" t="s">
        <v>156</v>
      </c>
      <c r="C36" s="1" t="s">
        <v>157</v>
      </c>
      <c r="D36" s="1" t="s">
        <v>67</v>
      </c>
      <c r="F36" s="1" t="s">
        <v>92</v>
      </c>
      <c r="G36" s="3">
        <v>46358</v>
      </c>
      <c r="H36" s="3">
        <v>46360</v>
      </c>
      <c r="I36" s="1" t="s">
        <v>158</v>
      </c>
      <c r="J36" s="4">
        <v>0</v>
      </c>
      <c r="L36" s="1" t="s">
        <v>79</v>
      </c>
      <c r="M36" s="1" t="s">
        <v>47</v>
      </c>
      <c r="N36" s="1" t="s">
        <v>136</v>
      </c>
      <c r="O36" s="1" t="s">
        <v>150</v>
      </c>
      <c r="P36" s="2">
        <v>46192</v>
      </c>
      <c r="Q36" s="1" t="s">
        <v>38</v>
      </c>
      <c r="R36" s="1">
        <v>36</v>
      </c>
      <c r="U36" s="1">
        <v>0</v>
      </c>
      <c r="V36" s="1">
        <v>1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</row>
    <row r="37" spans="1:32" x14ac:dyDescent="0.25">
      <c r="A37" s="1">
        <v>36</v>
      </c>
      <c r="B37" s="1" t="s">
        <v>159</v>
      </c>
      <c r="C37" s="1" t="s">
        <v>157</v>
      </c>
      <c r="D37" s="1" t="s">
        <v>72</v>
      </c>
      <c r="F37" s="1" t="s">
        <v>73</v>
      </c>
      <c r="G37" s="3">
        <v>46363</v>
      </c>
      <c r="H37" s="3">
        <v>46363</v>
      </c>
      <c r="I37" s="1">
        <v>35</v>
      </c>
      <c r="J37" s="4">
        <v>0</v>
      </c>
      <c r="L37" s="1" t="s">
        <v>79</v>
      </c>
      <c r="M37" s="1" t="s">
        <v>47</v>
      </c>
      <c r="N37" s="1" t="s">
        <v>136</v>
      </c>
      <c r="O37" s="1" t="s">
        <v>160</v>
      </c>
      <c r="P37" s="2">
        <v>46195</v>
      </c>
      <c r="Q37" s="1" t="s">
        <v>38</v>
      </c>
      <c r="R37" s="1">
        <v>37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</row>
    <row r="38" spans="1:32" x14ac:dyDescent="0.25">
      <c r="A38" s="1">
        <v>37</v>
      </c>
      <c r="B38" s="1" t="s">
        <v>161</v>
      </c>
      <c r="C38" s="1" t="s">
        <v>157</v>
      </c>
      <c r="D38" s="1" t="s">
        <v>77</v>
      </c>
      <c r="F38" s="1" t="s">
        <v>68</v>
      </c>
      <c r="G38" s="3">
        <v>46364</v>
      </c>
      <c r="H38" s="3">
        <v>46365</v>
      </c>
      <c r="I38" s="1">
        <v>36</v>
      </c>
      <c r="J38" s="4">
        <v>0</v>
      </c>
      <c r="L38" s="1" t="s">
        <v>79</v>
      </c>
      <c r="M38" s="1" t="s">
        <v>47</v>
      </c>
      <c r="N38" s="1" t="s">
        <v>136</v>
      </c>
      <c r="O38" s="1" t="s">
        <v>162</v>
      </c>
      <c r="P38" s="2">
        <v>46197</v>
      </c>
      <c r="Q38" s="1" t="s">
        <v>38</v>
      </c>
      <c r="R38" s="1">
        <v>38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</row>
    <row r="39" spans="1:32" x14ac:dyDescent="0.25">
      <c r="A39" s="1">
        <v>38</v>
      </c>
      <c r="B39" s="1" t="s">
        <v>163</v>
      </c>
      <c r="C39" s="1" t="s">
        <v>157</v>
      </c>
      <c r="D39" s="1" t="s">
        <v>83</v>
      </c>
      <c r="F39" s="1" t="s">
        <v>73</v>
      </c>
      <c r="G39" s="3">
        <v>46366</v>
      </c>
      <c r="H39" s="3">
        <v>46366</v>
      </c>
      <c r="I39" s="1">
        <v>37</v>
      </c>
      <c r="J39" s="4">
        <v>0</v>
      </c>
      <c r="L39" s="1" t="s">
        <v>79</v>
      </c>
      <c r="M39" s="1" t="s">
        <v>47</v>
      </c>
      <c r="N39" s="1" t="s">
        <v>136</v>
      </c>
      <c r="O39" s="1" t="s">
        <v>164</v>
      </c>
      <c r="P39" s="2">
        <v>46198</v>
      </c>
      <c r="Q39" s="1" t="s">
        <v>38</v>
      </c>
      <c r="U39" s="1">
        <v>0</v>
      </c>
      <c r="V39" s="1">
        <v>0</v>
      </c>
      <c r="W39" s="1">
        <v>0</v>
      </c>
      <c r="X39" s="1">
        <v>0</v>
      </c>
      <c r="Y39" s="1">
        <v>1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</row>
    <row r="40" spans="1:32" x14ac:dyDescent="0.25">
      <c r="A40" s="1">
        <v>39</v>
      </c>
      <c r="B40" s="1" t="s">
        <v>165</v>
      </c>
      <c r="C40" s="1" t="s">
        <v>138</v>
      </c>
      <c r="D40" s="1" t="s">
        <v>166</v>
      </c>
      <c r="E40" s="1" t="s">
        <v>167</v>
      </c>
      <c r="F40" s="1" t="s">
        <v>168</v>
      </c>
      <c r="G40" s="3">
        <v>46170</v>
      </c>
      <c r="H40" s="3">
        <v>46176</v>
      </c>
      <c r="J40" s="4">
        <v>0.63</v>
      </c>
      <c r="L40" s="1" t="s">
        <v>34</v>
      </c>
      <c r="M40" s="1" t="s">
        <v>47</v>
      </c>
      <c r="N40" s="1" t="s">
        <v>136</v>
      </c>
      <c r="O40" s="1" t="s">
        <v>85</v>
      </c>
      <c r="P40" s="2">
        <v>46167</v>
      </c>
      <c r="Q40" s="1" t="s">
        <v>38</v>
      </c>
      <c r="U40" s="1">
        <v>0.63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</row>
    <row r="41" spans="1:32" x14ac:dyDescent="0.25">
      <c r="A41" s="1">
        <v>40</v>
      </c>
      <c r="B41" s="1" t="s">
        <v>169</v>
      </c>
      <c r="C41" s="1" t="s">
        <v>170</v>
      </c>
      <c r="D41" s="1" t="s">
        <v>67</v>
      </c>
      <c r="F41" s="1" t="s">
        <v>45</v>
      </c>
      <c r="G41" s="3">
        <v>46170</v>
      </c>
      <c r="H41" s="3">
        <v>46170</v>
      </c>
      <c r="I41" s="1" t="s">
        <v>171</v>
      </c>
      <c r="J41" s="4">
        <v>1</v>
      </c>
      <c r="K41" s="3">
        <v>46170</v>
      </c>
      <c r="L41" s="1" t="s">
        <v>46</v>
      </c>
      <c r="M41" s="1" t="s">
        <v>47</v>
      </c>
      <c r="N41" s="1" t="s">
        <v>136</v>
      </c>
      <c r="O41" s="1" t="s">
        <v>85</v>
      </c>
      <c r="P41" s="2">
        <v>46161</v>
      </c>
      <c r="Q41" s="1" t="s">
        <v>38</v>
      </c>
      <c r="R41" s="1">
        <v>41</v>
      </c>
      <c r="U41" s="1">
        <v>1</v>
      </c>
      <c r="V41" s="1">
        <v>1</v>
      </c>
      <c r="W41" s="1">
        <v>1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1</v>
      </c>
    </row>
    <row r="42" spans="1:32" x14ac:dyDescent="0.25">
      <c r="A42" s="1">
        <v>41</v>
      </c>
      <c r="B42" s="1" t="s">
        <v>172</v>
      </c>
      <c r="C42" s="1" t="s">
        <v>170</v>
      </c>
      <c r="D42" s="1" t="s">
        <v>72</v>
      </c>
      <c r="F42" s="1" t="s">
        <v>73</v>
      </c>
      <c r="G42" s="3">
        <v>46171</v>
      </c>
      <c r="H42" s="3">
        <v>46171</v>
      </c>
      <c r="I42" s="1">
        <v>40</v>
      </c>
      <c r="J42" s="4">
        <v>1</v>
      </c>
      <c r="K42" s="3">
        <v>46171</v>
      </c>
      <c r="L42" s="1" t="s">
        <v>46</v>
      </c>
      <c r="M42" s="1" t="s">
        <v>47</v>
      </c>
      <c r="N42" s="1" t="s">
        <v>136</v>
      </c>
      <c r="O42" s="1" t="s">
        <v>173</v>
      </c>
      <c r="P42" s="2">
        <v>46162</v>
      </c>
      <c r="Q42" s="1" t="s">
        <v>38</v>
      </c>
      <c r="R42" s="1">
        <v>42</v>
      </c>
      <c r="U42" s="1">
        <v>1</v>
      </c>
      <c r="V42" s="1">
        <v>0</v>
      </c>
      <c r="W42" s="1">
        <v>0</v>
      </c>
      <c r="X42" s="1">
        <v>0</v>
      </c>
      <c r="Y42" s="1">
        <v>0</v>
      </c>
      <c r="Z42" s="1">
        <v>1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</row>
    <row r="43" spans="1:32" x14ac:dyDescent="0.25">
      <c r="A43" s="1">
        <v>42</v>
      </c>
      <c r="B43" s="1" t="s">
        <v>174</v>
      </c>
      <c r="C43" s="1" t="s">
        <v>170</v>
      </c>
      <c r="D43" s="1" t="s">
        <v>77</v>
      </c>
      <c r="F43" s="1" t="s">
        <v>68</v>
      </c>
      <c r="G43" s="3">
        <v>46174</v>
      </c>
      <c r="H43" s="3">
        <v>46175</v>
      </c>
      <c r="I43" s="1">
        <v>41</v>
      </c>
      <c r="J43" s="4">
        <v>0.75</v>
      </c>
      <c r="L43" s="1" t="s">
        <v>34</v>
      </c>
      <c r="M43" s="1" t="s">
        <v>47</v>
      </c>
      <c r="N43" s="1" t="s">
        <v>136</v>
      </c>
      <c r="O43" s="1" t="s">
        <v>175</v>
      </c>
      <c r="P43" s="2">
        <v>46164</v>
      </c>
      <c r="Q43" s="1" t="s">
        <v>38</v>
      </c>
      <c r="R43" s="1">
        <v>43</v>
      </c>
      <c r="U43" s="1">
        <v>0.75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1</v>
      </c>
      <c r="AD43" s="1">
        <v>0</v>
      </c>
      <c r="AE43" s="1">
        <v>0</v>
      </c>
      <c r="AF43" s="1">
        <v>0</v>
      </c>
    </row>
    <row r="44" spans="1:32" x14ac:dyDescent="0.25">
      <c r="A44" s="1">
        <v>43</v>
      </c>
      <c r="B44" s="1" t="s">
        <v>176</v>
      </c>
      <c r="C44" s="1" t="s">
        <v>170</v>
      </c>
      <c r="D44" s="1" t="s">
        <v>83</v>
      </c>
      <c r="F44" s="1" t="s">
        <v>73</v>
      </c>
      <c r="G44" s="3">
        <v>46176</v>
      </c>
      <c r="H44" s="3">
        <v>46176</v>
      </c>
      <c r="I44" s="1">
        <v>42</v>
      </c>
      <c r="J44" s="4">
        <v>0</v>
      </c>
      <c r="L44" s="1" t="s">
        <v>34</v>
      </c>
      <c r="M44" s="1" t="s">
        <v>47</v>
      </c>
      <c r="N44" s="1" t="s">
        <v>136</v>
      </c>
      <c r="O44" s="1" t="s">
        <v>177</v>
      </c>
      <c r="P44" s="2">
        <v>46167</v>
      </c>
      <c r="Q44" s="1" t="s">
        <v>38</v>
      </c>
      <c r="U44" s="1">
        <v>0</v>
      </c>
      <c r="V44" s="1">
        <v>0</v>
      </c>
      <c r="W44" s="1">
        <v>0</v>
      </c>
      <c r="X44" s="1">
        <v>0</v>
      </c>
      <c r="Y44" s="1">
        <v>1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1</v>
      </c>
      <c r="AF44" s="1">
        <v>0</v>
      </c>
    </row>
    <row r="45" spans="1:32" x14ac:dyDescent="0.25">
      <c r="A45" s="1">
        <v>44</v>
      </c>
      <c r="B45" s="1" t="s">
        <v>178</v>
      </c>
      <c r="C45" s="1" t="s">
        <v>138</v>
      </c>
      <c r="D45" s="1" t="s">
        <v>166</v>
      </c>
      <c r="E45" s="1" t="s">
        <v>179</v>
      </c>
      <c r="F45" s="1" t="s">
        <v>180</v>
      </c>
      <c r="G45" s="3">
        <v>46170</v>
      </c>
      <c r="H45" s="3">
        <v>46204</v>
      </c>
      <c r="J45" s="4">
        <v>0.63</v>
      </c>
      <c r="L45" s="1" t="s">
        <v>34</v>
      </c>
      <c r="M45" s="1" t="s">
        <v>47</v>
      </c>
      <c r="N45" s="1" t="s">
        <v>136</v>
      </c>
      <c r="O45" s="1" t="s">
        <v>85</v>
      </c>
      <c r="P45" s="2">
        <v>46167</v>
      </c>
      <c r="Q45" s="1" t="s">
        <v>38</v>
      </c>
      <c r="U45" s="1">
        <v>0.63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</row>
    <row r="46" spans="1:32" x14ac:dyDescent="0.25">
      <c r="A46" s="1">
        <v>45</v>
      </c>
      <c r="B46" s="1" t="s">
        <v>181</v>
      </c>
      <c r="C46" s="1" t="s">
        <v>170</v>
      </c>
      <c r="D46" s="1" t="s">
        <v>67</v>
      </c>
      <c r="F46" s="1" t="s">
        <v>45</v>
      </c>
      <c r="G46" s="3">
        <v>46170</v>
      </c>
      <c r="H46" s="3">
        <v>46170</v>
      </c>
      <c r="I46" s="1" t="s">
        <v>171</v>
      </c>
      <c r="J46" s="4">
        <v>1</v>
      </c>
      <c r="K46" s="3">
        <v>46170</v>
      </c>
      <c r="L46" s="1" t="s">
        <v>46</v>
      </c>
      <c r="M46" s="1" t="s">
        <v>47</v>
      </c>
      <c r="N46" s="1" t="s">
        <v>136</v>
      </c>
      <c r="O46" s="1" t="s">
        <v>85</v>
      </c>
      <c r="P46" s="2">
        <v>46161</v>
      </c>
      <c r="Q46" s="1" t="s">
        <v>38</v>
      </c>
      <c r="R46" s="1">
        <v>46</v>
      </c>
      <c r="U46" s="1">
        <v>1</v>
      </c>
      <c r="V46" s="1">
        <v>1</v>
      </c>
      <c r="W46" s="1">
        <v>1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1</v>
      </c>
    </row>
    <row r="47" spans="1:32" x14ac:dyDescent="0.25">
      <c r="A47" s="1">
        <v>46</v>
      </c>
      <c r="B47" s="1" t="s">
        <v>182</v>
      </c>
      <c r="C47" s="1" t="s">
        <v>170</v>
      </c>
      <c r="D47" s="1" t="s">
        <v>72</v>
      </c>
      <c r="F47" s="1" t="s">
        <v>73</v>
      </c>
      <c r="G47" s="3">
        <v>46199</v>
      </c>
      <c r="H47" s="3">
        <v>46199</v>
      </c>
      <c r="I47" s="1">
        <v>45</v>
      </c>
      <c r="J47" s="4">
        <v>1</v>
      </c>
      <c r="K47" s="3">
        <v>46199</v>
      </c>
      <c r="L47" s="1" t="s">
        <v>46</v>
      </c>
      <c r="M47" s="1" t="s">
        <v>47</v>
      </c>
      <c r="N47" s="1" t="s">
        <v>136</v>
      </c>
      <c r="O47" s="1" t="s">
        <v>173</v>
      </c>
      <c r="P47" s="2">
        <v>46162</v>
      </c>
      <c r="Q47" s="1" t="s">
        <v>38</v>
      </c>
      <c r="R47" s="1">
        <v>47</v>
      </c>
      <c r="U47" s="1">
        <v>1</v>
      </c>
      <c r="V47" s="1">
        <v>0</v>
      </c>
      <c r="W47" s="1">
        <v>0</v>
      </c>
      <c r="X47" s="1">
        <v>0</v>
      </c>
      <c r="Y47" s="1">
        <v>0</v>
      </c>
      <c r="Z47" s="1">
        <v>1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</row>
    <row r="48" spans="1:32" x14ac:dyDescent="0.25">
      <c r="A48" s="1">
        <v>47</v>
      </c>
      <c r="B48" s="1" t="s">
        <v>183</v>
      </c>
      <c r="C48" s="1" t="s">
        <v>170</v>
      </c>
      <c r="D48" s="1" t="s">
        <v>77</v>
      </c>
      <c r="F48" s="1" t="s">
        <v>68</v>
      </c>
      <c r="G48" s="3">
        <v>46202</v>
      </c>
      <c r="H48" s="3">
        <v>46203</v>
      </c>
      <c r="I48" s="1">
        <v>46</v>
      </c>
      <c r="J48" s="4">
        <v>0.75</v>
      </c>
      <c r="L48" s="1" t="s">
        <v>34</v>
      </c>
      <c r="M48" s="1" t="s">
        <v>47</v>
      </c>
      <c r="N48" s="1" t="s">
        <v>136</v>
      </c>
      <c r="O48" s="1" t="s">
        <v>175</v>
      </c>
      <c r="P48" s="2">
        <v>46164</v>
      </c>
      <c r="Q48" s="1" t="s">
        <v>38</v>
      </c>
      <c r="R48" s="1">
        <v>48</v>
      </c>
      <c r="U48" s="1">
        <v>0.75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1</v>
      </c>
      <c r="AD48" s="1">
        <v>0</v>
      </c>
      <c r="AE48" s="1">
        <v>0</v>
      </c>
      <c r="AF48" s="1">
        <v>0</v>
      </c>
    </row>
    <row r="49" spans="1:32" x14ac:dyDescent="0.25">
      <c r="A49" s="1">
        <v>48</v>
      </c>
      <c r="B49" s="1" t="s">
        <v>184</v>
      </c>
      <c r="C49" s="1" t="s">
        <v>170</v>
      </c>
      <c r="D49" s="1" t="s">
        <v>83</v>
      </c>
      <c r="F49" s="1" t="s">
        <v>73</v>
      </c>
      <c r="G49" s="3">
        <v>46204</v>
      </c>
      <c r="H49" s="3">
        <v>46204</v>
      </c>
      <c r="I49" s="1">
        <v>47</v>
      </c>
      <c r="J49" s="4">
        <v>0</v>
      </c>
      <c r="L49" s="1" t="s">
        <v>34</v>
      </c>
      <c r="M49" s="1" t="s">
        <v>47</v>
      </c>
      <c r="N49" s="1" t="s">
        <v>136</v>
      </c>
      <c r="O49" s="1" t="s">
        <v>177</v>
      </c>
      <c r="P49" s="2">
        <v>46167</v>
      </c>
      <c r="Q49" s="1" t="s">
        <v>38</v>
      </c>
      <c r="U49" s="1">
        <v>0</v>
      </c>
      <c r="V49" s="1">
        <v>0</v>
      </c>
      <c r="W49" s="1">
        <v>0</v>
      </c>
      <c r="X49" s="1">
        <v>0</v>
      </c>
      <c r="Y49" s="1">
        <v>1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1</v>
      </c>
      <c r="AF49" s="1">
        <v>0</v>
      </c>
    </row>
    <row r="50" spans="1:32" x14ac:dyDescent="0.25">
      <c r="A50" s="1">
        <v>49</v>
      </c>
      <c r="B50" s="1" t="s">
        <v>185</v>
      </c>
      <c r="C50" s="1" t="s">
        <v>43</v>
      </c>
      <c r="D50" s="1" t="s">
        <v>186</v>
      </c>
      <c r="F50" s="1" t="s">
        <v>187</v>
      </c>
      <c r="G50" s="3">
        <v>46160</v>
      </c>
      <c r="H50" s="3">
        <v>46339</v>
      </c>
      <c r="J50" s="4">
        <v>0.16</v>
      </c>
      <c r="L50" s="1" t="s">
        <v>34</v>
      </c>
      <c r="M50" s="1" t="s">
        <v>47</v>
      </c>
      <c r="N50" s="1" t="s">
        <v>188</v>
      </c>
      <c r="O50" s="1" t="s">
        <v>85</v>
      </c>
      <c r="P50" s="2">
        <v>46211</v>
      </c>
      <c r="Q50" s="1" t="s">
        <v>38</v>
      </c>
      <c r="U50" s="1">
        <v>0.16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</row>
    <row r="51" spans="1:32" x14ac:dyDescent="0.25">
      <c r="A51" s="1">
        <v>50</v>
      </c>
      <c r="B51" s="1" t="s">
        <v>189</v>
      </c>
      <c r="C51" s="1" t="s">
        <v>190</v>
      </c>
      <c r="D51" s="1" t="s">
        <v>191</v>
      </c>
      <c r="E51" s="1" t="s">
        <v>140</v>
      </c>
      <c r="F51" s="1" t="s">
        <v>192</v>
      </c>
      <c r="G51" s="3">
        <v>46160</v>
      </c>
      <c r="H51" s="3">
        <v>46167</v>
      </c>
      <c r="J51" s="4">
        <v>0.67</v>
      </c>
      <c r="L51" s="1" t="s">
        <v>34</v>
      </c>
      <c r="M51" s="1" t="s">
        <v>47</v>
      </c>
      <c r="N51" s="1" t="s">
        <v>188</v>
      </c>
      <c r="O51" s="1" t="s">
        <v>142</v>
      </c>
      <c r="P51" s="2">
        <v>46192</v>
      </c>
      <c r="Q51" s="1" t="s">
        <v>38</v>
      </c>
      <c r="U51" s="1">
        <v>0.67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</row>
    <row r="52" spans="1:32" x14ac:dyDescent="0.25">
      <c r="A52" s="1">
        <v>51</v>
      </c>
      <c r="B52" s="1" t="s">
        <v>193</v>
      </c>
      <c r="C52" s="1" t="s">
        <v>194</v>
      </c>
      <c r="D52" s="1" t="s">
        <v>67</v>
      </c>
      <c r="F52" s="1" t="s">
        <v>68</v>
      </c>
      <c r="G52" s="3">
        <v>46160</v>
      </c>
      <c r="H52" s="3">
        <v>46161</v>
      </c>
      <c r="I52" s="1" t="s">
        <v>195</v>
      </c>
      <c r="J52" s="4">
        <v>1</v>
      </c>
      <c r="K52" s="3">
        <v>46161</v>
      </c>
      <c r="L52" s="1" t="s">
        <v>46</v>
      </c>
      <c r="M52" s="1" t="s">
        <v>47</v>
      </c>
      <c r="N52" s="1" t="s">
        <v>188</v>
      </c>
      <c r="O52" s="1" t="s">
        <v>142</v>
      </c>
      <c r="P52" s="2">
        <v>46188</v>
      </c>
      <c r="Q52" s="1" t="s">
        <v>38</v>
      </c>
      <c r="R52" s="1" t="s">
        <v>196</v>
      </c>
      <c r="U52" s="1">
        <v>1</v>
      </c>
      <c r="V52" s="1">
        <v>1</v>
      </c>
      <c r="W52" s="1">
        <v>1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1</v>
      </c>
    </row>
    <row r="53" spans="1:32" x14ac:dyDescent="0.25">
      <c r="A53" s="1">
        <v>52</v>
      </c>
      <c r="B53" s="1" t="s">
        <v>197</v>
      </c>
      <c r="C53" s="1" t="s">
        <v>194</v>
      </c>
      <c r="D53" s="1" t="s">
        <v>72</v>
      </c>
      <c r="F53" s="1" t="s">
        <v>73</v>
      </c>
      <c r="G53" s="3">
        <v>46162</v>
      </c>
      <c r="H53" s="3">
        <v>46162</v>
      </c>
      <c r="I53" s="1">
        <v>51</v>
      </c>
      <c r="J53" s="4">
        <v>1</v>
      </c>
      <c r="K53" s="3">
        <v>46162</v>
      </c>
      <c r="L53" s="1" t="s">
        <v>46</v>
      </c>
      <c r="M53" s="1" t="s">
        <v>47</v>
      </c>
      <c r="N53" s="1" t="s">
        <v>188</v>
      </c>
      <c r="O53" s="1" t="s">
        <v>132</v>
      </c>
      <c r="P53" s="2">
        <v>46189</v>
      </c>
      <c r="Q53" s="1" t="s">
        <v>38</v>
      </c>
      <c r="R53" s="1">
        <v>53</v>
      </c>
      <c r="U53" s="1">
        <v>1</v>
      </c>
      <c r="V53" s="1">
        <v>0</v>
      </c>
      <c r="W53" s="1">
        <v>0</v>
      </c>
      <c r="X53" s="1">
        <v>0</v>
      </c>
      <c r="Y53" s="1">
        <v>0</v>
      </c>
      <c r="Z53" s="1">
        <v>1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</row>
    <row r="54" spans="1:32" x14ac:dyDescent="0.25">
      <c r="A54" s="1">
        <v>53</v>
      </c>
      <c r="B54" s="1" t="s">
        <v>198</v>
      </c>
      <c r="C54" s="1" t="s">
        <v>194</v>
      </c>
      <c r="D54" s="1" t="s">
        <v>77</v>
      </c>
      <c r="F54" s="1" t="s">
        <v>68</v>
      </c>
      <c r="G54" s="3">
        <v>46163</v>
      </c>
      <c r="H54" s="3">
        <v>46164</v>
      </c>
      <c r="I54" s="1">
        <v>52</v>
      </c>
      <c r="J54" s="4">
        <v>0.5</v>
      </c>
      <c r="L54" s="1" t="s">
        <v>34</v>
      </c>
      <c r="M54" s="1" t="s">
        <v>47</v>
      </c>
      <c r="N54" s="1" t="s">
        <v>188</v>
      </c>
      <c r="O54" s="1" t="s">
        <v>150</v>
      </c>
      <c r="P54" s="2">
        <v>46191</v>
      </c>
      <c r="Q54" s="1" t="s">
        <v>38</v>
      </c>
      <c r="R54" s="1">
        <v>54</v>
      </c>
      <c r="U54" s="1">
        <v>0.5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1</v>
      </c>
      <c r="AD54" s="1">
        <v>0</v>
      </c>
      <c r="AE54" s="1">
        <v>0</v>
      </c>
      <c r="AF54" s="1">
        <v>0</v>
      </c>
    </row>
    <row r="55" spans="1:32" x14ac:dyDescent="0.25">
      <c r="A55" s="1">
        <v>54</v>
      </c>
      <c r="B55" s="1" t="s">
        <v>199</v>
      </c>
      <c r="C55" s="1" t="s">
        <v>194</v>
      </c>
      <c r="D55" s="1" t="s">
        <v>83</v>
      </c>
      <c r="F55" s="1" t="s">
        <v>73</v>
      </c>
      <c r="G55" s="3">
        <v>46167</v>
      </c>
      <c r="H55" s="3">
        <v>46167</v>
      </c>
      <c r="I55" s="1">
        <v>53</v>
      </c>
      <c r="J55" s="4">
        <v>0</v>
      </c>
      <c r="L55" s="1" t="s">
        <v>34</v>
      </c>
      <c r="M55" s="1" t="s">
        <v>47</v>
      </c>
      <c r="N55" s="1" t="s">
        <v>188</v>
      </c>
      <c r="O55" s="1" t="s">
        <v>152</v>
      </c>
      <c r="P55" s="2">
        <v>46192</v>
      </c>
      <c r="Q55" s="1" t="s">
        <v>38</v>
      </c>
      <c r="U55" s="1">
        <v>0</v>
      </c>
      <c r="V55" s="1">
        <v>0</v>
      </c>
      <c r="W55" s="1">
        <v>0</v>
      </c>
      <c r="X55" s="1">
        <v>0</v>
      </c>
      <c r="Y55" s="1">
        <v>1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1</v>
      </c>
      <c r="AF55" s="1">
        <v>0</v>
      </c>
    </row>
    <row r="56" spans="1:32" x14ac:dyDescent="0.25">
      <c r="A56" s="1">
        <v>55</v>
      </c>
      <c r="B56" s="1" t="s">
        <v>200</v>
      </c>
      <c r="C56" s="1" t="s">
        <v>190</v>
      </c>
      <c r="D56" s="1" t="s">
        <v>201</v>
      </c>
      <c r="E56" s="1" t="s">
        <v>155</v>
      </c>
      <c r="F56" s="1" t="s">
        <v>192</v>
      </c>
      <c r="G56" s="3">
        <v>46332</v>
      </c>
      <c r="H56" s="3">
        <v>46339</v>
      </c>
      <c r="J56" s="4">
        <v>0</v>
      </c>
      <c r="L56" s="1" t="s">
        <v>79</v>
      </c>
      <c r="M56" s="1" t="s">
        <v>47</v>
      </c>
      <c r="N56" s="1" t="s">
        <v>188</v>
      </c>
      <c r="O56" s="1" t="s">
        <v>202</v>
      </c>
      <c r="P56" s="2">
        <v>46175</v>
      </c>
      <c r="Q56" s="1" t="s">
        <v>38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</row>
    <row r="57" spans="1:32" x14ac:dyDescent="0.25">
      <c r="A57" s="1">
        <v>56</v>
      </c>
      <c r="B57" s="1" t="s">
        <v>203</v>
      </c>
      <c r="C57" s="1" t="s">
        <v>204</v>
      </c>
      <c r="D57" s="1" t="s">
        <v>67</v>
      </c>
      <c r="F57" s="1" t="s">
        <v>68</v>
      </c>
      <c r="G57" s="3">
        <v>46332</v>
      </c>
      <c r="H57" s="3">
        <v>46335</v>
      </c>
      <c r="I57" s="1" t="s">
        <v>205</v>
      </c>
      <c r="J57" s="4">
        <v>0</v>
      </c>
      <c r="L57" s="1" t="s">
        <v>79</v>
      </c>
      <c r="M57" s="1" t="s">
        <v>47</v>
      </c>
      <c r="N57" s="1" t="s">
        <v>188</v>
      </c>
      <c r="O57" s="1" t="s">
        <v>202</v>
      </c>
      <c r="P57" s="2">
        <v>46169</v>
      </c>
      <c r="Q57" s="1" t="s">
        <v>38</v>
      </c>
      <c r="R57" s="1">
        <v>57</v>
      </c>
      <c r="U57" s="1">
        <v>0</v>
      </c>
      <c r="V57" s="1">
        <v>1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</row>
    <row r="58" spans="1:32" x14ac:dyDescent="0.25">
      <c r="A58" s="1">
        <v>57</v>
      </c>
      <c r="B58" s="1" t="s">
        <v>206</v>
      </c>
      <c r="C58" s="1" t="s">
        <v>204</v>
      </c>
      <c r="D58" s="1" t="s">
        <v>72</v>
      </c>
      <c r="F58" s="1" t="s">
        <v>73</v>
      </c>
      <c r="G58" s="3">
        <v>46336</v>
      </c>
      <c r="H58" s="3">
        <v>46336</v>
      </c>
      <c r="I58" s="1">
        <v>56</v>
      </c>
      <c r="J58" s="4">
        <v>0</v>
      </c>
      <c r="L58" s="1" t="s">
        <v>79</v>
      </c>
      <c r="M58" s="1" t="s">
        <v>47</v>
      </c>
      <c r="N58" s="1" t="s">
        <v>188</v>
      </c>
      <c r="O58" s="1" t="s">
        <v>207</v>
      </c>
      <c r="P58" s="2">
        <v>46170</v>
      </c>
      <c r="Q58" s="1" t="s">
        <v>38</v>
      </c>
      <c r="R58" s="1">
        <v>58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</row>
    <row r="59" spans="1:32" x14ac:dyDescent="0.25">
      <c r="A59" s="1">
        <v>58</v>
      </c>
      <c r="B59" s="1" t="s">
        <v>208</v>
      </c>
      <c r="C59" s="1" t="s">
        <v>204</v>
      </c>
      <c r="D59" s="1" t="s">
        <v>77</v>
      </c>
      <c r="F59" s="1" t="s">
        <v>68</v>
      </c>
      <c r="G59" s="3">
        <v>46337</v>
      </c>
      <c r="H59" s="3">
        <v>46338</v>
      </c>
      <c r="I59" s="1">
        <v>57</v>
      </c>
      <c r="J59" s="4">
        <v>0</v>
      </c>
      <c r="L59" s="1" t="s">
        <v>79</v>
      </c>
      <c r="M59" s="1" t="s">
        <v>47</v>
      </c>
      <c r="N59" s="1" t="s">
        <v>188</v>
      </c>
      <c r="O59" s="1" t="s">
        <v>209</v>
      </c>
      <c r="P59" s="2">
        <v>46174</v>
      </c>
      <c r="Q59" s="1" t="s">
        <v>38</v>
      </c>
      <c r="R59" s="1">
        <v>59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</row>
    <row r="60" spans="1:32" x14ac:dyDescent="0.25">
      <c r="A60" s="1">
        <v>59</v>
      </c>
      <c r="B60" s="1" t="s">
        <v>210</v>
      </c>
      <c r="C60" s="1" t="s">
        <v>204</v>
      </c>
      <c r="D60" s="1" t="s">
        <v>83</v>
      </c>
      <c r="F60" s="1" t="s">
        <v>73</v>
      </c>
      <c r="G60" s="3">
        <v>46339</v>
      </c>
      <c r="H60" s="3">
        <v>46339</v>
      </c>
      <c r="I60" s="1">
        <v>58</v>
      </c>
      <c r="J60" s="4">
        <v>0</v>
      </c>
      <c r="L60" s="1" t="s">
        <v>79</v>
      </c>
      <c r="M60" s="1" t="s">
        <v>47</v>
      </c>
      <c r="N60" s="1" t="s">
        <v>188</v>
      </c>
      <c r="O60" s="1" t="s">
        <v>211</v>
      </c>
      <c r="P60" s="2">
        <v>46175</v>
      </c>
      <c r="Q60" s="1" t="s">
        <v>38</v>
      </c>
      <c r="U60" s="1">
        <v>0</v>
      </c>
      <c r="V60" s="1">
        <v>0</v>
      </c>
      <c r="W60" s="1">
        <v>0</v>
      </c>
      <c r="X60" s="1">
        <v>0</v>
      </c>
      <c r="Y60" s="1">
        <v>1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</row>
    <row r="61" spans="1:32" x14ac:dyDescent="0.25">
      <c r="A61" s="1">
        <v>60</v>
      </c>
      <c r="B61" s="1" t="s">
        <v>212</v>
      </c>
      <c r="C61" s="1" t="s">
        <v>190</v>
      </c>
      <c r="D61" s="1" t="s">
        <v>213</v>
      </c>
      <c r="E61" s="1" t="s">
        <v>214</v>
      </c>
      <c r="F61" s="1" t="s">
        <v>192</v>
      </c>
      <c r="G61" s="3">
        <v>46332</v>
      </c>
      <c r="H61" s="3">
        <v>46339</v>
      </c>
      <c r="J61" s="4">
        <v>0</v>
      </c>
      <c r="L61" s="1" t="s">
        <v>79</v>
      </c>
      <c r="M61" s="1" t="s">
        <v>47</v>
      </c>
      <c r="N61" s="1" t="s">
        <v>188</v>
      </c>
      <c r="O61" s="1" t="s">
        <v>202</v>
      </c>
      <c r="P61" s="2">
        <v>46175</v>
      </c>
      <c r="Q61" s="1" t="s">
        <v>38</v>
      </c>
      <c r="S61" s="1" t="s">
        <v>215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</row>
    <row r="62" spans="1:32" x14ac:dyDescent="0.25">
      <c r="A62" s="1">
        <v>61</v>
      </c>
      <c r="B62" s="1" t="s">
        <v>216</v>
      </c>
      <c r="C62" s="1" t="s">
        <v>217</v>
      </c>
      <c r="D62" s="1" t="s">
        <v>67</v>
      </c>
      <c r="F62" s="1" t="s">
        <v>68</v>
      </c>
      <c r="G62" s="3">
        <v>46332</v>
      </c>
      <c r="H62" s="3">
        <v>46335</v>
      </c>
      <c r="I62" s="1" t="s">
        <v>205</v>
      </c>
      <c r="J62" s="4">
        <v>0</v>
      </c>
      <c r="L62" s="1" t="s">
        <v>79</v>
      </c>
      <c r="M62" s="1" t="s">
        <v>47</v>
      </c>
      <c r="N62" s="1" t="s">
        <v>188</v>
      </c>
      <c r="O62" s="1" t="s">
        <v>202</v>
      </c>
      <c r="P62" s="2">
        <v>46169</v>
      </c>
      <c r="Q62" s="1" t="s">
        <v>38</v>
      </c>
      <c r="R62" s="1">
        <v>62</v>
      </c>
      <c r="U62" s="1">
        <v>0</v>
      </c>
      <c r="V62" s="1">
        <v>1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</row>
    <row r="63" spans="1:32" x14ac:dyDescent="0.25">
      <c r="A63" s="1">
        <v>62</v>
      </c>
      <c r="B63" s="1" t="s">
        <v>218</v>
      </c>
      <c r="C63" s="1" t="s">
        <v>217</v>
      </c>
      <c r="D63" s="1" t="s">
        <v>72</v>
      </c>
      <c r="F63" s="1" t="s">
        <v>73</v>
      </c>
      <c r="G63" s="3">
        <v>46336</v>
      </c>
      <c r="H63" s="3">
        <v>46336</v>
      </c>
      <c r="I63" s="1">
        <v>61</v>
      </c>
      <c r="J63" s="4">
        <v>0</v>
      </c>
      <c r="L63" s="1" t="s">
        <v>79</v>
      </c>
      <c r="M63" s="1" t="s">
        <v>47</v>
      </c>
      <c r="N63" s="1" t="s">
        <v>188</v>
      </c>
      <c r="O63" s="1" t="s">
        <v>207</v>
      </c>
      <c r="P63" s="2">
        <v>46170</v>
      </c>
      <c r="Q63" s="1" t="s">
        <v>38</v>
      </c>
      <c r="R63" s="1">
        <v>63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</row>
    <row r="64" spans="1:32" x14ac:dyDescent="0.25">
      <c r="A64" s="1">
        <v>63</v>
      </c>
      <c r="B64" s="1" t="s">
        <v>219</v>
      </c>
      <c r="C64" s="1" t="s">
        <v>217</v>
      </c>
      <c r="D64" s="1" t="s">
        <v>77</v>
      </c>
      <c r="F64" s="1" t="s">
        <v>68</v>
      </c>
      <c r="G64" s="3">
        <v>46337</v>
      </c>
      <c r="H64" s="3">
        <v>46338</v>
      </c>
      <c r="I64" s="1">
        <v>62</v>
      </c>
      <c r="J64" s="4">
        <v>0</v>
      </c>
      <c r="L64" s="1" t="s">
        <v>79</v>
      </c>
      <c r="M64" s="1" t="s">
        <v>47</v>
      </c>
      <c r="N64" s="1" t="s">
        <v>188</v>
      </c>
      <c r="O64" s="1" t="s">
        <v>209</v>
      </c>
      <c r="P64" s="2">
        <v>46174</v>
      </c>
      <c r="Q64" s="1" t="s">
        <v>38</v>
      </c>
      <c r="R64" s="1">
        <v>64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</row>
    <row r="65" spans="1:32" x14ac:dyDescent="0.25">
      <c r="A65" s="1">
        <v>64</v>
      </c>
      <c r="B65" s="1" t="s">
        <v>220</v>
      </c>
      <c r="C65" s="1" t="s">
        <v>217</v>
      </c>
      <c r="D65" s="1" t="s">
        <v>83</v>
      </c>
      <c r="F65" s="1" t="s">
        <v>73</v>
      </c>
      <c r="G65" s="3">
        <v>46339</v>
      </c>
      <c r="H65" s="3">
        <v>46339</v>
      </c>
      <c r="I65" s="1">
        <v>63</v>
      </c>
      <c r="J65" s="4">
        <v>0</v>
      </c>
      <c r="L65" s="1" t="s">
        <v>79</v>
      </c>
      <c r="M65" s="1" t="s">
        <v>47</v>
      </c>
      <c r="N65" s="1" t="s">
        <v>188</v>
      </c>
      <c r="O65" s="1" t="s">
        <v>211</v>
      </c>
      <c r="P65" s="2">
        <v>46175</v>
      </c>
      <c r="Q65" s="1" t="s">
        <v>38</v>
      </c>
      <c r="U65" s="1">
        <v>0</v>
      </c>
      <c r="V65" s="1">
        <v>0</v>
      </c>
      <c r="W65" s="1">
        <v>0</v>
      </c>
      <c r="X65" s="1">
        <v>0</v>
      </c>
      <c r="Y65" s="1">
        <v>1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</row>
    <row r="66" spans="1:32" x14ac:dyDescent="0.25">
      <c r="A66" s="1">
        <v>65</v>
      </c>
      <c r="B66" s="1" t="s">
        <v>221</v>
      </c>
      <c r="C66" s="1" t="s">
        <v>190</v>
      </c>
      <c r="D66" s="1" t="s">
        <v>222</v>
      </c>
      <c r="E66" s="1" t="s">
        <v>214</v>
      </c>
      <c r="F66" s="1" t="s">
        <v>110</v>
      </c>
      <c r="G66" s="3">
        <v>46209</v>
      </c>
      <c r="H66" s="3">
        <v>46219</v>
      </c>
      <c r="J66" s="4">
        <v>0</v>
      </c>
      <c r="L66" s="1" t="s">
        <v>64</v>
      </c>
      <c r="M66" s="1" t="s">
        <v>47</v>
      </c>
      <c r="N66" s="1" t="s">
        <v>188</v>
      </c>
      <c r="O66" s="1" t="s">
        <v>202</v>
      </c>
      <c r="P66" s="2">
        <v>46175</v>
      </c>
      <c r="Q66" s="1" t="s">
        <v>38</v>
      </c>
      <c r="S66" s="1" t="s">
        <v>215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</row>
    <row r="67" spans="1:32" x14ac:dyDescent="0.25">
      <c r="A67" s="1">
        <v>66</v>
      </c>
      <c r="B67" s="1" t="s">
        <v>223</v>
      </c>
      <c r="C67" s="1" t="s">
        <v>224</v>
      </c>
      <c r="D67" s="1" t="s">
        <v>67</v>
      </c>
      <c r="F67" s="1" t="s">
        <v>92</v>
      </c>
      <c r="G67" s="3">
        <v>46209</v>
      </c>
      <c r="H67" s="3">
        <v>46211</v>
      </c>
      <c r="J67" s="4">
        <v>0</v>
      </c>
      <c r="L67" s="1" t="s">
        <v>64</v>
      </c>
      <c r="M67" s="1" t="s">
        <v>47</v>
      </c>
      <c r="N67" s="1" t="s">
        <v>188</v>
      </c>
      <c r="O67" s="1" t="s">
        <v>202</v>
      </c>
      <c r="P67" s="2">
        <v>46169</v>
      </c>
      <c r="Q67" s="1" t="s">
        <v>38</v>
      </c>
      <c r="R67" s="1">
        <v>67</v>
      </c>
      <c r="U67" s="1">
        <v>0</v>
      </c>
      <c r="V67" s="1">
        <v>1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</row>
    <row r="68" spans="1:32" x14ac:dyDescent="0.25">
      <c r="A68" s="1">
        <v>67</v>
      </c>
      <c r="B68" s="1" t="s">
        <v>225</v>
      </c>
      <c r="C68" s="1" t="s">
        <v>224</v>
      </c>
      <c r="D68" s="1" t="s">
        <v>72</v>
      </c>
      <c r="F68" s="1" t="s">
        <v>73</v>
      </c>
      <c r="G68" s="3">
        <v>46216</v>
      </c>
      <c r="H68" s="3">
        <v>46216</v>
      </c>
      <c r="I68" s="1">
        <v>66</v>
      </c>
      <c r="J68" s="4">
        <v>0</v>
      </c>
      <c r="L68" s="1" t="s">
        <v>79</v>
      </c>
      <c r="M68" s="1" t="s">
        <v>47</v>
      </c>
      <c r="N68" s="1" t="s">
        <v>188</v>
      </c>
      <c r="O68" s="1" t="s">
        <v>207</v>
      </c>
      <c r="P68" s="2">
        <v>46170</v>
      </c>
      <c r="Q68" s="1" t="s">
        <v>38</v>
      </c>
      <c r="R68" s="1">
        <v>68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</row>
    <row r="69" spans="1:32" x14ac:dyDescent="0.25">
      <c r="A69" s="1">
        <v>68</v>
      </c>
      <c r="B69" s="1" t="s">
        <v>226</v>
      </c>
      <c r="C69" s="1" t="s">
        <v>224</v>
      </c>
      <c r="D69" s="1" t="s">
        <v>77</v>
      </c>
      <c r="F69" s="1" t="s">
        <v>68</v>
      </c>
      <c r="G69" s="3">
        <v>46217</v>
      </c>
      <c r="H69" s="3">
        <v>46218</v>
      </c>
      <c r="I69" s="1">
        <v>67</v>
      </c>
      <c r="J69" s="4">
        <v>0</v>
      </c>
      <c r="L69" s="1" t="s">
        <v>79</v>
      </c>
      <c r="M69" s="1" t="s">
        <v>47</v>
      </c>
      <c r="N69" s="1" t="s">
        <v>188</v>
      </c>
      <c r="O69" s="1" t="s">
        <v>209</v>
      </c>
      <c r="P69" s="2">
        <v>46174</v>
      </c>
      <c r="Q69" s="1" t="s">
        <v>38</v>
      </c>
      <c r="R69" s="1">
        <v>69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</row>
    <row r="70" spans="1:32" x14ac:dyDescent="0.25">
      <c r="A70" s="1">
        <v>69</v>
      </c>
      <c r="B70" s="1" t="s">
        <v>227</v>
      </c>
      <c r="C70" s="1" t="s">
        <v>224</v>
      </c>
      <c r="D70" s="1" t="s">
        <v>83</v>
      </c>
      <c r="F70" s="1" t="s">
        <v>73</v>
      </c>
      <c r="G70" s="3">
        <v>46219</v>
      </c>
      <c r="H70" s="3">
        <v>46219</v>
      </c>
      <c r="I70" s="1">
        <v>68</v>
      </c>
      <c r="J70" s="4">
        <v>0</v>
      </c>
      <c r="L70" s="1" t="s">
        <v>79</v>
      </c>
      <c r="M70" s="1" t="s">
        <v>47</v>
      </c>
      <c r="N70" s="1" t="s">
        <v>188</v>
      </c>
      <c r="O70" s="1" t="s">
        <v>211</v>
      </c>
      <c r="P70" s="2">
        <v>46175</v>
      </c>
      <c r="Q70" s="1" t="s">
        <v>38</v>
      </c>
      <c r="U70" s="1">
        <v>0</v>
      </c>
      <c r="V70" s="1">
        <v>0</v>
      </c>
      <c r="W70" s="1">
        <v>0</v>
      </c>
      <c r="X70" s="1">
        <v>0</v>
      </c>
      <c r="Y70" s="1">
        <v>1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</row>
    <row r="71" spans="1:32" x14ac:dyDescent="0.25">
      <c r="A71" s="1">
        <v>70</v>
      </c>
      <c r="B71" s="1" t="s">
        <v>228</v>
      </c>
      <c r="C71" s="1" t="s">
        <v>43</v>
      </c>
      <c r="D71" s="1" t="s">
        <v>229</v>
      </c>
      <c r="F71" s="1" t="s">
        <v>230</v>
      </c>
      <c r="G71" s="3">
        <v>46181</v>
      </c>
      <c r="H71" s="3">
        <v>46371</v>
      </c>
      <c r="J71" s="4">
        <v>0.24</v>
      </c>
      <c r="L71" s="1" t="s">
        <v>64</v>
      </c>
      <c r="M71" s="1" t="s">
        <v>47</v>
      </c>
      <c r="N71" s="1" t="s">
        <v>231</v>
      </c>
      <c r="O71" s="1" t="s">
        <v>173</v>
      </c>
      <c r="P71" s="2">
        <v>46211</v>
      </c>
      <c r="Q71" s="1" t="s">
        <v>38</v>
      </c>
      <c r="U71" s="1">
        <v>0.24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</row>
    <row r="72" spans="1:32" x14ac:dyDescent="0.25">
      <c r="A72" s="1">
        <v>71</v>
      </c>
      <c r="B72" s="1" t="s">
        <v>232</v>
      </c>
      <c r="C72" s="1" t="s">
        <v>233</v>
      </c>
      <c r="D72" s="1" t="s">
        <v>234</v>
      </c>
      <c r="E72" s="1" t="s">
        <v>140</v>
      </c>
      <c r="F72" s="1" t="s">
        <v>141</v>
      </c>
      <c r="G72" s="3">
        <v>46181</v>
      </c>
      <c r="H72" s="3">
        <v>46191</v>
      </c>
      <c r="J72" s="4">
        <v>1</v>
      </c>
      <c r="K72" s="3">
        <v>46191</v>
      </c>
      <c r="L72" s="1" t="s">
        <v>46</v>
      </c>
      <c r="M72" s="1" t="s">
        <v>47</v>
      </c>
      <c r="N72" s="1" t="s">
        <v>231</v>
      </c>
      <c r="O72" s="1" t="s">
        <v>235</v>
      </c>
      <c r="P72" s="2">
        <v>46192</v>
      </c>
      <c r="Q72" s="1" t="s">
        <v>38</v>
      </c>
      <c r="U72" s="1">
        <v>1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</row>
    <row r="73" spans="1:32" x14ac:dyDescent="0.25">
      <c r="A73" s="1">
        <v>72</v>
      </c>
      <c r="B73" s="1" t="s">
        <v>236</v>
      </c>
      <c r="C73" s="1" t="s">
        <v>237</v>
      </c>
      <c r="D73" s="1" t="s">
        <v>67</v>
      </c>
      <c r="F73" s="1" t="s">
        <v>145</v>
      </c>
      <c r="G73" s="3">
        <v>46181</v>
      </c>
      <c r="H73" s="3">
        <v>46185</v>
      </c>
      <c r="I73" s="1" t="s">
        <v>195</v>
      </c>
      <c r="J73" s="4">
        <v>1</v>
      </c>
      <c r="K73" s="3">
        <v>46185</v>
      </c>
      <c r="L73" s="1" t="s">
        <v>46</v>
      </c>
      <c r="M73" s="1" t="s">
        <v>47</v>
      </c>
      <c r="N73" s="1" t="s">
        <v>231</v>
      </c>
      <c r="O73" s="1" t="s">
        <v>235</v>
      </c>
      <c r="P73" s="2">
        <v>46188</v>
      </c>
      <c r="Q73" s="1" t="s">
        <v>38</v>
      </c>
      <c r="R73" s="1" t="s">
        <v>238</v>
      </c>
      <c r="U73" s="1">
        <v>1</v>
      </c>
      <c r="V73" s="1">
        <v>1</v>
      </c>
      <c r="W73" s="1">
        <v>1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1</v>
      </c>
    </row>
    <row r="74" spans="1:32" x14ac:dyDescent="0.25">
      <c r="A74" s="1">
        <v>73</v>
      </c>
      <c r="B74" s="1" t="s">
        <v>239</v>
      </c>
      <c r="C74" s="1" t="s">
        <v>237</v>
      </c>
      <c r="D74" s="1" t="s">
        <v>72</v>
      </c>
      <c r="F74" s="1" t="s">
        <v>73</v>
      </c>
      <c r="G74" s="3">
        <v>46188</v>
      </c>
      <c r="H74" s="3">
        <v>46188</v>
      </c>
      <c r="I74" s="1">
        <v>72</v>
      </c>
      <c r="J74" s="4">
        <v>1</v>
      </c>
      <c r="K74" s="3">
        <v>46188</v>
      </c>
      <c r="L74" s="1" t="s">
        <v>46</v>
      </c>
      <c r="M74" s="1" t="s">
        <v>47</v>
      </c>
      <c r="N74" s="1" t="s">
        <v>231</v>
      </c>
      <c r="O74" s="1" t="s">
        <v>132</v>
      </c>
      <c r="P74" s="2">
        <v>46189</v>
      </c>
      <c r="Q74" s="1" t="s">
        <v>38</v>
      </c>
      <c r="R74" s="1">
        <v>74</v>
      </c>
      <c r="U74" s="1">
        <v>1</v>
      </c>
      <c r="V74" s="1">
        <v>0</v>
      </c>
      <c r="W74" s="1">
        <v>0</v>
      </c>
      <c r="X74" s="1">
        <v>0</v>
      </c>
      <c r="Y74" s="1">
        <v>0</v>
      </c>
      <c r="Z74" s="1">
        <v>1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</row>
    <row r="75" spans="1:32" x14ac:dyDescent="0.25">
      <c r="A75" s="1">
        <v>74</v>
      </c>
      <c r="B75" s="1" t="s">
        <v>240</v>
      </c>
      <c r="C75" s="1" t="s">
        <v>237</v>
      </c>
      <c r="D75" s="1" t="s">
        <v>77</v>
      </c>
      <c r="F75" s="1" t="s">
        <v>68</v>
      </c>
      <c r="G75" s="3">
        <v>46189</v>
      </c>
      <c r="H75" s="3">
        <v>46190</v>
      </c>
      <c r="I75" s="1">
        <v>73</v>
      </c>
      <c r="J75" s="4">
        <v>1</v>
      </c>
      <c r="K75" s="3">
        <v>46190</v>
      </c>
      <c r="L75" s="1" t="s">
        <v>46</v>
      </c>
      <c r="M75" s="1" t="s">
        <v>47</v>
      </c>
      <c r="N75" s="1" t="s">
        <v>231</v>
      </c>
      <c r="O75" s="1" t="s">
        <v>150</v>
      </c>
      <c r="P75" s="2">
        <v>46191</v>
      </c>
      <c r="Q75" s="1" t="s">
        <v>38</v>
      </c>
      <c r="R75" s="1">
        <v>75</v>
      </c>
      <c r="U75" s="1">
        <v>1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1</v>
      </c>
      <c r="AC75" s="1">
        <v>0</v>
      </c>
      <c r="AD75" s="1">
        <v>0</v>
      </c>
      <c r="AE75" s="1">
        <v>0</v>
      </c>
      <c r="AF75" s="1">
        <v>0</v>
      </c>
    </row>
    <row r="76" spans="1:32" x14ac:dyDescent="0.25">
      <c r="A76" s="1">
        <v>75</v>
      </c>
      <c r="B76" s="1" t="s">
        <v>241</v>
      </c>
      <c r="C76" s="1" t="s">
        <v>237</v>
      </c>
      <c r="D76" s="1" t="s">
        <v>83</v>
      </c>
      <c r="F76" s="1" t="s">
        <v>73</v>
      </c>
      <c r="G76" s="3">
        <v>46191</v>
      </c>
      <c r="H76" s="3">
        <v>46191</v>
      </c>
      <c r="I76" s="1">
        <v>74</v>
      </c>
      <c r="J76" s="4">
        <v>1</v>
      </c>
      <c r="K76" s="3">
        <v>46191</v>
      </c>
      <c r="L76" s="1" t="s">
        <v>46</v>
      </c>
      <c r="M76" s="1" t="s">
        <v>47</v>
      </c>
      <c r="N76" s="1" t="s">
        <v>231</v>
      </c>
      <c r="O76" s="1" t="s">
        <v>152</v>
      </c>
      <c r="P76" s="2">
        <v>46192</v>
      </c>
      <c r="Q76" s="1" t="s">
        <v>38</v>
      </c>
      <c r="U76" s="1">
        <v>1</v>
      </c>
      <c r="V76" s="1">
        <v>0</v>
      </c>
      <c r="W76" s="1">
        <v>0</v>
      </c>
      <c r="X76" s="1">
        <v>0</v>
      </c>
      <c r="Y76" s="1">
        <v>1</v>
      </c>
      <c r="Z76" s="1">
        <v>0</v>
      </c>
      <c r="AA76" s="1">
        <v>0</v>
      </c>
      <c r="AB76" s="1">
        <v>0</v>
      </c>
      <c r="AC76" s="1">
        <v>0</v>
      </c>
      <c r="AD76" s="1">
        <v>1</v>
      </c>
      <c r="AE76" s="1">
        <v>0</v>
      </c>
      <c r="AF76" s="1">
        <v>0</v>
      </c>
    </row>
    <row r="77" spans="1:32" x14ac:dyDescent="0.25">
      <c r="A77" s="1">
        <v>76</v>
      </c>
      <c r="B77" s="1" t="s">
        <v>242</v>
      </c>
      <c r="C77" s="1" t="s">
        <v>233</v>
      </c>
      <c r="D77" s="1" t="s">
        <v>243</v>
      </c>
      <c r="E77" s="1" t="s">
        <v>155</v>
      </c>
      <c r="F77" s="1" t="s">
        <v>110</v>
      </c>
      <c r="G77" s="3">
        <v>46358</v>
      </c>
      <c r="H77" s="3">
        <v>46366</v>
      </c>
      <c r="J77" s="4">
        <v>0</v>
      </c>
      <c r="L77" s="1" t="s">
        <v>79</v>
      </c>
      <c r="M77" s="1" t="s">
        <v>47</v>
      </c>
      <c r="N77" s="1" t="s">
        <v>231</v>
      </c>
      <c r="O77" s="1" t="s">
        <v>244</v>
      </c>
      <c r="P77" s="2">
        <v>46199</v>
      </c>
      <c r="Q77" s="1" t="s">
        <v>38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</row>
    <row r="78" spans="1:32" x14ac:dyDescent="0.25">
      <c r="A78" s="1">
        <v>77</v>
      </c>
      <c r="B78" s="1" t="s">
        <v>245</v>
      </c>
      <c r="C78" s="1" t="s">
        <v>246</v>
      </c>
      <c r="D78" s="1" t="s">
        <v>67</v>
      </c>
      <c r="F78" s="1" t="s">
        <v>92</v>
      </c>
      <c r="G78" s="3">
        <v>46358</v>
      </c>
      <c r="H78" s="3">
        <v>46360</v>
      </c>
      <c r="I78" s="1" t="s">
        <v>247</v>
      </c>
      <c r="J78" s="4">
        <v>0</v>
      </c>
      <c r="L78" s="1" t="s">
        <v>79</v>
      </c>
      <c r="M78" s="1" t="s">
        <v>47</v>
      </c>
      <c r="N78" s="1" t="s">
        <v>231</v>
      </c>
      <c r="O78" s="1" t="s">
        <v>244</v>
      </c>
      <c r="P78" s="2">
        <v>46195</v>
      </c>
      <c r="Q78" s="1" t="s">
        <v>38</v>
      </c>
      <c r="R78" s="1" t="s">
        <v>248</v>
      </c>
      <c r="U78" s="1">
        <v>0</v>
      </c>
      <c r="V78" s="1">
        <v>1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</row>
    <row r="79" spans="1:32" x14ac:dyDescent="0.25">
      <c r="A79" s="1">
        <v>78</v>
      </c>
      <c r="B79" s="1" t="s">
        <v>249</v>
      </c>
      <c r="C79" s="1" t="s">
        <v>246</v>
      </c>
      <c r="D79" s="1" t="s">
        <v>72</v>
      </c>
      <c r="F79" s="1" t="s">
        <v>73</v>
      </c>
      <c r="G79" s="3">
        <v>46363</v>
      </c>
      <c r="H79" s="3">
        <v>46363</v>
      </c>
      <c r="I79" s="1">
        <v>77</v>
      </c>
      <c r="J79" s="4">
        <v>0</v>
      </c>
      <c r="L79" s="1" t="s">
        <v>79</v>
      </c>
      <c r="M79" s="1" t="s">
        <v>47</v>
      </c>
      <c r="N79" s="1" t="s">
        <v>231</v>
      </c>
      <c r="O79" s="1" t="s">
        <v>162</v>
      </c>
      <c r="P79" s="2">
        <v>46196</v>
      </c>
      <c r="Q79" s="1" t="s">
        <v>38</v>
      </c>
      <c r="R79" s="1">
        <v>79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</row>
    <row r="80" spans="1:32" x14ac:dyDescent="0.25">
      <c r="A80" s="1">
        <v>79</v>
      </c>
      <c r="B80" s="1" t="s">
        <v>250</v>
      </c>
      <c r="C80" s="1" t="s">
        <v>246</v>
      </c>
      <c r="D80" s="1" t="s">
        <v>77</v>
      </c>
      <c r="F80" s="1" t="s">
        <v>68</v>
      </c>
      <c r="G80" s="3">
        <v>46364</v>
      </c>
      <c r="H80" s="3">
        <v>46365</v>
      </c>
      <c r="I80" s="1">
        <v>78</v>
      </c>
      <c r="J80" s="4">
        <v>0</v>
      </c>
      <c r="L80" s="1" t="s">
        <v>79</v>
      </c>
      <c r="M80" s="1" t="s">
        <v>47</v>
      </c>
      <c r="N80" s="1" t="s">
        <v>231</v>
      </c>
      <c r="O80" s="1" t="s">
        <v>251</v>
      </c>
      <c r="P80" s="2">
        <v>46198</v>
      </c>
      <c r="Q80" s="1" t="s">
        <v>38</v>
      </c>
      <c r="R80" s="1">
        <v>80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</row>
    <row r="81" spans="1:32" x14ac:dyDescent="0.25">
      <c r="A81" s="1">
        <v>80</v>
      </c>
      <c r="B81" s="1" t="s">
        <v>252</v>
      </c>
      <c r="C81" s="1" t="s">
        <v>246</v>
      </c>
      <c r="D81" s="1" t="s">
        <v>83</v>
      </c>
      <c r="F81" s="1" t="s">
        <v>73</v>
      </c>
      <c r="G81" s="3">
        <v>46366</v>
      </c>
      <c r="H81" s="3">
        <v>46366</v>
      </c>
      <c r="I81" s="1">
        <v>79</v>
      </c>
      <c r="J81" s="4">
        <v>0</v>
      </c>
      <c r="L81" s="1" t="s">
        <v>79</v>
      </c>
      <c r="M81" s="1" t="s">
        <v>47</v>
      </c>
      <c r="N81" s="1" t="s">
        <v>231</v>
      </c>
      <c r="O81" s="1" t="s">
        <v>253</v>
      </c>
      <c r="P81" s="2">
        <v>46199</v>
      </c>
      <c r="Q81" s="1" t="s">
        <v>38</v>
      </c>
      <c r="U81" s="1">
        <v>0</v>
      </c>
      <c r="V81" s="1">
        <v>0</v>
      </c>
      <c r="W81" s="1">
        <v>0</v>
      </c>
      <c r="X81" s="1">
        <v>0</v>
      </c>
      <c r="Y81" s="1">
        <v>1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</row>
    <row r="82" spans="1:32" x14ac:dyDescent="0.25">
      <c r="A82" s="1">
        <v>81</v>
      </c>
      <c r="B82" s="1" t="s">
        <v>254</v>
      </c>
      <c r="C82" s="1" t="s">
        <v>233</v>
      </c>
      <c r="D82" s="1" t="s">
        <v>255</v>
      </c>
      <c r="E82" s="1" t="s">
        <v>256</v>
      </c>
      <c r="F82" s="1" t="s">
        <v>110</v>
      </c>
      <c r="G82" s="3">
        <v>46363</v>
      </c>
      <c r="H82" s="3">
        <v>46371</v>
      </c>
      <c r="J82" s="4">
        <v>0</v>
      </c>
      <c r="L82" s="1" t="s">
        <v>79</v>
      </c>
      <c r="M82" s="1" t="s">
        <v>47</v>
      </c>
      <c r="N82" s="1" t="s">
        <v>231</v>
      </c>
      <c r="O82" s="1" t="s">
        <v>207</v>
      </c>
      <c r="P82" s="2">
        <v>46178</v>
      </c>
      <c r="Q82" s="1" t="s">
        <v>38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</row>
    <row r="83" spans="1:32" x14ac:dyDescent="0.25">
      <c r="A83" s="1">
        <v>82</v>
      </c>
      <c r="B83" s="1" t="s">
        <v>257</v>
      </c>
      <c r="C83" s="1" t="s">
        <v>258</v>
      </c>
      <c r="D83" s="1" t="s">
        <v>67</v>
      </c>
      <c r="F83" s="1" t="s">
        <v>92</v>
      </c>
      <c r="G83" s="3">
        <v>46363</v>
      </c>
      <c r="H83" s="3">
        <v>46365</v>
      </c>
      <c r="I83" s="1">
        <v>77</v>
      </c>
      <c r="J83" s="4">
        <v>0</v>
      </c>
      <c r="L83" s="1" t="s">
        <v>79</v>
      </c>
      <c r="M83" s="1" t="s">
        <v>47</v>
      </c>
      <c r="N83" s="1" t="s">
        <v>231</v>
      </c>
      <c r="O83" s="1" t="s">
        <v>207</v>
      </c>
      <c r="P83" s="2">
        <v>46174</v>
      </c>
      <c r="Q83" s="1" t="s">
        <v>38</v>
      </c>
      <c r="R83" s="1">
        <v>83</v>
      </c>
      <c r="U83" s="1">
        <v>0</v>
      </c>
      <c r="V83" s="1">
        <v>1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</row>
    <row r="84" spans="1:32" x14ac:dyDescent="0.25">
      <c r="A84" s="1">
        <v>83</v>
      </c>
      <c r="B84" s="1" t="s">
        <v>259</v>
      </c>
      <c r="C84" s="1" t="s">
        <v>258</v>
      </c>
      <c r="D84" s="1" t="s">
        <v>72</v>
      </c>
      <c r="F84" s="1" t="s">
        <v>73</v>
      </c>
      <c r="G84" s="3">
        <v>46366</v>
      </c>
      <c r="H84" s="3">
        <v>46366</v>
      </c>
      <c r="I84" s="1">
        <v>82</v>
      </c>
      <c r="J84" s="4">
        <v>0</v>
      </c>
      <c r="L84" s="1" t="s">
        <v>79</v>
      </c>
      <c r="M84" s="1" t="s">
        <v>47</v>
      </c>
      <c r="N84" s="1" t="s">
        <v>231</v>
      </c>
      <c r="O84" s="1" t="s">
        <v>211</v>
      </c>
      <c r="P84" s="2">
        <v>46175</v>
      </c>
      <c r="Q84" s="1" t="s">
        <v>38</v>
      </c>
      <c r="R84" s="1">
        <v>84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</row>
    <row r="85" spans="1:32" x14ac:dyDescent="0.25">
      <c r="A85" s="1">
        <v>84</v>
      </c>
      <c r="B85" s="1" t="s">
        <v>260</v>
      </c>
      <c r="C85" s="1" t="s">
        <v>258</v>
      </c>
      <c r="D85" s="1" t="s">
        <v>77</v>
      </c>
      <c r="F85" s="1" t="s">
        <v>68</v>
      </c>
      <c r="G85" s="3">
        <v>46367</v>
      </c>
      <c r="H85" s="3">
        <v>46370</v>
      </c>
      <c r="I85" s="1">
        <v>83</v>
      </c>
      <c r="J85" s="4">
        <v>0</v>
      </c>
      <c r="L85" s="1" t="s">
        <v>79</v>
      </c>
      <c r="M85" s="1" t="s">
        <v>47</v>
      </c>
      <c r="N85" s="1" t="s">
        <v>231</v>
      </c>
      <c r="O85" s="1" t="s">
        <v>261</v>
      </c>
      <c r="P85" s="2">
        <v>46177</v>
      </c>
      <c r="Q85" s="1" t="s">
        <v>38</v>
      </c>
      <c r="R85" s="1">
        <v>85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</row>
    <row r="86" spans="1:32" x14ac:dyDescent="0.25">
      <c r="A86" s="1">
        <v>85</v>
      </c>
      <c r="B86" s="1" t="s">
        <v>262</v>
      </c>
      <c r="C86" s="1" t="s">
        <v>258</v>
      </c>
      <c r="D86" s="1" t="s">
        <v>83</v>
      </c>
      <c r="F86" s="1" t="s">
        <v>73</v>
      </c>
      <c r="G86" s="3">
        <v>46371</v>
      </c>
      <c r="H86" s="3">
        <v>46371</v>
      </c>
      <c r="I86" s="1">
        <v>84</v>
      </c>
      <c r="J86" s="4">
        <v>0</v>
      </c>
      <c r="L86" s="1" t="s">
        <v>79</v>
      </c>
      <c r="M86" s="1" t="s">
        <v>47</v>
      </c>
      <c r="N86" s="1" t="s">
        <v>231</v>
      </c>
      <c r="O86" s="1" t="s">
        <v>263</v>
      </c>
      <c r="P86" s="2">
        <v>46178</v>
      </c>
      <c r="Q86" s="1" t="s">
        <v>38</v>
      </c>
      <c r="U86" s="1">
        <v>0</v>
      </c>
      <c r="V86" s="1">
        <v>0</v>
      </c>
      <c r="W86" s="1">
        <v>0</v>
      </c>
      <c r="X86" s="1">
        <v>0</v>
      </c>
      <c r="Y86" s="1">
        <v>1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</row>
    <row r="87" spans="1:32" x14ac:dyDescent="0.25">
      <c r="A87" s="1">
        <v>86</v>
      </c>
      <c r="B87" s="1" t="s">
        <v>264</v>
      </c>
      <c r="C87" s="1" t="s">
        <v>233</v>
      </c>
      <c r="D87" s="1" t="s">
        <v>265</v>
      </c>
      <c r="E87" s="1" t="s">
        <v>266</v>
      </c>
      <c r="F87" s="1" t="s">
        <v>110</v>
      </c>
      <c r="G87" s="3">
        <v>46363</v>
      </c>
      <c r="H87" s="3">
        <v>46371</v>
      </c>
      <c r="J87" s="4">
        <v>0</v>
      </c>
      <c r="L87" s="1" t="s">
        <v>79</v>
      </c>
      <c r="M87" s="1" t="s">
        <v>47</v>
      </c>
      <c r="N87" s="1" t="s">
        <v>231</v>
      </c>
      <c r="O87" s="1" t="s">
        <v>211</v>
      </c>
      <c r="P87" s="2">
        <v>46183</v>
      </c>
      <c r="Q87" s="1" t="s">
        <v>38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</row>
    <row r="88" spans="1:32" x14ac:dyDescent="0.25">
      <c r="A88" s="1">
        <v>87</v>
      </c>
      <c r="B88" s="1" t="s">
        <v>267</v>
      </c>
      <c r="C88" s="1" t="s">
        <v>268</v>
      </c>
      <c r="D88" s="1" t="s">
        <v>67</v>
      </c>
      <c r="F88" s="1" t="s">
        <v>92</v>
      </c>
      <c r="G88" s="3">
        <v>46363</v>
      </c>
      <c r="H88" s="3">
        <v>46365</v>
      </c>
      <c r="I88" s="1">
        <v>77</v>
      </c>
      <c r="J88" s="4">
        <v>0</v>
      </c>
      <c r="L88" s="1" t="s">
        <v>79</v>
      </c>
      <c r="M88" s="1" t="s">
        <v>47</v>
      </c>
      <c r="N88" s="1" t="s">
        <v>231</v>
      </c>
      <c r="O88" s="1" t="s">
        <v>211</v>
      </c>
      <c r="P88" s="2">
        <v>46177</v>
      </c>
      <c r="Q88" s="1" t="s">
        <v>38</v>
      </c>
      <c r="R88" s="1">
        <v>88</v>
      </c>
      <c r="U88" s="1">
        <v>0</v>
      </c>
      <c r="V88" s="1">
        <v>1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</row>
    <row r="89" spans="1:32" x14ac:dyDescent="0.25">
      <c r="A89" s="1">
        <v>88</v>
      </c>
      <c r="B89" s="1" t="s">
        <v>269</v>
      </c>
      <c r="C89" s="1" t="s">
        <v>268</v>
      </c>
      <c r="D89" s="1" t="s">
        <v>72</v>
      </c>
      <c r="F89" s="1" t="s">
        <v>73</v>
      </c>
      <c r="G89" s="3">
        <v>46366</v>
      </c>
      <c r="H89" s="3">
        <v>46366</v>
      </c>
      <c r="I89" s="1">
        <v>87</v>
      </c>
      <c r="J89" s="4">
        <v>0</v>
      </c>
      <c r="L89" s="1" t="s">
        <v>79</v>
      </c>
      <c r="M89" s="1" t="s">
        <v>47</v>
      </c>
      <c r="N89" s="1" t="s">
        <v>231</v>
      </c>
      <c r="O89" s="1" t="s">
        <v>263</v>
      </c>
      <c r="P89" s="2">
        <v>46178</v>
      </c>
      <c r="Q89" s="1" t="s">
        <v>38</v>
      </c>
      <c r="R89" s="1">
        <v>89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</row>
    <row r="90" spans="1:32" x14ac:dyDescent="0.25">
      <c r="A90" s="1">
        <v>89</v>
      </c>
      <c r="B90" s="1" t="s">
        <v>270</v>
      </c>
      <c r="C90" s="1" t="s">
        <v>268</v>
      </c>
      <c r="D90" s="1" t="s">
        <v>77</v>
      </c>
      <c r="F90" s="1" t="s">
        <v>68</v>
      </c>
      <c r="G90" s="3">
        <v>46367</v>
      </c>
      <c r="H90" s="3">
        <v>46370</v>
      </c>
      <c r="I90" s="1">
        <v>88</v>
      </c>
      <c r="J90" s="4">
        <v>0</v>
      </c>
      <c r="L90" s="1" t="s">
        <v>79</v>
      </c>
      <c r="M90" s="1" t="s">
        <v>47</v>
      </c>
      <c r="N90" s="1" t="s">
        <v>231</v>
      </c>
      <c r="O90" s="1" t="s">
        <v>271</v>
      </c>
      <c r="P90" s="2">
        <v>46182</v>
      </c>
      <c r="Q90" s="1" t="s">
        <v>38</v>
      </c>
      <c r="R90" s="1">
        <v>90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</row>
    <row r="91" spans="1:32" x14ac:dyDescent="0.25">
      <c r="A91" s="1">
        <v>90</v>
      </c>
      <c r="B91" s="1" t="s">
        <v>272</v>
      </c>
      <c r="C91" s="1" t="s">
        <v>268</v>
      </c>
      <c r="D91" s="1" t="s">
        <v>83</v>
      </c>
      <c r="F91" s="1" t="s">
        <v>73</v>
      </c>
      <c r="G91" s="3">
        <v>46371</v>
      </c>
      <c r="H91" s="3">
        <v>46371</v>
      </c>
      <c r="I91" s="1">
        <v>89</v>
      </c>
      <c r="J91" s="4">
        <v>0</v>
      </c>
      <c r="L91" s="1" t="s">
        <v>79</v>
      </c>
      <c r="M91" s="1" t="s">
        <v>47</v>
      </c>
      <c r="N91" s="1" t="s">
        <v>231</v>
      </c>
      <c r="O91" s="1" t="s">
        <v>273</v>
      </c>
      <c r="P91" s="2">
        <v>46183</v>
      </c>
      <c r="Q91" s="1" t="s">
        <v>38</v>
      </c>
      <c r="U91" s="1">
        <v>0</v>
      </c>
      <c r="V91" s="1">
        <v>0</v>
      </c>
      <c r="W91" s="1">
        <v>0</v>
      </c>
      <c r="X91" s="1">
        <v>0</v>
      </c>
      <c r="Y91" s="1">
        <v>1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</row>
    <row r="92" spans="1:32" x14ac:dyDescent="0.25">
      <c r="A92" s="1">
        <v>91</v>
      </c>
      <c r="B92" s="1" t="s">
        <v>274</v>
      </c>
      <c r="C92" s="1" t="s">
        <v>233</v>
      </c>
      <c r="D92" s="1" t="s">
        <v>275</v>
      </c>
      <c r="E92" s="1" t="s">
        <v>214</v>
      </c>
      <c r="F92" s="1" t="s">
        <v>110</v>
      </c>
      <c r="G92" s="3">
        <v>46209</v>
      </c>
      <c r="H92" s="3">
        <v>46219</v>
      </c>
      <c r="J92" s="4">
        <v>0</v>
      </c>
      <c r="L92" s="1" t="s">
        <v>64</v>
      </c>
      <c r="M92" s="1" t="s">
        <v>47</v>
      </c>
      <c r="N92" s="1" t="s">
        <v>231</v>
      </c>
      <c r="O92" s="1" t="s">
        <v>211</v>
      </c>
      <c r="P92" s="2">
        <v>46183</v>
      </c>
      <c r="Q92" s="1" t="s">
        <v>38</v>
      </c>
      <c r="S92" s="1" t="s">
        <v>215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</row>
    <row r="93" spans="1:32" x14ac:dyDescent="0.25">
      <c r="A93" s="1">
        <v>92</v>
      </c>
      <c r="B93" s="1" t="s">
        <v>276</v>
      </c>
      <c r="C93" s="1" t="s">
        <v>277</v>
      </c>
      <c r="D93" s="1" t="s">
        <v>67</v>
      </c>
      <c r="F93" s="1" t="s">
        <v>92</v>
      </c>
      <c r="G93" s="3">
        <v>46209</v>
      </c>
      <c r="H93" s="3">
        <v>46211</v>
      </c>
      <c r="J93" s="4">
        <v>0</v>
      </c>
      <c r="L93" s="1" t="s">
        <v>64</v>
      </c>
      <c r="M93" s="1" t="s">
        <v>47</v>
      </c>
      <c r="N93" s="1" t="s">
        <v>231</v>
      </c>
      <c r="O93" s="1" t="s">
        <v>211</v>
      </c>
      <c r="P93" s="2">
        <v>46177</v>
      </c>
      <c r="Q93" s="1" t="s">
        <v>38</v>
      </c>
      <c r="R93" s="1">
        <v>93</v>
      </c>
      <c r="U93" s="1">
        <v>0</v>
      </c>
      <c r="V93" s="1">
        <v>1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</row>
    <row r="94" spans="1:32" x14ac:dyDescent="0.25">
      <c r="A94" s="1">
        <v>93</v>
      </c>
      <c r="B94" s="1" t="s">
        <v>278</v>
      </c>
      <c r="C94" s="1" t="s">
        <v>277</v>
      </c>
      <c r="D94" s="1" t="s">
        <v>72</v>
      </c>
      <c r="F94" s="1" t="s">
        <v>73</v>
      </c>
      <c r="G94" s="3">
        <v>46216</v>
      </c>
      <c r="H94" s="3">
        <v>46216</v>
      </c>
      <c r="I94" s="1">
        <v>92</v>
      </c>
      <c r="J94" s="4">
        <v>0</v>
      </c>
      <c r="L94" s="1" t="s">
        <v>79</v>
      </c>
      <c r="M94" s="1" t="s">
        <v>47</v>
      </c>
      <c r="N94" s="1" t="s">
        <v>231</v>
      </c>
      <c r="O94" s="1" t="s">
        <v>263</v>
      </c>
      <c r="P94" s="2">
        <v>46178</v>
      </c>
      <c r="Q94" s="1" t="s">
        <v>38</v>
      </c>
      <c r="R94" s="1">
        <v>94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</row>
    <row r="95" spans="1:32" x14ac:dyDescent="0.25">
      <c r="A95" s="1">
        <v>94</v>
      </c>
      <c r="B95" s="1" t="s">
        <v>279</v>
      </c>
      <c r="C95" s="1" t="s">
        <v>277</v>
      </c>
      <c r="D95" s="1" t="s">
        <v>77</v>
      </c>
      <c r="F95" s="1" t="s">
        <v>68</v>
      </c>
      <c r="G95" s="3">
        <v>46217</v>
      </c>
      <c r="H95" s="3">
        <v>46218</v>
      </c>
      <c r="I95" s="1">
        <v>93</v>
      </c>
      <c r="J95" s="4">
        <v>0</v>
      </c>
      <c r="L95" s="1" t="s">
        <v>79</v>
      </c>
      <c r="M95" s="1" t="s">
        <v>47</v>
      </c>
      <c r="N95" s="1" t="s">
        <v>231</v>
      </c>
      <c r="O95" s="1" t="s">
        <v>271</v>
      </c>
      <c r="P95" s="2">
        <v>46182</v>
      </c>
      <c r="Q95" s="1" t="s">
        <v>38</v>
      </c>
      <c r="R95" s="1">
        <v>95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</row>
    <row r="96" spans="1:32" x14ac:dyDescent="0.25">
      <c r="A96" s="1">
        <v>95</v>
      </c>
      <c r="B96" s="1" t="s">
        <v>280</v>
      </c>
      <c r="C96" s="1" t="s">
        <v>277</v>
      </c>
      <c r="D96" s="1" t="s">
        <v>83</v>
      </c>
      <c r="F96" s="1" t="s">
        <v>73</v>
      </c>
      <c r="G96" s="3">
        <v>46219</v>
      </c>
      <c r="H96" s="3">
        <v>46219</v>
      </c>
      <c r="I96" s="1">
        <v>94</v>
      </c>
      <c r="J96" s="4">
        <v>0</v>
      </c>
      <c r="L96" s="1" t="s">
        <v>79</v>
      </c>
      <c r="M96" s="1" t="s">
        <v>47</v>
      </c>
      <c r="N96" s="1" t="s">
        <v>231</v>
      </c>
      <c r="O96" s="1" t="s">
        <v>273</v>
      </c>
      <c r="P96" s="2">
        <v>46183</v>
      </c>
      <c r="Q96" s="1" t="s">
        <v>38</v>
      </c>
      <c r="U96" s="1">
        <v>0</v>
      </c>
      <c r="V96" s="1">
        <v>0</v>
      </c>
      <c r="W96" s="1">
        <v>0</v>
      </c>
      <c r="X96" s="1">
        <v>0</v>
      </c>
      <c r="Y96" s="1">
        <v>1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</row>
    <row r="97" spans="1:32" x14ac:dyDescent="0.25">
      <c r="A97" s="1">
        <v>96</v>
      </c>
      <c r="B97" s="1" t="s">
        <v>281</v>
      </c>
      <c r="C97" s="1" t="s">
        <v>43</v>
      </c>
      <c r="D97" s="1" t="s">
        <v>282</v>
      </c>
      <c r="F97" s="1" t="s">
        <v>283</v>
      </c>
      <c r="G97" s="3">
        <v>46183</v>
      </c>
      <c r="H97" s="3">
        <v>46366</v>
      </c>
      <c r="J97" s="4">
        <v>7.0000000000000007E-2</v>
      </c>
      <c r="L97" s="1" t="s">
        <v>34</v>
      </c>
      <c r="M97" s="1" t="s">
        <v>47</v>
      </c>
      <c r="N97" s="1" t="s">
        <v>284</v>
      </c>
      <c r="O97" s="1" t="s">
        <v>285</v>
      </c>
      <c r="P97" s="2">
        <v>46211</v>
      </c>
      <c r="Q97" s="1" t="s">
        <v>38</v>
      </c>
      <c r="U97" s="1">
        <v>7.0000000000000007E-2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</row>
    <row r="98" spans="1:32" x14ac:dyDescent="0.25">
      <c r="A98" s="1">
        <v>97</v>
      </c>
      <c r="B98" s="1" t="s">
        <v>286</v>
      </c>
      <c r="C98" s="1" t="s">
        <v>287</v>
      </c>
      <c r="D98" s="1" t="s">
        <v>288</v>
      </c>
      <c r="E98" s="1" t="s">
        <v>140</v>
      </c>
      <c r="F98" s="1" t="s">
        <v>110</v>
      </c>
      <c r="G98" s="3">
        <v>46183</v>
      </c>
      <c r="H98" s="3">
        <v>46191</v>
      </c>
      <c r="J98" s="4">
        <v>0.21</v>
      </c>
      <c r="L98" s="1" t="s">
        <v>34</v>
      </c>
      <c r="M98" s="1" t="s">
        <v>47</v>
      </c>
      <c r="N98" s="1" t="s">
        <v>284</v>
      </c>
      <c r="O98" s="1" t="s">
        <v>142</v>
      </c>
      <c r="P98" s="2">
        <v>46192</v>
      </c>
      <c r="Q98" s="1" t="s">
        <v>38</v>
      </c>
      <c r="U98" s="1">
        <v>0.21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</row>
    <row r="99" spans="1:32" x14ac:dyDescent="0.25">
      <c r="A99" s="1">
        <v>98</v>
      </c>
      <c r="B99" s="1" t="s">
        <v>289</v>
      </c>
      <c r="C99" s="1" t="s">
        <v>290</v>
      </c>
      <c r="D99" s="1" t="s">
        <v>67</v>
      </c>
      <c r="F99" s="1" t="s">
        <v>92</v>
      </c>
      <c r="G99" s="3">
        <v>46183</v>
      </c>
      <c r="H99" s="3">
        <v>46185</v>
      </c>
      <c r="I99" s="1" t="s">
        <v>195</v>
      </c>
      <c r="J99" s="4">
        <v>0.5</v>
      </c>
      <c r="L99" s="1" t="s">
        <v>34</v>
      </c>
      <c r="M99" s="1" t="s">
        <v>47</v>
      </c>
      <c r="N99" s="1" t="s">
        <v>284</v>
      </c>
      <c r="O99" s="1" t="s">
        <v>142</v>
      </c>
      <c r="P99" s="2">
        <v>46188</v>
      </c>
      <c r="Q99" s="1" t="s">
        <v>38</v>
      </c>
      <c r="R99" s="1" t="s">
        <v>291</v>
      </c>
      <c r="U99" s="1">
        <v>0.5</v>
      </c>
      <c r="V99" s="1">
        <v>1</v>
      </c>
      <c r="W99" s="1">
        <v>0</v>
      </c>
      <c r="X99" s="1">
        <v>1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</row>
    <row r="100" spans="1:32" x14ac:dyDescent="0.25">
      <c r="A100" s="1">
        <v>99</v>
      </c>
      <c r="B100" s="1" t="s">
        <v>292</v>
      </c>
      <c r="C100" s="1" t="s">
        <v>290</v>
      </c>
      <c r="D100" s="1" t="s">
        <v>72</v>
      </c>
      <c r="F100" s="1" t="s">
        <v>73</v>
      </c>
      <c r="G100" s="3">
        <v>46188</v>
      </c>
      <c r="H100" s="3">
        <v>46188</v>
      </c>
      <c r="I100" s="1">
        <v>98</v>
      </c>
      <c r="J100" s="4">
        <v>0</v>
      </c>
      <c r="L100" s="1" t="s">
        <v>34</v>
      </c>
      <c r="M100" s="1" t="s">
        <v>47</v>
      </c>
      <c r="N100" s="1" t="s">
        <v>284</v>
      </c>
      <c r="O100" s="1" t="s">
        <v>132</v>
      </c>
      <c r="P100" s="2">
        <v>46189</v>
      </c>
      <c r="Q100" s="1" t="s">
        <v>38</v>
      </c>
      <c r="R100" s="1">
        <v>100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1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</row>
    <row r="101" spans="1:32" x14ac:dyDescent="0.25">
      <c r="A101" s="1">
        <v>100</v>
      </c>
      <c r="B101" s="1" t="s">
        <v>293</v>
      </c>
      <c r="C101" s="1" t="s">
        <v>290</v>
      </c>
      <c r="D101" s="1" t="s">
        <v>77</v>
      </c>
      <c r="F101" s="1" t="s">
        <v>68</v>
      </c>
      <c r="G101" s="3">
        <v>46189</v>
      </c>
      <c r="H101" s="3">
        <v>46190</v>
      </c>
      <c r="I101" s="1">
        <v>99</v>
      </c>
      <c r="J101" s="4">
        <v>0</v>
      </c>
      <c r="L101" s="1" t="s">
        <v>34</v>
      </c>
      <c r="M101" s="1" t="s">
        <v>47</v>
      </c>
      <c r="N101" s="1" t="s">
        <v>284</v>
      </c>
      <c r="O101" s="1" t="s">
        <v>150</v>
      </c>
      <c r="P101" s="2">
        <v>46191</v>
      </c>
      <c r="Q101" s="1" t="s">
        <v>38</v>
      </c>
      <c r="R101" s="1">
        <v>101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1</v>
      </c>
      <c r="AD101" s="1">
        <v>0</v>
      </c>
      <c r="AE101" s="1">
        <v>0</v>
      </c>
      <c r="AF101" s="1">
        <v>0</v>
      </c>
    </row>
    <row r="102" spans="1:32" x14ac:dyDescent="0.25">
      <c r="A102" s="1">
        <v>101</v>
      </c>
      <c r="B102" s="1" t="s">
        <v>294</v>
      </c>
      <c r="C102" s="1" t="s">
        <v>290</v>
      </c>
      <c r="D102" s="1" t="s">
        <v>83</v>
      </c>
      <c r="F102" s="1" t="s">
        <v>73</v>
      </c>
      <c r="G102" s="3">
        <v>46191</v>
      </c>
      <c r="H102" s="3">
        <v>46191</v>
      </c>
      <c r="I102" s="1">
        <v>100</v>
      </c>
      <c r="J102" s="4">
        <v>0</v>
      </c>
      <c r="L102" s="1" t="s">
        <v>34</v>
      </c>
      <c r="M102" s="1" t="s">
        <v>47</v>
      </c>
      <c r="N102" s="1" t="s">
        <v>284</v>
      </c>
      <c r="O102" s="1" t="s">
        <v>152</v>
      </c>
      <c r="P102" s="2">
        <v>46192</v>
      </c>
      <c r="Q102" s="1" t="s">
        <v>38</v>
      </c>
      <c r="U102" s="1">
        <v>0</v>
      </c>
      <c r="V102" s="1">
        <v>0</v>
      </c>
      <c r="W102" s="1">
        <v>0</v>
      </c>
      <c r="X102" s="1">
        <v>0</v>
      </c>
      <c r="Y102" s="1">
        <v>1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1</v>
      </c>
      <c r="AF102" s="1">
        <v>0</v>
      </c>
    </row>
    <row r="103" spans="1:32" x14ac:dyDescent="0.25">
      <c r="A103" s="1">
        <v>102</v>
      </c>
      <c r="B103" s="1" t="s">
        <v>295</v>
      </c>
      <c r="C103" s="1" t="s">
        <v>287</v>
      </c>
      <c r="D103" s="1" t="s">
        <v>296</v>
      </c>
      <c r="E103" s="1" t="s">
        <v>155</v>
      </c>
      <c r="F103" s="1" t="s">
        <v>110</v>
      </c>
      <c r="G103" s="3">
        <v>46358</v>
      </c>
      <c r="H103" s="3">
        <v>46366</v>
      </c>
      <c r="J103" s="4">
        <v>0</v>
      </c>
      <c r="L103" s="1" t="s">
        <v>79</v>
      </c>
      <c r="M103" s="1" t="s">
        <v>47</v>
      </c>
      <c r="N103" s="1" t="s">
        <v>284</v>
      </c>
      <c r="O103" s="1" t="s">
        <v>150</v>
      </c>
      <c r="P103" s="2">
        <v>46198</v>
      </c>
      <c r="Q103" s="1" t="s">
        <v>38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</row>
    <row r="104" spans="1:32" x14ac:dyDescent="0.25">
      <c r="A104" s="1">
        <v>103</v>
      </c>
      <c r="B104" s="1" t="s">
        <v>297</v>
      </c>
      <c r="C104" s="1" t="s">
        <v>298</v>
      </c>
      <c r="D104" s="1" t="s">
        <v>67</v>
      </c>
      <c r="F104" s="1" t="s">
        <v>92</v>
      </c>
      <c r="G104" s="3">
        <v>46358</v>
      </c>
      <c r="H104" s="3">
        <v>46360</v>
      </c>
      <c r="I104" s="1" t="s">
        <v>299</v>
      </c>
      <c r="J104" s="4">
        <v>0</v>
      </c>
      <c r="L104" s="1" t="s">
        <v>79</v>
      </c>
      <c r="M104" s="1" t="s">
        <v>47</v>
      </c>
      <c r="N104" s="1" t="s">
        <v>284</v>
      </c>
      <c r="O104" s="1" t="s">
        <v>150</v>
      </c>
      <c r="P104" s="2">
        <v>46192</v>
      </c>
      <c r="Q104" s="1" t="s">
        <v>38</v>
      </c>
      <c r="R104" s="1">
        <v>104</v>
      </c>
      <c r="U104" s="1">
        <v>0</v>
      </c>
      <c r="V104" s="1">
        <v>1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</row>
    <row r="105" spans="1:32" x14ac:dyDescent="0.25">
      <c r="A105" s="1">
        <v>104</v>
      </c>
      <c r="B105" s="1" t="s">
        <v>300</v>
      </c>
      <c r="C105" s="1" t="s">
        <v>298</v>
      </c>
      <c r="D105" s="1" t="s">
        <v>72</v>
      </c>
      <c r="F105" s="1" t="s">
        <v>73</v>
      </c>
      <c r="G105" s="3">
        <v>46363</v>
      </c>
      <c r="H105" s="3">
        <v>46363</v>
      </c>
      <c r="I105" s="1">
        <v>103</v>
      </c>
      <c r="J105" s="4">
        <v>0</v>
      </c>
      <c r="L105" s="1" t="s">
        <v>79</v>
      </c>
      <c r="M105" s="1" t="s">
        <v>47</v>
      </c>
      <c r="N105" s="1" t="s">
        <v>284</v>
      </c>
      <c r="O105" s="1" t="s">
        <v>160</v>
      </c>
      <c r="P105" s="2">
        <v>46195</v>
      </c>
      <c r="Q105" s="1" t="s">
        <v>38</v>
      </c>
      <c r="R105" s="1">
        <v>105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</row>
    <row r="106" spans="1:32" x14ac:dyDescent="0.25">
      <c r="A106" s="1">
        <v>105</v>
      </c>
      <c r="B106" s="1" t="s">
        <v>301</v>
      </c>
      <c r="C106" s="1" t="s">
        <v>298</v>
      </c>
      <c r="D106" s="1" t="s">
        <v>77</v>
      </c>
      <c r="F106" s="1" t="s">
        <v>68</v>
      </c>
      <c r="G106" s="3">
        <v>46364</v>
      </c>
      <c r="H106" s="3">
        <v>46365</v>
      </c>
      <c r="I106" s="1">
        <v>104</v>
      </c>
      <c r="J106" s="4">
        <v>0</v>
      </c>
      <c r="L106" s="1" t="s">
        <v>79</v>
      </c>
      <c r="M106" s="1" t="s">
        <v>47</v>
      </c>
      <c r="N106" s="1" t="s">
        <v>284</v>
      </c>
      <c r="O106" s="1" t="s">
        <v>162</v>
      </c>
      <c r="P106" s="2">
        <v>46197</v>
      </c>
      <c r="Q106" s="1" t="s">
        <v>38</v>
      </c>
      <c r="R106" s="1">
        <v>106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</row>
    <row r="107" spans="1:32" x14ac:dyDescent="0.25">
      <c r="A107" s="1">
        <v>106</v>
      </c>
      <c r="B107" s="1" t="s">
        <v>302</v>
      </c>
      <c r="C107" s="1" t="s">
        <v>298</v>
      </c>
      <c r="D107" s="1" t="s">
        <v>83</v>
      </c>
      <c r="F107" s="1" t="s">
        <v>73</v>
      </c>
      <c r="G107" s="3">
        <v>46366</v>
      </c>
      <c r="H107" s="3">
        <v>46366</v>
      </c>
      <c r="I107" s="1">
        <v>105</v>
      </c>
      <c r="J107" s="4">
        <v>0</v>
      </c>
      <c r="L107" s="1" t="s">
        <v>79</v>
      </c>
      <c r="M107" s="1" t="s">
        <v>47</v>
      </c>
      <c r="N107" s="1" t="s">
        <v>284</v>
      </c>
      <c r="O107" s="1" t="s">
        <v>164</v>
      </c>
      <c r="P107" s="2">
        <v>46198</v>
      </c>
      <c r="Q107" s="1" t="s">
        <v>38</v>
      </c>
      <c r="U107" s="1">
        <v>0</v>
      </c>
      <c r="V107" s="1">
        <v>0</v>
      </c>
      <c r="W107" s="1">
        <v>0</v>
      </c>
      <c r="X107" s="1">
        <v>0</v>
      </c>
      <c r="Y107" s="1">
        <v>1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</row>
    <row r="108" spans="1:32" x14ac:dyDescent="0.25">
      <c r="A108" s="1">
        <v>107</v>
      </c>
      <c r="B108" s="1" t="s">
        <v>303</v>
      </c>
      <c r="C108" s="1" t="s">
        <v>287</v>
      </c>
      <c r="D108" s="1" t="s">
        <v>304</v>
      </c>
      <c r="E108" s="1" t="s">
        <v>214</v>
      </c>
      <c r="F108" s="1" t="s">
        <v>110</v>
      </c>
      <c r="G108" s="3">
        <v>46209</v>
      </c>
      <c r="H108" s="3">
        <v>46219</v>
      </c>
      <c r="J108" s="4">
        <v>0</v>
      </c>
      <c r="L108" s="1" t="s">
        <v>64</v>
      </c>
      <c r="M108" s="1" t="s">
        <v>47</v>
      </c>
      <c r="N108" s="1" t="s">
        <v>284</v>
      </c>
      <c r="O108" s="1" t="s">
        <v>150</v>
      </c>
      <c r="P108" s="2">
        <v>46198</v>
      </c>
      <c r="Q108" s="1" t="s">
        <v>38</v>
      </c>
      <c r="S108" s="1" t="s">
        <v>215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</row>
    <row r="109" spans="1:32" x14ac:dyDescent="0.25">
      <c r="A109" s="1">
        <v>108</v>
      </c>
      <c r="B109" s="1" t="s">
        <v>305</v>
      </c>
      <c r="C109" s="1" t="s">
        <v>306</v>
      </c>
      <c r="D109" s="1" t="s">
        <v>67</v>
      </c>
      <c r="F109" s="1" t="s">
        <v>92</v>
      </c>
      <c r="G109" s="3">
        <v>46209</v>
      </c>
      <c r="H109" s="3">
        <v>46211</v>
      </c>
      <c r="J109" s="4">
        <v>0</v>
      </c>
      <c r="L109" s="1" t="s">
        <v>64</v>
      </c>
      <c r="M109" s="1" t="s">
        <v>47</v>
      </c>
      <c r="N109" s="1" t="s">
        <v>284</v>
      </c>
      <c r="O109" s="1" t="s">
        <v>150</v>
      </c>
      <c r="P109" s="2">
        <v>46192</v>
      </c>
      <c r="Q109" s="1" t="s">
        <v>38</v>
      </c>
      <c r="R109" s="1">
        <v>109</v>
      </c>
      <c r="U109" s="1">
        <v>0</v>
      </c>
      <c r="V109" s="1">
        <v>1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</row>
    <row r="110" spans="1:32" x14ac:dyDescent="0.25">
      <c r="A110" s="1">
        <v>109</v>
      </c>
      <c r="B110" s="1" t="s">
        <v>307</v>
      </c>
      <c r="C110" s="1" t="s">
        <v>306</v>
      </c>
      <c r="D110" s="1" t="s">
        <v>72</v>
      </c>
      <c r="F110" s="1" t="s">
        <v>73</v>
      </c>
      <c r="G110" s="3">
        <v>46216</v>
      </c>
      <c r="H110" s="3">
        <v>46216</v>
      </c>
      <c r="I110" s="1">
        <v>108</v>
      </c>
      <c r="J110" s="4">
        <v>0</v>
      </c>
      <c r="L110" s="1" t="s">
        <v>79</v>
      </c>
      <c r="M110" s="1" t="s">
        <v>47</v>
      </c>
      <c r="N110" s="1" t="s">
        <v>284</v>
      </c>
      <c r="O110" s="1" t="s">
        <v>160</v>
      </c>
      <c r="P110" s="2">
        <v>46195</v>
      </c>
      <c r="Q110" s="1" t="s">
        <v>38</v>
      </c>
      <c r="R110" s="1">
        <v>110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</row>
    <row r="111" spans="1:32" x14ac:dyDescent="0.25">
      <c r="A111" s="1">
        <v>110</v>
      </c>
      <c r="B111" s="1" t="s">
        <v>308</v>
      </c>
      <c r="C111" s="1" t="s">
        <v>306</v>
      </c>
      <c r="D111" s="1" t="s">
        <v>77</v>
      </c>
      <c r="F111" s="1" t="s">
        <v>68</v>
      </c>
      <c r="G111" s="3">
        <v>46217</v>
      </c>
      <c r="H111" s="3">
        <v>46218</v>
      </c>
      <c r="I111" s="1">
        <v>109</v>
      </c>
      <c r="J111" s="4">
        <v>0</v>
      </c>
      <c r="L111" s="1" t="s">
        <v>79</v>
      </c>
      <c r="M111" s="1" t="s">
        <v>47</v>
      </c>
      <c r="N111" s="1" t="s">
        <v>284</v>
      </c>
      <c r="O111" s="1" t="s">
        <v>162</v>
      </c>
      <c r="P111" s="2">
        <v>46197</v>
      </c>
      <c r="Q111" s="1" t="s">
        <v>38</v>
      </c>
      <c r="R111" s="1">
        <v>111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</row>
    <row r="112" spans="1:32" x14ac:dyDescent="0.25">
      <c r="A112" s="1">
        <v>111</v>
      </c>
      <c r="B112" s="1" t="s">
        <v>309</v>
      </c>
      <c r="C112" s="1" t="s">
        <v>306</v>
      </c>
      <c r="D112" s="1" t="s">
        <v>83</v>
      </c>
      <c r="F112" s="1" t="s">
        <v>73</v>
      </c>
      <c r="G112" s="3">
        <v>46219</v>
      </c>
      <c r="H112" s="3">
        <v>46219</v>
      </c>
      <c r="I112" s="1">
        <v>110</v>
      </c>
      <c r="J112" s="4">
        <v>0</v>
      </c>
      <c r="L112" s="1" t="s">
        <v>79</v>
      </c>
      <c r="M112" s="1" t="s">
        <v>47</v>
      </c>
      <c r="N112" s="1" t="s">
        <v>284</v>
      </c>
      <c r="O112" s="1" t="s">
        <v>164</v>
      </c>
      <c r="P112" s="2">
        <v>46198</v>
      </c>
      <c r="Q112" s="1" t="s">
        <v>38</v>
      </c>
      <c r="U112" s="1">
        <v>0</v>
      </c>
      <c r="V112" s="1">
        <v>0</v>
      </c>
      <c r="W112" s="1">
        <v>0</v>
      </c>
      <c r="X112" s="1">
        <v>0</v>
      </c>
      <c r="Y112" s="1">
        <v>1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</row>
    <row r="113" spans="1:32" x14ac:dyDescent="0.25">
      <c r="A113" s="1">
        <v>112</v>
      </c>
      <c r="B113" s="1" t="s">
        <v>310</v>
      </c>
      <c r="C113" s="1" t="s">
        <v>43</v>
      </c>
      <c r="D113" s="1" t="s">
        <v>311</v>
      </c>
      <c r="F113" s="1" t="s">
        <v>312</v>
      </c>
      <c r="G113" s="3">
        <v>46181</v>
      </c>
      <c r="H113" s="3">
        <v>46378</v>
      </c>
      <c r="J113" s="4">
        <v>0.28999999999999998</v>
      </c>
      <c r="L113" s="1" t="s">
        <v>34</v>
      </c>
      <c r="M113" s="1" t="s">
        <v>47</v>
      </c>
      <c r="N113" s="1" t="s">
        <v>313</v>
      </c>
      <c r="O113" s="1" t="s">
        <v>175</v>
      </c>
      <c r="P113" s="2">
        <v>46211</v>
      </c>
      <c r="Q113" s="1" t="s">
        <v>38</v>
      </c>
      <c r="U113" s="1">
        <v>0.28999999999999998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</row>
    <row r="114" spans="1:32" x14ac:dyDescent="0.25">
      <c r="A114" s="1">
        <v>113</v>
      </c>
      <c r="B114" s="1" t="s">
        <v>314</v>
      </c>
      <c r="C114" s="1" t="s">
        <v>315</v>
      </c>
      <c r="D114" s="1" t="s">
        <v>316</v>
      </c>
      <c r="E114" s="1" t="s">
        <v>140</v>
      </c>
      <c r="F114" s="1" t="s">
        <v>141</v>
      </c>
      <c r="G114" s="3">
        <v>46181</v>
      </c>
      <c r="H114" s="3">
        <v>46191</v>
      </c>
      <c r="J114" s="4">
        <v>0.8</v>
      </c>
      <c r="L114" s="1" t="s">
        <v>34</v>
      </c>
      <c r="M114" s="1" t="s">
        <v>47</v>
      </c>
      <c r="N114" s="1" t="s">
        <v>313</v>
      </c>
      <c r="O114" s="1" t="s">
        <v>142</v>
      </c>
      <c r="P114" s="2">
        <v>46192</v>
      </c>
      <c r="Q114" s="1" t="s">
        <v>38</v>
      </c>
      <c r="R114" s="1" t="s">
        <v>317</v>
      </c>
      <c r="U114" s="1">
        <v>0.8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</row>
    <row r="115" spans="1:32" x14ac:dyDescent="0.25">
      <c r="A115" s="1">
        <v>114</v>
      </c>
      <c r="B115" s="1" t="s">
        <v>318</v>
      </c>
      <c r="C115" s="1" t="s">
        <v>319</v>
      </c>
      <c r="D115" s="1" t="s">
        <v>67</v>
      </c>
      <c r="F115" s="1" t="s">
        <v>192</v>
      </c>
      <c r="G115" s="3">
        <v>46181</v>
      </c>
      <c r="H115" s="3">
        <v>46188</v>
      </c>
      <c r="I115" s="1" t="s">
        <v>195</v>
      </c>
      <c r="J115" s="4">
        <v>1</v>
      </c>
      <c r="K115" s="3">
        <v>46188</v>
      </c>
      <c r="L115" s="1" t="s">
        <v>46</v>
      </c>
      <c r="M115" s="1" t="s">
        <v>47</v>
      </c>
      <c r="N115" s="1" t="s">
        <v>313</v>
      </c>
      <c r="O115" s="1" t="s">
        <v>142</v>
      </c>
      <c r="P115" s="2">
        <v>46188</v>
      </c>
      <c r="Q115" s="1" t="s">
        <v>38</v>
      </c>
      <c r="R115" s="1">
        <v>115</v>
      </c>
      <c r="U115" s="1">
        <v>1</v>
      </c>
      <c r="V115" s="1">
        <v>1</v>
      </c>
      <c r="W115" s="1">
        <v>1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1</v>
      </c>
    </row>
    <row r="116" spans="1:32" x14ac:dyDescent="0.25">
      <c r="A116" s="1">
        <v>115</v>
      </c>
      <c r="B116" s="1" t="s">
        <v>320</v>
      </c>
      <c r="C116" s="1" t="s">
        <v>319</v>
      </c>
      <c r="D116" s="1" t="s">
        <v>72</v>
      </c>
      <c r="F116" s="1" t="s">
        <v>73</v>
      </c>
      <c r="G116" s="3">
        <v>46188</v>
      </c>
      <c r="H116" s="3">
        <v>46188</v>
      </c>
      <c r="I116" s="1">
        <v>114</v>
      </c>
      <c r="J116" s="4">
        <v>1</v>
      </c>
      <c r="K116" s="3">
        <v>46188</v>
      </c>
      <c r="L116" s="1" t="s">
        <v>46</v>
      </c>
      <c r="M116" s="1" t="s">
        <v>47</v>
      </c>
      <c r="N116" s="1" t="s">
        <v>313</v>
      </c>
      <c r="O116" s="1" t="s">
        <v>132</v>
      </c>
      <c r="P116" s="2">
        <v>46189</v>
      </c>
      <c r="Q116" s="1" t="s">
        <v>38</v>
      </c>
      <c r="R116" s="1">
        <v>116</v>
      </c>
      <c r="U116" s="1">
        <v>1</v>
      </c>
      <c r="V116" s="1">
        <v>0</v>
      </c>
      <c r="W116" s="1">
        <v>0</v>
      </c>
      <c r="X116" s="1">
        <v>0</v>
      </c>
      <c r="Y116" s="1">
        <v>0</v>
      </c>
      <c r="Z116" s="1">
        <v>1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</row>
    <row r="117" spans="1:32" x14ac:dyDescent="0.25">
      <c r="A117" s="1">
        <v>116</v>
      </c>
      <c r="B117" s="1" t="s">
        <v>321</v>
      </c>
      <c r="C117" s="1" t="s">
        <v>319</v>
      </c>
      <c r="D117" s="1" t="s">
        <v>77</v>
      </c>
      <c r="F117" s="1" t="s">
        <v>68</v>
      </c>
      <c r="G117" s="3">
        <v>46189</v>
      </c>
      <c r="H117" s="3">
        <v>46190</v>
      </c>
      <c r="I117" s="1">
        <v>115</v>
      </c>
      <c r="J117" s="4">
        <v>0.5</v>
      </c>
      <c r="L117" s="1" t="s">
        <v>34</v>
      </c>
      <c r="M117" s="1" t="s">
        <v>47</v>
      </c>
      <c r="N117" s="1" t="s">
        <v>313</v>
      </c>
      <c r="O117" s="1" t="s">
        <v>150</v>
      </c>
      <c r="P117" s="2">
        <v>46191</v>
      </c>
      <c r="Q117" s="1" t="s">
        <v>38</v>
      </c>
      <c r="R117" s="1">
        <v>117</v>
      </c>
      <c r="U117" s="1">
        <v>0.5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1</v>
      </c>
      <c r="AD117" s="1">
        <v>0</v>
      </c>
      <c r="AE117" s="1">
        <v>0</v>
      </c>
      <c r="AF117" s="1">
        <v>0</v>
      </c>
    </row>
    <row r="118" spans="1:32" x14ac:dyDescent="0.25">
      <c r="A118" s="1">
        <v>117</v>
      </c>
      <c r="B118" s="1" t="s">
        <v>322</v>
      </c>
      <c r="C118" s="1" t="s">
        <v>319</v>
      </c>
      <c r="D118" s="1" t="s">
        <v>83</v>
      </c>
      <c r="F118" s="1" t="s">
        <v>73</v>
      </c>
      <c r="G118" s="3">
        <v>46191</v>
      </c>
      <c r="H118" s="3">
        <v>46191</v>
      </c>
      <c r="I118" s="1">
        <v>116</v>
      </c>
      <c r="J118" s="4">
        <v>0</v>
      </c>
      <c r="L118" s="1" t="s">
        <v>34</v>
      </c>
      <c r="M118" s="1" t="s">
        <v>47</v>
      </c>
      <c r="N118" s="1" t="s">
        <v>313</v>
      </c>
      <c r="O118" s="1" t="s">
        <v>152</v>
      </c>
      <c r="P118" s="2">
        <v>46192</v>
      </c>
      <c r="Q118" s="1" t="s">
        <v>38</v>
      </c>
      <c r="U118" s="1">
        <v>0</v>
      </c>
      <c r="V118" s="1">
        <v>0</v>
      </c>
      <c r="W118" s="1">
        <v>0</v>
      </c>
      <c r="X118" s="1">
        <v>0</v>
      </c>
      <c r="Y118" s="1">
        <v>1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1</v>
      </c>
      <c r="AF118" s="1">
        <v>0</v>
      </c>
    </row>
    <row r="119" spans="1:32" x14ac:dyDescent="0.25">
      <c r="A119" s="1">
        <v>118</v>
      </c>
      <c r="B119" s="1" t="s">
        <v>323</v>
      </c>
      <c r="C119" s="1" t="s">
        <v>315</v>
      </c>
      <c r="D119" s="1" t="s">
        <v>324</v>
      </c>
      <c r="E119" s="1" t="s">
        <v>155</v>
      </c>
      <c r="F119" s="1" t="s">
        <v>325</v>
      </c>
      <c r="G119" s="3">
        <v>46364</v>
      </c>
      <c r="H119" s="3">
        <v>46378</v>
      </c>
      <c r="J119" s="4">
        <v>0</v>
      </c>
      <c r="L119" s="1" t="s">
        <v>79</v>
      </c>
      <c r="M119" s="1" t="s">
        <v>47</v>
      </c>
      <c r="N119" s="1" t="s">
        <v>313</v>
      </c>
      <c r="O119" s="1" t="s">
        <v>285</v>
      </c>
      <c r="P119" s="2">
        <v>46202</v>
      </c>
      <c r="Q119" s="1" t="s">
        <v>38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</row>
    <row r="120" spans="1:32" x14ac:dyDescent="0.25">
      <c r="A120" s="1">
        <v>119</v>
      </c>
      <c r="B120" s="1" t="s">
        <v>326</v>
      </c>
      <c r="C120" s="1" t="s">
        <v>327</v>
      </c>
      <c r="D120" s="1" t="s">
        <v>67</v>
      </c>
      <c r="F120" s="1" t="s">
        <v>110</v>
      </c>
      <c r="G120" s="3">
        <v>46364</v>
      </c>
      <c r="H120" s="3">
        <v>46372</v>
      </c>
      <c r="I120" s="1" t="s">
        <v>328</v>
      </c>
      <c r="J120" s="4">
        <v>0</v>
      </c>
      <c r="L120" s="1" t="s">
        <v>79</v>
      </c>
      <c r="M120" s="1" t="s">
        <v>47</v>
      </c>
      <c r="N120" s="1" t="s">
        <v>313</v>
      </c>
      <c r="O120" s="1" t="s">
        <v>285</v>
      </c>
      <c r="P120" s="2">
        <v>46196</v>
      </c>
      <c r="Q120" s="1" t="s">
        <v>38</v>
      </c>
      <c r="R120" s="1">
        <v>120</v>
      </c>
      <c r="U120" s="1">
        <v>0</v>
      </c>
      <c r="V120" s="1">
        <v>1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</row>
    <row r="121" spans="1:32" x14ac:dyDescent="0.25">
      <c r="A121" s="1">
        <v>120</v>
      </c>
      <c r="B121" s="1" t="s">
        <v>329</v>
      </c>
      <c r="C121" s="1" t="s">
        <v>327</v>
      </c>
      <c r="D121" s="1" t="s">
        <v>72</v>
      </c>
      <c r="F121" s="1" t="s">
        <v>73</v>
      </c>
      <c r="G121" s="3">
        <v>46373</v>
      </c>
      <c r="H121" s="3">
        <v>46373</v>
      </c>
      <c r="I121" s="1">
        <v>119</v>
      </c>
      <c r="J121" s="4">
        <v>0</v>
      </c>
      <c r="L121" s="1" t="s">
        <v>79</v>
      </c>
      <c r="M121" s="1" t="s">
        <v>47</v>
      </c>
      <c r="N121" s="1" t="s">
        <v>313</v>
      </c>
      <c r="O121" s="1" t="s">
        <v>251</v>
      </c>
      <c r="P121" s="2">
        <v>46197</v>
      </c>
      <c r="Q121" s="1" t="s">
        <v>38</v>
      </c>
      <c r="R121" s="1">
        <v>121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</row>
    <row r="122" spans="1:32" x14ac:dyDescent="0.25">
      <c r="A122" s="1">
        <v>121</v>
      </c>
      <c r="B122" s="1" t="s">
        <v>330</v>
      </c>
      <c r="C122" s="1" t="s">
        <v>327</v>
      </c>
      <c r="D122" s="1" t="s">
        <v>77</v>
      </c>
      <c r="F122" s="1" t="s">
        <v>68</v>
      </c>
      <c r="G122" s="3">
        <v>46374</v>
      </c>
      <c r="H122" s="3">
        <v>46377</v>
      </c>
      <c r="I122" s="1">
        <v>120</v>
      </c>
      <c r="J122" s="4">
        <v>0</v>
      </c>
      <c r="L122" s="1" t="s">
        <v>79</v>
      </c>
      <c r="M122" s="1" t="s">
        <v>47</v>
      </c>
      <c r="N122" s="1" t="s">
        <v>313</v>
      </c>
      <c r="O122" s="1" t="s">
        <v>164</v>
      </c>
      <c r="P122" s="2">
        <v>46199</v>
      </c>
      <c r="Q122" s="1" t="s">
        <v>38</v>
      </c>
      <c r="R122" s="1">
        <v>122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</row>
    <row r="123" spans="1:32" x14ac:dyDescent="0.25">
      <c r="A123" s="1">
        <v>122</v>
      </c>
      <c r="B123" s="1" t="s">
        <v>331</v>
      </c>
      <c r="C123" s="1" t="s">
        <v>327</v>
      </c>
      <c r="D123" s="1" t="s">
        <v>83</v>
      </c>
      <c r="F123" s="1" t="s">
        <v>73</v>
      </c>
      <c r="G123" s="3">
        <v>46378</v>
      </c>
      <c r="H123" s="3">
        <v>46378</v>
      </c>
      <c r="I123" s="1">
        <v>121</v>
      </c>
      <c r="J123" s="4">
        <v>0</v>
      </c>
      <c r="L123" s="1" t="s">
        <v>79</v>
      </c>
      <c r="M123" s="1" t="s">
        <v>47</v>
      </c>
      <c r="N123" s="1" t="s">
        <v>313</v>
      </c>
      <c r="O123" s="1" t="s">
        <v>332</v>
      </c>
      <c r="P123" s="2">
        <v>46202</v>
      </c>
      <c r="Q123" s="1" t="s">
        <v>38</v>
      </c>
      <c r="U123" s="1">
        <v>0</v>
      </c>
      <c r="V123" s="1">
        <v>0</v>
      </c>
      <c r="W123" s="1">
        <v>0</v>
      </c>
      <c r="X123" s="1">
        <v>0</v>
      </c>
      <c r="Y123" s="1">
        <v>1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</row>
    <row r="124" spans="1:32" x14ac:dyDescent="0.25">
      <c r="A124" s="1">
        <v>123</v>
      </c>
      <c r="B124" s="1" t="s">
        <v>333</v>
      </c>
      <c r="C124" s="1" t="s">
        <v>315</v>
      </c>
      <c r="D124" s="1" t="s">
        <v>334</v>
      </c>
      <c r="E124" s="1" t="s">
        <v>214</v>
      </c>
      <c r="F124" s="1" t="s">
        <v>110</v>
      </c>
      <c r="G124" s="3">
        <v>46209</v>
      </c>
      <c r="H124" s="3">
        <v>46219</v>
      </c>
      <c r="J124" s="4">
        <v>0</v>
      </c>
      <c r="L124" s="1" t="s">
        <v>64</v>
      </c>
      <c r="M124" s="1" t="s">
        <v>47</v>
      </c>
      <c r="N124" s="1" t="s">
        <v>313</v>
      </c>
      <c r="O124" s="1" t="s">
        <v>285</v>
      </c>
      <c r="P124" s="2">
        <v>46202</v>
      </c>
      <c r="Q124" s="1" t="s">
        <v>38</v>
      </c>
      <c r="S124" s="1" t="s">
        <v>215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</row>
    <row r="125" spans="1:32" x14ac:dyDescent="0.25">
      <c r="A125" s="1">
        <v>124</v>
      </c>
      <c r="B125" s="1" t="s">
        <v>335</v>
      </c>
      <c r="C125" s="1" t="s">
        <v>336</v>
      </c>
      <c r="D125" s="1" t="s">
        <v>67</v>
      </c>
      <c r="F125" s="1" t="s">
        <v>92</v>
      </c>
      <c r="G125" s="3">
        <v>46209</v>
      </c>
      <c r="H125" s="3">
        <v>46211</v>
      </c>
      <c r="J125" s="4">
        <v>0</v>
      </c>
      <c r="L125" s="1" t="s">
        <v>64</v>
      </c>
      <c r="M125" s="1" t="s">
        <v>47</v>
      </c>
      <c r="N125" s="1" t="s">
        <v>313</v>
      </c>
      <c r="O125" s="1" t="s">
        <v>285</v>
      </c>
      <c r="P125" s="2">
        <v>46196</v>
      </c>
      <c r="Q125" s="1" t="s">
        <v>38</v>
      </c>
      <c r="R125" s="1">
        <v>125</v>
      </c>
      <c r="U125" s="1">
        <v>0</v>
      </c>
      <c r="V125" s="1">
        <v>1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</row>
    <row r="126" spans="1:32" x14ac:dyDescent="0.25">
      <c r="A126" s="1">
        <v>125</v>
      </c>
      <c r="B126" s="1" t="s">
        <v>337</v>
      </c>
      <c r="C126" s="1" t="s">
        <v>336</v>
      </c>
      <c r="D126" s="1" t="s">
        <v>72</v>
      </c>
      <c r="F126" s="1" t="s">
        <v>73</v>
      </c>
      <c r="G126" s="3">
        <v>46216</v>
      </c>
      <c r="H126" s="3">
        <v>46216</v>
      </c>
      <c r="I126" s="1">
        <v>124</v>
      </c>
      <c r="J126" s="4">
        <v>0</v>
      </c>
      <c r="L126" s="1" t="s">
        <v>79</v>
      </c>
      <c r="M126" s="1" t="s">
        <v>47</v>
      </c>
      <c r="N126" s="1" t="s">
        <v>313</v>
      </c>
      <c r="O126" s="1" t="s">
        <v>251</v>
      </c>
      <c r="P126" s="2">
        <v>46197</v>
      </c>
      <c r="Q126" s="1" t="s">
        <v>38</v>
      </c>
      <c r="R126" s="1">
        <v>126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</row>
    <row r="127" spans="1:32" x14ac:dyDescent="0.25">
      <c r="A127" s="1">
        <v>126</v>
      </c>
      <c r="B127" s="1" t="s">
        <v>338</v>
      </c>
      <c r="C127" s="1" t="s">
        <v>336</v>
      </c>
      <c r="D127" s="1" t="s">
        <v>77</v>
      </c>
      <c r="F127" s="1" t="s">
        <v>68</v>
      </c>
      <c r="G127" s="3">
        <v>46217</v>
      </c>
      <c r="H127" s="3">
        <v>46218</v>
      </c>
      <c r="I127" s="1">
        <v>125</v>
      </c>
      <c r="J127" s="4">
        <v>0</v>
      </c>
      <c r="L127" s="1" t="s">
        <v>79</v>
      </c>
      <c r="M127" s="1" t="s">
        <v>47</v>
      </c>
      <c r="N127" s="1" t="s">
        <v>313</v>
      </c>
      <c r="O127" s="1" t="s">
        <v>164</v>
      </c>
      <c r="P127" s="2">
        <v>46199</v>
      </c>
      <c r="Q127" s="1" t="s">
        <v>38</v>
      </c>
      <c r="R127" s="1">
        <v>127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</row>
    <row r="128" spans="1:32" x14ac:dyDescent="0.25">
      <c r="A128" s="1">
        <v>127</v>
      </c>
      <c r="B128" s="1" t="s">
        <v>339</v>
      </c>
      <c r="C128" s="1" t="s">
        <v>336</v>
      </c>
      <c r="D128" s="1" t="s">
        <v>83</v>
      </c>
      <c r="F128" s="1" t="s">
        <v>73</v>
      </c>
      <c r="G128" s="3">
        <v>46219</v>
      </c>
      <c r="H128" s="3">
        <v>46219</v>
      </c>
      <c r="I128" s="1">
        <v>126</v>
      </c>
      <c r="J128" s="4">
        <v>0</v>
      </c>
      <c r="L128" s="1" t="s">
        <v>79</v>
      </c>
      <c r="M128" s="1" t="s">
        <v>47</v>
      </c>
      <c r="N128" s="1" t="s">
        <v>313</v>
      </c>
      <c r="O128" s="1" t="s">
        <v>332</v>
      </c>
      <c r="P128" s="2">
        <v>46202</v>
      </c>
      <c r="Q128" s="1" t="s">
        <v>38</v>
      </c>
      <c r="U128" s="1">
        <v>0</v>
      </c>
      <c r="V128" s="1">
        <v>0</v>
      </c>
      <c r="W128" s="1">
        <v>0</v>
      </c>
      <c r="X128" s="1">
        <v>0</v>
      </c>
      <c r="Y128" s="1">
        <v>1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</row>
    <row r="129" spans="1:32" x14ac:dyDescent="0.25">
      <c r="A129" s="1">
        <v>128</v>
      </c>
      <c r="B129" s="1" t="s">
        <v>340</v>
      </c>
      <c r="C129" s="1" t="s">
        <v>43</v>
      </c>
      <c r="D129" s="1" t="s">
        <v>341</v>
      </c>
      <c r="F129" s="1" t="s">
        <v>342</v>
      </c>
      <c r="G129" s="3">
        <v>46170</v>
      </c>
      <c r="H129" s="3">
        <v>46351</v>
      </c>
      <c r="J129" s="4">
        <v>0.19</v>
      </c>
      <c r="L129" s="1" t="s">
        <v>34</v>
      </c>
      <c r="M129" s="1" t="s">
        <v>47</v>
      </c>
      <c r="N129" s="1" t="s">
        <v>343</v>
      </c>
      <c r="O129" s="1" t="s">
        <v>173</v>
      </c>
      <c r="P129" s="2">
        <v>46211</v>
      </c>
      <c r="Q129" s="1" t="s">
        <v>38</v>
      </c>
      <c r="U129" s="1">
        <v>0.19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</row>
    <row r="130" spans="1:32" x14ac:dyDescent="0.25">
      <c r="A130" s="1">
        <v>129</v>
      </c>
      <c r="B130" s="1" t="s">
        <v>344</v>
      </c>
      <c r="C130" s="1" t="s">
        <v>345</v>
      </c>
      <c r="D130" s="1" t="s">
        <v>346</v>
      </c>
      <c r="E130" s="1" t="s">
        <v>140</v>
      </c>
      <c r="F130" s="1" t="s">
        <v>168</v>
      </c>
      <c r="G130" s="3">
        <v>46170</v>
      </c>
      <c r="H130" s="3">
        <v>46176</v>
      </c>
      <c r="J130" s="4">
        <v>0.5</v>
      </c>
      <c r="L130" s="1" t="s">
        <v>34</v>
      </c>
      <c r="M130" s="1" t="s">
        <v>47</v>
      </c>
      <c r="N130" s="1" t="s">
        <v>343</v>
      </c>
      <c r="O130" s="1" t="s">
        <v>142</v>
      </c>
      <c r="P130" s="2">
        <v>46192</v>
      </c>
      <c r="Q130" s="1" t="s">
        <v>38</v>
      </c>
      <c r="U130" s="1">
        <v>0.5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</row>
    <row r="131" spans="1:32" x14ac:dyDescent="0.25">
      <c r="A131" s="1">
        <v>130</v>
      </c>
      <c r="B131" s="1" t="s">
        <v>347</v>
      </c>
      <c r="C131" s="1" t="s">
        <v>348</v>
      </c>
      <c r="D131" s="1" t="s">
        <v>67</v>
      </c>
      <c r="F131" s="1" t="s">
        <v>45</v>
      </c>
      <c r="G131" s="3">
        <v>46170</v>
      </c>
      <c r="H131" s="3">
        <v>46170</v>
      </c>
      <c r="I131" s="1" t="s">
        <v>195</v>
      </c>
      <c r="J131" s="4">
        <v>1</v>
      </c>
      <c r="K131" s="3">
        <v>46170</v>
      </c>
      <c r="L131" s="1" t="s">
        <v>46</v>
      </c>
      <c r="M131" s="1" t="s">
        <v>47</v>
      </c>
      <c r="N131" s="1" t="s">
        <v>343</v>
      </c>
      <c r="O131" s="1" t="s">
        <v>142</v>
      </c>
      <c r="P131" s="2">
        <v>46188</v>
      </c>
      <c r="Q131" s="1" t="s">
        <v>38</v>
      </c>
      <c r="R131" s="1" t="s">
        <v>349</v>
      </c>
      <c r="U131" s="1">
        <v>1</v>
      </c>
      <c r="V131" s="1">
        <v>1</v>
      </c>
      <c r="W131" s="1">
        <v>1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1</v>
      </c>
    </row>
    <row r="132" spans="1:32" x14ac:dyDescent="0.25">
      <c r="A132" s="1">
        <v>131</v>
      </c>
      <c r="B132" s="1" t="s">
        <v>350</v>
      </c>
      <c r="C132" s="1" t="s">
        <v>348</v>
      </c>
      <c r="D132" s="1" t="s">
        <v>72</v>
      </c>
      <c r="F132" s="1" t="s">
        <v>73</v>
      </c>
      <c r="G132" s="3">
        <v>46171</v>
      </c>
      <c r="H132" s="3">
        <v>46171</v>
      </c>
      <c r="I132" s="1">
        <v>130</v>
      </c>
      <c r="J132" s="4">
        <v>1</v>
      </c>
      <c r="K132" s="3">
        <v>46171</v>
      </c>
      <c r="L132" s="1" t="s">
        <v>46</v>
      </c>
      <c r="M132" s="1" t="s">
        <v>47</v>
      </c>
      <c r="N132" s="1" t="s">
        <v>343</v>
      </c>
      <c r="O132" s="1" t="s">
        <v>132</v>
      </c>
      <c r="P132" s="2">
        <v>46189</v>
      </c>
      <c r="Q132" s="1" t="s">
        <v>38</v>
      </c>
      <c r="R132" s="1">
        <v>132</v>
      </c>
      <c r="U132" s="1">
        <v>1</v>
      </c>
      <c r="V132" s="1">
        <v>0</v>
      </c>
      <c r="W132" s="1">
        <v>0</v>
      </c>
      <c r="X132" s="1">
        <v>0</v>
      </c>
      <c r="Y132" s="1">
        <v>0</v>
      </c>
      <c r="Z132" s="1">
        <v>1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</row>
    <row r="133" spans="1:32" x14ac:dyDescent="0.25">
      <c r="A133" s="1">
        <v>132</v>
      </c>
      <c r="B133" s="1" t="s">
        <v>351</v>
      </c>
      <c r="C133" s="1" t="s">
        <v>348</v>
      </c>
      <c r="D133" s="1" t="s">
        <v>77</v>
      </c>
      <c r="F133" s="1" t="s">
        <v>68</v>
      </c>
      <c r="G133" s="3">
        <v>46174</v>
      </c>
      <c r="H133" s="3">
        <v>46175</v>
      </c>
      <c r="I133" s="1">
        <v>131</v>
      </c>
      <c r="J133" s="4">
        <v>0.5</v>
      </c>
      <c r="L133" s="1" t="s">
        <v>34</v>
      </c>
      <c r="M133" s="1" t="s">
        <v>47</v>
      </c>
      <c r="N133" s="1" t="s">
        <v>343</v>
      </c>
      <c r="O133" s="1" t="s">
        <v>150</v>
      </c>
      <c r="P133" s="2">
        <v>46191</v>
      </c>
      <c r="Q133" s="1" t="s">
        <v>38</v>
      </c>
      <c r="R133" s="1">
        <v>133</v>
      </c>
      <c r="U133" s="1">
        <v>0.5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1</v>
      </c>
      <c r="AD133" s="1">
        <v>0</v>
      </c>
      <c r="AE133" s="1">
        <v>0</v>
      </c>
      <c r="AF133" s="1">
        <v>0</v>
      </c>
    </row>
    <row r="134" spans="1:32" x14ac:dyDescent="0.25">
      <c r="A134" s="1">
        <v>133</v>
      </c>
      <c r="B134" s="1" t="s">
        <v>352</v>
      </c>
      <c r="C134" s="1" t="s">
        <v>348</v>
      </c>
      <c r="D134" s="1" t="s">
        <v>83</v>
      </c>
      <c r="F134" s="1" t="s">
        <v>73</v>
      </c>
      <c r="G134" s="3">
        <v>46176</v>
      </c>
      <c r="H134" s="3">
        <v>46176</v>
      </c>
      <c r="I134" s="1">
        <v>132</v>
      </c>
      <c r="J134" s="4">
        <v>0</v>
      </c>
      <c r="L134" s="1" t="s">
        <v>34</v>
      </c>
      <c r="M134" s="1" t="s">
        <v>47</v>
      </c>
      <c r="N134" s="1" t="s">
        <v>343</v>
      </c>
      <c r="O134" s="1" t="s">
        <v>152</v>
      </c>
      <c r="P134" s="2">
        <v>46192</v>
      </c>
      <c r="Q134" s="1" t="s">
        <v>38</v>
      </c>
      <c r="U134" s="1">
        <v>0</v>
      </c>
      <c r="V134" s="1">
        <v>0</v>
      </c>
      <c r="W134" s="1">
        <v>0</v>
      </c>
      <c r="X134" s="1">
        <v>0</v>
      </c>
      <c r="Y134" s="1">
        <v>1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1</v>
      </c>
      <c r="AF134" s="1">
        <v>0</v>
      </c>
    </row>
    <row r="135" spans="1:32" x14ac:dyDescent="0.25">
      <c r="A135" s="1">
        <v>134</v>
      </c>
      <c r="B135" s="1" t="s">
        <v>353</v>
      </c>
      <c r="C135" s="1" t="s">
        <v>345</v>
      </c>
      <c r="D135" s="1" t="s">
        <v>354</v>
      </c>
      <c r="E135" s="1" t="s">
        <v>155</v>
      </c>
      <c r="F135" s="1" t="s">
        <v>110</v>
      </c>
      <c r="G135" s="3">
        <v>46343</v>
      </c>
      <c r="H135" s="3">
        <v>46351</v>
      </c>
      <c r="J135" s="4">
        <v>0</v>
      </c>
      <c r="L135" s="1" t="s">
        <v>79</v>
      </c>
      <c r="M135" s="1" t="s">
        <v>47</v>
      </c>
      <c r="N135" s="1" t="s">
        <v>343</v>
      </c>
      <c r="O135" s="1" t="s">
        <v>355</v>
      </c>
      <c r="P135" s="2">
        <v>46174</v>
      </c>
      <c r="Q135" s="1" t="s">
        <v>38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</row>
    <row r="136" spans="1:32" x14ac:dyDescent="0.25">
      <c r="A136" s="1">
        <v>135</v>
      </c>
      <c r="B136" s="1" t="s">
        <v>356</v>
      </c>
      <c r="C136" s="1" t="s">
        <v>357</v>
      </c>
      <c r="D136" s="1" t="s">
        <v>67</v>
      </c>
      <c r="F136" s="1" t="s">
        <v>92</v>
      </c>
      <c r="G136" s="3">
        <v>46343</v>
      </c>
      <c r="H136" s="3">
        <v>46345</v>
      </c>
      <c r="I136" s="1" t="s">
        <v>358</v>
      </c>
      <c r="J136" s="4">
        <v>0</v>
      </c>
      <c r="L136" s="1" t="s">
        <v>79</v>
      </c>
      <c r="M136" s="1" t="s">
        <v>47</v>
      </c>
      <c r="N136" s="1" t="s">
        <v>343</v>
      </c>
      <c r="O136" s="1" t="s">
        <v>355</v>
      </c>
      <c r="P136" s="2">
        <v>46168</v>
      </c>
      <c r="Q136" s="1" t="s">
        <v>38</v>
      </c>
      <c r="R136" s="1">
        <v>136</v>
      </c>
      <c r="U136" s="1">
        <v>0</v>
      </c>
      <c r="V136" s="1">
        <v>1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</row>
    <row r="137" spans="1:32" x14ac:dyDescent="0.25">
      <c r="A137" s="1">
        <v>136</v>
      </c>
      <c r="B137" s="1" t="s">
        <v>359</v>
      </c>
      <c r="C137" s="1" t="s">
        <v>357</v>
      </c>
      <c r="D137" s="1" t="s">
        <v>72</v>
      </c>
      <c r="F137" s="1" t="s">
        <v>73</v>
      </c>
      <c r="G137" s="3">
        <v>46346</v>
      </c>
      <c r="H137" s="3">
        <v>46346</v>
      </c>
      <c r="I137" s="1">
        <v>135</v>
      </c>
      <c r="J137" s="4">
        <v>0</v>
      </c>
      <c r="L137" s="1" t="s">
        <v>79</v>
      </c>
      <c r="M137" s="1" t="s">
        <v>47</v>
      </c>
      <c r="N137" s="1" t="s">
        <v>343</v>
      </c>
      <c r="O137" s="1" t="s">
        <v>360</v>
      </c>
      <c r="P137" s="2">
        <v>46169</v>
      </c>
      <c r="Q137" s="1" t="s">
        <v>38</v>
      </c>
      <c r="R137" s="1">
        <v>137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</row>
    <row r="138" spans="1:32" x14ac:dyDescent="0.25">
      <c r="A138" s="1">
        <v>137</v>
      </c>
      <c r="B138" s="1" t="s">
        <v>361</v>
      </c>
      <c r="C138" s="1" t="s">
        <v>357</v>
      </c>
      <c r="D138" s="1" t="s">
        <v>77</v>
      </c>
      <c r="F138" s="1" t="s">
        <v>68</v>
      </c>
      <c r="G138" s="3">
        <v>46349</v>
      </c>
      <c r="H138" s="3">
        <v>46350</v>
      </c>
      <c r="I138" s="1">
        <v>136</v>
      </c>
      <c r="J138" s="4">
        <v>0</v>
      </c>
      <c r="L138" s="1" t="s">
        <v>79</v>
      </c>
      <c r="M138" s="1" t="s">
        <v>47</v>
      </c>
      <c r="N138" s="1" t="s">
        <v>343</v>
      </c>
      <c r="O138" s="1" t="s">
        <v>207</v>
      </c>
      <c r="P138" s="2">
        <v>46171</v>
      </c>
      <c r="Q138" s="1" t="s">
        <v>38</v>
      </c>
      <c r="R138" s="1">
        <v>138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</row>
    <row r="139" spans="1:32" x14ac:dyDescent="0.25">
      <c r="A139" s="1">
        <v>138</v>
      </c>
      <c r="B139" s="1" t="s">
        <v>362</v>
      </c>
      <c r="C139" s="1" t="s">
        <v>357</v>
      </c>
      <c r="D139" s="1" t="s">
        <v>83</v>
      </c>
      <c r="F139" s="1" t="s">
        <v>73</v>
      </c>
      <c r="G139" s="3">
        <v>46351</v>
      </c>
      <c r="H139" s="3">
        <v>46351</v>
      </c>
      <c r="I139" s="1">
        <v>137</v>
      </c>
      <c r="J139" s="4">
        <v>0</v>
      </c>
      <c r="L139" s="1" t="s">
        <v>79</v>
      </c>
      <c r="M139" s="1" t="s">
        <v>47</v>
      </c>
      <c r="N139" s="1" t="s">
        <v>343</v>
      </c>
      <c r="O139" s="1" t="s">
        <v>363</v>
      </c>
      <c r="P139" s="2">
        <v>46174</v>
      </c>
      <c r="Q139" s="1" t="s">
        <v>38</v>
      </c>
      <c r="U139" s="1">
        <v>0</v>
      </c>
      <c r="V139" s="1">
        <v>0</v>
      </c>
      <c r="W139" s="1">
        <v>0</v>
      </c>
      <c r="X139" s="1">
        <v>0</v>
      </c>
      <c r="Y139" s="1">
        <v>1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</row>
    <row r="140" spans="1:32" x14ac:dyDescent="0.25">
      <c r="A140" s="1">
        <v>139</v>
      </c>
      <c r="B140" s="1" t="s">
        <v>364</v>
      </c>
      <c r="C140" s="1" t="s">
        <v>345</v>
      </c>
      <c r="D140" s="1" t="s">
        <v>365</v>
      </c>
      <c r="E140" s="1" t="s">
        <v>155</v>
      </c>
      <c r="F140" s="1" t="s">
        <v>110</v>
      </c>
      <c r="G140" s="3">
        <v>46209</v>
      </c>
      <c r="H140" s="3">
        <v>46219</v>
      </c>
      <c r="J140" s="4">
        <v>0</v>
      </c>
      <c r="L140" s="1" t="s">
        <v>64</v>
      </c>
      <c r="M140" s="1" t="s">
        <v>47</v>
      </c>
      <c r="N140" s="1" t="s">
        <v>343</v>
      </c>
      <c r="O140" s="1" t="s">
        <v>355</v>
      </c>
      <c r="P140" s="2">
        <v>46174</v>
      </c>
      <c r="Q140" s="1" t="s">
        <v>38</v>
      </c>
      <c r="S140" s="1" t="s">
        <v>215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</row>
    <row r="141" spans="1:32" x14ac:dyDescent="0.25">
      <c r="A141" s="1">
        <v>140</v>
      </c>
      <c r="B141" s="1" t="s">
        <v>366</v>
      </c>
      <c r="C141" s="1" t="s">
        <v>367</v>
      </c>
      <c r="D141" s="1" t="s">
        <v>67</v>
      </c>
      <c r="F141" s="1" t="s">
        <v>92</v>
      </c>
      <c r="G141" s="3">
        <v>46209</v>
      </c>
      <c r="H141" s="3">
        <v>46211</v>
      </c>
      <c r="J141" s="4">
        <v>0</v>
      </c>
      <c r="L141" s="1" t="s">
        <v>64</v>
      </c>
      <c r="M141" s="1" t="s">
        <v>47</v>
      </c>
      <c r="N141" s="1" t="s">
        <v>343</v>
      </c>
      <c r="O141" s="1" t="s">
        <v>355</v>
      </c>
      <c r="P141" s="2">
        <v>46168</v>
      </c>
      <c r="Q141" s="1" t="s">
        <v>38</v>
      </c>
      <c r="R141" s="1">
        <v>141</v>
      </c>
      <c r="U141" s="1">
        <v>0</v>
      </c>
      <c r="V141" s="1">
        <v>1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</row>
    <row r="142" spans="1:32" x14ac:dyDescent="0.25">
      <c r="A142" s="1">
        <v>141</v>
      </c>
      <c r="B142" s="1" t="s">
        <v>368</v>
      </c>
      <c r="C142" s="1" t="s">
        <v>367</v>
      </c>
      <c r="D142" s="1" t="s">
        <v>72</v>
      </c>
      <c r="F142" s="1" t="s">
        <v>73</v>
      </c>
      <c r="G142" s="3">
        <v>46216</v>
      </c>
      <c r="H142" s="3">
        <v>46216</v>
      </c>
      <c r="I142" s="1">
        <v>140</v>
      </c>
      <c r="J142" s="4">
        <v>0</v>
      </c>
      <c r="L142" s="1" t="s">
        <v>79</v>
      </c>
      <c r="M142" s="1" t="s">
        <v>47</v>
      </c>
      <c r="N142" s="1" t="s">
        <v>343</v>
      </c>
      <c r="O142" s="1" t="s">
        <v>360</v>
      </c>
      <c r="P142" s="2">
        <v>46169</v>
      </c>
      <c r="Q142" s="1" t="s">
        <v>38</v>
      </c>
      <c r="R142" s="1">
        <v>142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</row>
    <row r="143" spans="1:32" x14ac:dyDescent="0.25">
      <c r="A143" s="1">
        <v>142</v>
      </c>
      <c r="B143" s="1" t="s">
        <v>369</v>
      </c>
      <c r="C143" s="1" t="s">
        <v>367</v>
      </c>
      <c r="D143" s="1" t="s">
        <v>77</v>
      </c>
      <c r="F143" s="1" t="s">
        <v>68</v>
      </c>
      <c r="G143" s="3">
        <v>46217</v>
      </c>
      <c r="H143" s="3">
        <v>46218</v>
      </c>
      <c r="I143" s="1">
        <v>141</v>
      </c>
      <c r="J143" s="4">
        <v>0</v>
      </c>
      <c r="L143" s="1" t="s">
        <v>79</v>
      </c>
      <c r="M143" s="1" t="s">
        <v>47</v>
      </c>
      <c r="N143" s="1" t="s">
        <v>343</v>
      </c>
      <c r="O143" s="1" t="s">
        <v>207</v>
      </c>
      <c r="P143" s="2">
        <v>46171</v>
      </c>
      <c r="Q143" s="1" t="s">
        <v>38</v>
      </c>
      <c r="R143" s="1">
        <v>143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</row>
    <row r="144" spans="1:32" x14ac:dyDescent="0.25">
      <c r="A144" s="1">
        <v>143</v>
      </c>
      <c r="B144" s="1" t="s">
        <v>370</v>
      </c>
      <c r="C144" s="1" t="s">
        <v>367</v>
      </c>
      <c r="D144" s="1" t="s">
        <v>83</v>
      </c>
      <c r="F144" s="1" t="s">
        <v>73</v>
      </c>
      <c r="G144" s="3">
        <v>46219</v>
      </c>
      <c r="H144" s="3">
        <v>46219</v>
      </c>
      <c r="I144" s="1">
        <v>142</v>
      </c>
      <c r="J144" s="4">
        <v>0</v>
      </c>
      <c r="L144" s="1" t="s">
        <v>79</v>
      </c>
      <c r="M144" s="1" t="s">
        <v>47</v>
      </c>
      <c r="N144" s="1" t="s">
        <v>343</v>
      </c>
      <c r="O144" s="1" t="s">
        <v>363</v>
      </c>
      <c r="P144" s="2">
        <v>46174</v>
      </c>
      <c r="Q144" s="1" t="s">
        <v>38</v>
      </c>
      <c r="U144" s="1">
        <v>0</v>
      </c>
      <c r="V144" s="1">
        <v>0</v>
      </c>
      <c r="W144" s="1">
        <v>0</v>
      </c>
      <c r="X144" s="1">
        <v>0</v>
      </c>
      <c r="Y144" s="1">
        <v>1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</row>
    <row r="145" spans="1:32" x14ac:dyDescent="0.25">
      <c r="A145" s="1">
        <v>144</v>
      </c>
      <c r="B145" s="1" t="s">
        <v>371</v>
      </c>
      <c r="C145" s="1" t="s">
        <v>345</v>
      </c>
      <c r="D145" s="1" t="s">
        <v>372</v>
      </c>
      <c r="E145" s="1" t="s">
        <v>155</v>
      </c>
      <c r="F145" s="1" t="s">
        <v>110</v>
      </c>
      <c r="G145" s="3">
        <v>46205</v>
      </c>
      <c r="H145" s="3">
        <v>46217</v>
      </c>
      <c r="J145" s="4">
        <v>0.39</v>
      </c>
      <c r="L145" s="1" t="s">
        <v>64</v>
      </c>
      <c r="M145" s="1" t="s">
        <v>47</v>
      </c>
      <c r="N145" s="1" t="s">
        <v>343</v>
      </c>
      <c r="O145" s="1" t="s">
        <v>355</v>
      </c>
      <c r="P145" s="2">
        <v>46174</v>
      </c>
      <c r="Q145" s="1" t="s">
        <v>38</v>
      </c>
      <c r="S145" s="1" t="s">
        <v>215</v>
      </c>
      <c r="U145" s="1">
        <v>0.39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</row>
    <row r="146" spans="1:32" x14ac:dyDescent="0.25">
      <c r="A146" s="1">
        <v>145</v>
      </c>
      <c r="B146" s="1" t="s">
        <v>373</v>
      </c>
      <c r="C146" s="1" t="s">
        <v>374</v>
      </c>
      <c r="D146" s="1" t="s">
        <v>67</v>
      </c>
      <c r="F146" s="1" t="s">
        <v>92</v>
      </c>
      <c r="G146" s="3">
        <v>46205</v>
      </c>
      <c r="H146" s="3">
        <v>46209</v>
      </c>
      <c r="J146" s="4">
        <v>0.9</v>
      </c>
      <c r="L146" s="1" t="s">
        <v>64</v>
      </c>
      <c r="M146" s="1" t="s">
        <v>47</v>
      </c>
      <c r="N146" s="1" t="s">
        <v>343</v>
      </c>
      <c r="O146" s="1" t="s">
        <v>355</v>
      </c>
      <c r="P146" s="2">
        <v>46168</v>
      </c>
      <c r="Q146" s="1" t="s">
        <v>38</v>
      </c>
      <c r="R146" s="1">
        <v>146</v>
      </c>
      <c r="U146" s="1">
        <v>0.9</v>
      </c>
      <c r="V146" s="1">
        <v>1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</row>
    <row r="147" spans="1:32" x14ac:dyDescent="0.25">
      <c r="A147" s="1">
        <v>146</v>
      </c>
      <c r="B147" s="1" t="s">
        <v>375</v>
      </c>
      <c r="C147" s="1" t="s">
        <v>374</v>
      </c>
      <c r="D147" s="1" t="s">
        <v>72</v>
      </c>
      <c r="F147" s="1" t="s">
        <v>73</v>
      </c>
      <c r="G147" s="3">
        <v>46210</v>
      </c>
      <c r="H147" s="3">
        <v>46210</v>
      </c>
      <c r="I147" s="1">
        <v>145</v>
      </c>
      <c r="J147" s="4">
        <v>0</v>
      </c>
      <c r="L147" s="1" t="s">
        <v>79</v>
      </c>
      <c r="M147" s="1" t="s">
        <v>47</v>
      </c>
      <c r="N147" s="1" t="s">
        <v>343</v>
      </c>
      <c r="O147" s="1" t="s">
        <v>360</v>
      </c>
      <c r="P147" s="2">
        <v>46169</v>
      </c>
      <c r="Q147" s="1" t="s">
        <v>38</v>
      </c>
      <c r="R147" s="1">
        <v>147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</row>
    <row r="148" spans="1:32" x14ac:dyDescent="0.25">
      <c r="A148" s="1">
        <v>147</v>
      </c>
      <c r="B148" s="1" t="s">
        <v>376</v>
      </c>
      <c r="C148" s="1" t="s">
        <v>374</v>
      </c>
      <c r="D148" s="1" t="s">
        <v>77</v>
      </c>
      <c r="F148" s="1" t="s">
        <v>68</v>
      </c>
      <c r="G148" s="3">
        <v>46211</v>
      </c>
      <c r="H148" s="3">
        <v>46216</v>
      </c>
      <c r="I148" s="1">
        <v>146</v>
      </c>
      <c r="J148" s="4">
        <v>0</v>
      </c>
      <c r="L148" s="1" t="s">
        <v>79</v>
      </c>
      <c r="M148" s="1" t="s">
        <v>47</v>
      </c>
      <c r="N148" s="1" t="s">
        <v>343</v>
      </c>
      <c r="O148" s="1" t="s">
        <v>207</v>
      </c>
      <c r="P148" s="2">
        <v>46171</v>
      </c>
      <c r="Q148" s="1" t="s">
        <v>38</v>
      </c>
      <c r="R148" s="1">
        <v>148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</row>
    <row r="149" spans="1:32" x14ac:dyDescent="0.25">
      <c r="A149" s="1">
        <v>148</v>
      </c>
      <c r="B149" s="1" t="s">
        <v>377</v>
      </c>
      <c r="C149" s="1" t="s">
        <v>374</v>
      </c>
      <c r="D149" s="1" t="s">
        <v>83</v>
      </c>
      <c r="F149" s="1" t="s">
        <v>73</v>
      </c>
      <c r="G149" s="3">
        <v>46217</v>
      </c>
      <c r="H149" s="3">
        <v>46217</v>
      </c>
      <c r="I149" s="1">
        <v>147</v>
      </c>
      <c r="J149" s="4">
        <v>0</v>
      </c>
      <c r="L149" s="1" t="s">
        <v>79</v>
      </c>
      <c r="M149" s="1" t="s">
        <v>47</v>
      </c>
      <c r="N149" s="1" t="s">
        <v>343</v>
      </c>
      <c r="O149" s="1" t="s">
        <v>363</v>
      </c>
      <c r="P149" s="2">
        <v>46174</v>
      </c>
      <c r="Q149" s="1" t="s">
        <v>38</v>
      </c>
      <c r="U149" s="1">
        <v>0</v>
      </c>
      <c r="V149" s="1">
        <v>0</v>
      </c>
      <c r="W149" s="1">
        <v>0</v>
      </c>
      <c r="X149" s="1">
        <v>0</v>
      </c>
      <c r="Y149" s="1">
        <v>1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</row>
    <row r="150" spans="1:32" x14ac:dyDescent="0.25">
      <c r="A150" s="1">
        <v>149</v>
      </c>
      <c r="B150" s="1" t="s">
        <v>378</v>
      </c>
      <c r="C150" s="1" t="s">
        <v>43</v>
      </c>
      <c r="D150" s="1" t="s">
        <v>379</v>
      </c>
      <c r="F150" s="1" t="s">
        <v>45</v>
      </c>
      <c r="G150" s="3">
        <v>46273</v>
      </c>
      <c r="H150" s="3">
        <v>46273</v>
      </c>
      <c r="J150" s="4">
        <v>0</v>
      </c>
      <c r="L150" s="1" t="s">
        <v>79</v>
      </c>
      <c r="M150" s="1" t="s">
        <v>47</v>
      </c>
      <c r="N150" s="1" t="s">
        <v>380</v>
      </c>
      <c r="O150" s="1" t="s">
        <v>160</v>
      </c>
      <c r="P150" s="2">
        <v>46211</v>
      </c>
      <c r="Q150" s="1" t="s">
        <v>38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</row>
    <row r="151" spans="1:32" x14ac:dyDescent="0.25">
      <c r="A151" s="1">
        <v>150</v>
      </c>
      <c r="B151" s="1" t="s">
        <v>381</v>
      </c>
      <c r="C151" s="1" t="s">
        <v>382</v>
      </c>
      <c r="D151" s="1" t="s">
        <v>383</v>
      </c>
      <c r="F151" s="1" t="s">
        <v>45</v>
      </c>
      <c r="G151" s="3">
        <v>46273</v>
      </c>
      <c r="H151" s="3">
        <v>46273</v>
      </c>
      <c r="I151" s="1" t="s">
        <v>384</v>
      </c>
      <c r="J151" s="4">
        <v>0</v>
      </c>
      <c r="L151" s="1" t="s">
        <v>79</v>
      </c>
      <c r="M151" s="1" t="s">
        <v>47</v>
      </c>
      <c r="N151" s="1" t="s">
        <v>380</v>
      </c>
      <c r="O151" s="1" t="s">
        <v>385</v>
      </c>
      <c r="P151" s="2">
        <v>46272</v>
      </c>
      <c r="Q151" s="1" t="s">
        <v>38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</row>
  </sheetData>
  <conditionalFormatting sqref="J1:J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{4F9A2488-5F05-4DD0-9F43-45D6B4898D6A}</x14:id>
        </ext>
      </extLst>
    </cfRule>
  </conditionalFormatting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F9A2488-5F05-4DD0-9F43-45D6B4898D6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J1:J1048576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"/>
  <sheetViews>
    <sheetView tabSelected="1" zoomScale="55" zoomScaleNormal="55" workbookViewId="0">
      <selection activeCell="G33" sqref="G33"/>
    </sheetView>
  </sheetViews>
  <sheetFormatPr defaultRowHeight="15" x14ac:dyDescent="0.25"/>
  <cols>
    <col min="1" max="1" width="32.140625" style="1" bestFit="1" customWidth="1"/>
    <col min="2" max="2" width="24.140625" style="1" customWidth="1"/>
    <col min="3" max="3" width="27.7109375" style="1" bestFit="1" customWidth="1"/>
    <col min="4" max="4" width="23.28515625" style="1" customWidth="1"/>
    <col min="5" max="5" width="32.7109375" style="1" bestFit="1" customWidth="1"/>
    <col min="6" max="6" width="40.5703125" style="1" bestFit="1" customWidth="1"/>
    <col min="7" max="7" width="24" style="1" bestFit="1" customWidth="1"/>
    <col min="8" max="8" width="9.5703125" style="1" bestFit="1" customWidth="1"/>
    <col min="9" max="16384" width="9.140625" style="1"/>
  </cols>
  <sheetData>
    <row r="1" spans="1:8" x14ac:dyDescent="0.25">
      <c r="A1" s="1" t="s">
        <v>386</v>
      </c>
      <c r="B1" s="1">
        <v>27</v>
      </c>
    </row>
    <row r="2" spans="1:8" x14ac:dyDescent="0.25">
      <c r="A2" s="1" t="s">
        <v>387</v>
      </c>
      <c r="B2" s="5">
        <v>0.34615384615384609</v>
      </c>
    </row>
    <row r="3" spans="1:8" x14ac:dyDescent="0.25">
      <c r="A3" s="1" t="s">
        <v>13</v>
      </c>
      <c r="B3" s="1" t="s">
        <v>21</v>
      </c>
      <c r="C3" s="1" t="s">
        <v>22</v>
      </c>
      <c r="D3" s="1" t="s">
        <v>388</v>
      </c>
      <c r="E3" s="1" t="s">
        <v>25</v>
      </c>
      <c r="F3" s="1" t="s">
        <v>27</v>
      </c>
      <c r="G3" s="1" t="s">
        <v>29</v>
      </c>
      <c r="H3" s="1" t="s">
        <v>389</v>
      </c>
    </row>
    <row r="4" spans="1:8" x14ac:dyDescent="0.25">
      <c r="A4" s="1" t="s">
        <v>343</v>
      </c>
      <c r="B4" s="1">
        <v>4</v>
      </c>
      <c r="C4" s="1">
        <v>1</v>
      </c>
      <c r="D4" s="5">
        <v>0.25</v>
      </c>
      <c r="E4" s="1">
        <v>1</v>
      </c>
      <c r="F4" s="1">
        <v>0</v>
      </c>
      <c r="G4" s="1">
        <v>0</v>
      </c>
      <c r="H4" s="5">
        <v>0</v>
      </c>
    </row>
    <row r="5" spans="1:8" x14ac:dyDescent="0.25">
      <c r="A5" s="1" t="s">
        <v>380</v>
      </c>
      <c r="B5" s="1">
        <v>0</v>
      </c>
      <c r="C5" s="1">
        <v>0</v>
      </c>
      <c r="D5" s="5">
        <v>0</v>
      </c>
      <c r="E5" s="1">
        <v>0</v>
      </c>
      <c r="F5" s="1">
        <v>0</v>
      </c>
      <c r="G5" s="1">
        <v>0</v>
      </c>
      <c r="H5" s="5">
        <v>0</v>
      </c>
    </row>
    <row r="6" spans="1:8" x14ac:dyDescent="0.25">
      <c r="A6" s="1" t="s">
        <v>105</v>
      </c>
      <c r="B6" s="1">
        <v>2</v>
      </c>
      <c r="C6" s="1">
        <v>2</v>
      </c>
      <c r="D6" s="5">
        <v>1</v>
      </c>
      <c r="E6" s="1">
        <v>2</v>
      </c>
      <c r="F6" s="1">
        <v>0</v>
      </c>
      <c r="G6" s="1">
        <v>0</v>
      </c>
      <c r="H6" s="5">
        <v>0</v>
      </c>
    </row>
    <row r="7" spans="1:8" x14ac:dyDescent="0.25">
      <c r="A7" s="1" t="s">
        <v>313</v>
      </c>
      <c r="B7" s="1">
        <v>3</v>
      </c>
      <c r="C7" s="1">
        <v>1</v>
      </c>
      <c r="D7" s="5">
        <v>0.33333333333333331</v>
      </c>
      <c r="E7" s="1">
        <v>1</v>
      </c>
      <c r="F7" s="1">
        <v>0</v>
      </c>
      <c r="G7" s="1">
        <v>0</v>
      </c>
      <c r="H7" s="5">
        <v>0</v>
      </c>
    </row>
    <row r="8" spans="1:8" x14ac:dyDescent="0.25">
      <c r="A8" s="1" t="s">
        <v>284</v>
      </c>
      <c r="B8" s="1">
        <v>3</v>
      </c>
      <c r="C8" s="1">
        <v>0</v>
      </c>
      <c r="D8" s="5">
        <v>0</v>
      </c>
      <c r="E8" s="1">
        <v>0</v>
      </c>
      <c r="F8" s="1">
        <v>0</v>
      </c>
      <c r="G8" s="1">
        <v>0</v>
      </c>
      <c r="H8" s="5">
        <v>0</v>
      </c>
    </row>
    <row r="9" spans="1:8" x14ac:dyDescent="0.25">
      <c r="A9" s="1" t="s">
        <v>36</v>
      </c>
      <c r="B9" s="1">
        <v>0</v>
      </c>
      <c r="C9" s="1">
        <v>0</v>
      </c>
      <c r="D9" s="5">
        <v>0</v>
      </c>
      <c r="E9" s="1">
        <v>0</v>
      </c>
      <c r="F9" s="1">
        <v>0</v>
      </c>
      <c r="G9" s="1">
        <v>0</v>
      </c>
      <c r="H9" s="5">
        <v>0</v>
      </c>
    </row>
    <row r="10" spans="1:8" x14ac:dyDescent="0.25">
      <c r="A10" s="1" t="s">
        <v>188</v>
      </c>
      <c r="B10" s="1">
        <v>4</v>
      </c>
      <c r="C10" s="1">
        <v>1</v>
      </c>
      <c r="D10" s="5">
        <v>0.25</v>
      </c>
      <c r="E10" s="1">
        <v>1</v>
      </c>
      <c r="F10" s="1">
        <v>0</v>
      </c>
      <c r="G10" s="1">
        <v>0</v>
      </c>
      <c r="H10" s="5">
        <v>0</v>
      </c>
    </row>
    <row r="11" spans="1:8" x14ac:dyDescent="0.25">
      <c r="A11" s="1" t="s">
        <v>51</v>
      </c>
      <c r="B11" s="1">
        <v>0</v>
      </c>
      <c r="C11" s="1">
        <v>0</v>
      </c>
      <c r="D11" s="5">
        <v>0</v>
      </c>
      <c r="E11" s="1">
        <v>0</v>
      </c>
      <c r="F11" s="1">
        <v>0</v>
      </c>
      <c r="G11" s="1">
        <v>0</v>
      </c>
      <c r="H11" s="5">
        <v>0</v>
      </c>
    </row>
    <row r="12" spans="1:8" x14ac:dyDescent="0.25">
      <c r="A12" s="1" t="s">
        <v>59</v>
      </c>
      <c r="B12" s="1">
        <v>2</v>
      </c>
      <c r="C12" s="1">
        <v>2</v>
      </c>
      <c r="D12" s="5">
        <v>1</v>
      </c>
      <c r="E12" s="1">
        <v>2</v>
      </c>
      <c r="F12" s="1">
        <v>0</v>
      </c>
      <c r="G12" s="1">
        <v>0</v>
      </c>
      <c r="H12" s="5">
        <v>0</v>
      </c>
    </row>
    <row r="13" spans="1:8" x14ac:dyDescent="0.25">
      <c r="A13" s="1" t="s">
        <v>148</v>
      </c>
      <c r="B13" s="1">
        <v>0</v>
      </c>
      <c r="C13" s="1">
        <v>0</v>
      </c>
      <c r="D13" s="5">
        <v>0</v>
      </c>
      <c r="E13" s="1">
        <v>0</v>
      </c>
      <c r="F13" s="1">
        <v>0</v>
      </c>
      <c r="G13" s="1">
        <v>0</v>
      </c>
      <c r="H13" s="5">
        <v>0</v>
      </c>
    </row>
    <row r="14" spans="1:8" x14ac:dyDescent="0.25">
      <c r="A14" s="1" t="s">
        <v>136</v>
      </c>
      <c r="B14" s="1">
        <v>4</v>
      </c>
      <c r="C14" s="1">
        <v>2</v>
      </c>
      <c r="D14" s="5">
        <v>0.5</v>
      </c>
      <c r="E14" s="1">
        <v>2</v>
      </c>
      <c r="F14" s="1">
        <v>0</v>
      </c>
      <c r="G14" s="1">
        <v>0</v>
      </c>
      <c r="H14" s="5">
        <v>0</v>
      </c>
    </row>
    <row r="15" spans="1:8" x14ac:dyDescent="0.25">
      <c r="A15" s="1" t="s">
        <v>231</v>
      </c>
      <c r="B15" s="1">
        <v>5</v>
      </c>
      <c r="C15" s="1">
        <v>1</v>
      </c>
      <c r="D15" s="5">
        <v>0.2</v>
      </c>
      <c r="E15" s="1">
        <v>1</v>
      </c>
      <c r="F15" s="1">
        <v>1</v>
      </c>
      <c r="G15" s="1">
        <v>1</v>
      </c>
      <c r="H15" s="5">
        <v>0.2</v>
      </c>
    </row>
    <row r="16" spans="1:8" x14ac:dyDescent="0.25">
      <c r="A16" s="1" t="s">
        <v>410</v>
      </c>
      <c r="B16" s="1">
        <f>SUBTOTAL(109,Tabela2[Emissão inicial total])</f>
        <v>27</v>
      </c>
      <c r="C16" s="1">
        <f>SUBTOTAL(109,Tabela2[Emissão inicial concluída])</f>
        <v>10</v>
      </c>
      <c r="D16" s="5"/>
      <c r="E16" s="1">
        <f>SUBTOTAL(109,Tabela2[Avaliação do cliente concluída])</f>
        <v>10</v>
      </c>
      <c r="F16" s="1">
        <f>SUBTOTAL(109,Tabela2[Atendimento de comentário concluído])</f>
        <v>1</v>
      </c>
      <c r="G16" s="1">
        <f>SUBTOTAL(109,Tabela2[Aprovação concluída])</f>
        <v>1</v>
      </c>
      <c r="H16" s="5"/>
    </row>
    <row r="21" spans="1:5" x14ac:dyDescent="0.25">
      <c r="A21" s="1" t="s">
        <v>13</v>
      </c>
      <c r="B21" s="1" t="s">
        <v>23</v>
      </c>
      <c r="C21" s="1" t="s">
        <v>26</v>
      </c>
      <c r="D21" s="1" t="s">
        <v>28</v>
      </c>
      <c r="E21" s="1" t="s">
        <v>30</v>
      </c>
    </row>
    <row r="22" spans="1:5" x14ac:dyDescent="0.25">
      <c r="A22" s="1" t="s">
        <v>343</v>
      </c>
      <c r="B22" s="1">
        <v>0</v>
      </c>
      <c r="C22" s="1">
        <v>0</v>
      </c>
      <c r="D22" s="1">
        <v>1</v>
      </c>
      <c r="E22" s="1">
        <v>1</v>
      </c>
    </row>
    <row r="23" spans="1:5" x14ac:dyDescent="0.25">
      <c r="A23" s="1" t="s">
        <v>380</v>
      </c>
      <c r="B23" s="1">
        <v>0</v>
      </c>
      <c r="C23" s="1">
        <v>0</v>
      </c>
      <c r="D23" s="1">
        <v>0</v>
      </c>
      <c r="E23" s="1">
        <v>0</v>
      </c>
    </row>
    <row r="24" spans="1:5" x14ac:dyDescent="0.25">
      <c r="A24" s="1" t="s">
        <v>105</v>
      </c>
      <c r="B24" s="1">
        <v>0</v>
      </c>
      <c r="C24" s="1">
        <v>0</v>
      </c>
      <c r="D24" s="1">
        <v>1</v>
      </c>
      <c r="E24" s="1">
        <v>1</v>
      </c>
    </row>
    <row r="25" spans="1:5" x14ac:dyDescent="0.25">
      <c r="A25" s="1" t="s">
        <v>313</v>
      </c>
      <c r="B25" s="1">
        <v>0</v>
      </c>
      <c r="C25" s="1">
        <v>0</v>
      </c>
      <c r="D25" s="1">
        <v>1</v>
      </c>
      <c r="E25" s="1">
        <v>1</v>
      </c>
    </row>
    <row r="26" spans="1:5" x14ac:dyDescent="0.25">
      <c r="A26" s="1" t="s">
        <v>284</v>
      </c>
      <c r="B26" s="1">
        <v>1</v>
      </c>
      <c r="C26" s="1">
        <v>1</v>
      </c>
      <c r="D26" s="1">
        <v>1</v>
      </c>
      <c r="E26" s="1">
        <v>1</v>
      </c>
    </row>
    <row r="27" spans="1:5" x14ac:dyDescent="0.25">
      <c r="A27" s="1" t="s">
        <v>36</v>
      </c>
      <c r="B27" s="1">
        <v>0</v>
      </c>
      <c r="C27" s="1">
        <v>0</v>
      </c>
      <c r="D27" s="1">
        <v>0</v>
      </c>
      <c r="E27" s="1">
        <v>0</v>
      </c>
    </row>
    <row r="28" spans="1:5" x14ac:dyDescent="0.25">
      <c r="A28" s="1" t="s">
        <v>188</v>
      </c>
      <c r="B28" s="1">
        <v>0</v>
      </c>
      <c r="C28" s="1">
        <v>0</v>
      </c>
      <c r="D28" s="1">
        <v>1</v>
      </c>
      <c r="E28" s="1">
        <v>1</v>
      </c>
    </row>
    <row r="29" spans="1:5" x14ac:dyDescent="0.25">
      <c r="A29" s="1" t="s">
        <v>51</v>
      </c>
      <c r="B29" s="1">
        <v>0</v>
      </c>
      <c r="C29" s="1">
        <v>0</v>
      </c>
      <c r="D29" s="1">
        <v>0</v>
      </c>
      <c r="E29" s="1">
        <v>0</v>
      </c>
    </row>
    <row r="30" spans="1:5" x14ac:dyDescent="0.25">
      <c r="A30" s="1" t="s">
        <v>59</v>
      </c>
      <c r="B30" s="1">
        <v>0</v>
      </c>
      <c r="C30" s="1">
        <v>0</v>
      </c>
      <c r="D30" s="1">
        <v>1</v>
      </c>
      <c r="E30" s="1">
        <v>1</v>
      </c>
    </row>
    <row r="31" spans="1:5" x14ac:dyDescent="0.25">
      <c r="A31" s="1" t="s">
        <v>148</v>
      </c>
      <c r="B31" s="1">
        <v>0</v>
      </c>
      <c r="C31" s="1">
        <v>1</v>
      </c>
      <c r="D31" s="1">
        <v>1</v>
      </c>
      <c r="E31" s="1">
        <v>1</v>
      </c>
    </row>
    <row r="32" spans="1:5" x14ac:dyDescent="0.25">
      <c r="A32" s="1" t="s">
        <v>136</v>
      </c>
      <c r="B32" s="1">
        <v>1</v>
      </c>
      <c r="C32" s="1">
        <v>0</v>
      </c>
      <c r="D32" s="1">
        <v>2</v>
      </c>
      <c r="E32" s="1">
        <v>2</v>
      </c>
    </row>
    <row r="33" spans="1:5" x14ac:dyDescent="0.25">
      <c r="A33" s="1" t="s">
        <v>231</v>
      </c>
      <c r="B33" s="1">
        <v>0</v>
      </c>
      <c r="C33" s="1">
        <v>0</v>
      </c>
      <c r="D33" s="1">
        <v>0</v>
      </c>
      <c r="E33" s="1">
        <v>0</v>
      </c>
    </row>
    <row r="34" spans="1:5" x14ac:dyDescent="0.25">
      <c r="A34" s="1" t="s">
        <v>410</v>
      </c>
      <c r="B34" s="1">
        <f>SUBTOTAL(109,Tabela3[Emissão Inicial Atrasada])</f>
        <v>2</v>
      </c>
      <c r="C34" s="1">
        <f>SUBTOTAL(109,Tabela3[Avaliação Cliente Atrasada])</f>
        <v>2</v>
      </c>
      <c r="D34" s="1">
        <f>SUBTOTAL(109,Tabela3[Atendimento Atrasado])</f>
        <v>9</v>
      </c>
      <c r="E34" s="1">
        <f>SUBTOTAL(109,Tabela3[Aprovação Atrasada])</f>
        <v>9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77"/>
  <sheetViews>
    <sheetView zoomScale="55" zoomScaleNormal="55" workbookViewId="0">
      <selection activeCell="AG39" sqref="AG39"/>
    </sheetView>
  </sheetViews>
  <sheetFormatPr defaultColWidth="12.28515625" defaultRowHeight="15" x14ac:dyDescent="0.25"/>
  <cols>
    <col min="1" max="1" width="12.28515625" style="7"/>
    <col min="2" max="9" width="12.28515625" style="6"/>
    <col min="10" max="11" width="12.28515625" style="8"/>
    <col min="12" max="12" width="12.28515625" style="6"/>
    <col min="13" max="14" width="12.28515625" style="8"/>
    <col min="15" max="16384" width="12.28515625" style="6"/>
  </cols>
  <sheetData>
    <row r="1" spans="1:15" ht="60" x14ac:dyDescent="0.25">
      <c r="A1" s="7" t="s">
        <v>390</v>
      </c>
      <c r="B1" s="6" t="s">
        <v>391</v>
      </c>
      <c r="C1" s="6" t="s">
        <v>392</v>
      </c>
      <c r="D1" s="6" t="s">
        <v>393</v>
      </c>
      <c r="E1" s="6" t="s">
        <v>394</v>
      </c>
      <c r="F1" s="6" t="s">
        <v>395</v>
      </c>
      <c r="G1" s="6" t="s">
        <v>396</v>
      </c>
      <c r="H1" s="6" t="s">
        <v>397</v>
      </c>
      <c r="I1" s="6" t="s">
        <v>398</v>
      </c>
      <c r="J1" s="8" t="s">
        <v>399</v>
      </c>
      <c r="K1" s="8" t="s">
        <v>400</v>
      </c>
      <c r="L1" s="6" t="s">
        <v>401</v>
      </c>
      <c r="M1" s="8" t="s">
        <v>402</v>
      </c>
      <c r="N1" s="8" t="s">
        <v>403</v>
      </c>
      <c r="O1" s="6" t="s">
        <v>404</v>
      </c>
    </row>
    <row r="2" spans="1:15" x14ac:dyDescent="0.25">
      <c r="A2" s="7">
        <v>46101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8">
        <v>0</v>
      </c>
      <c r="K2" s="8">
        <v>0</v>
      </c>
      <c r="L2" s="6">
        <v>0</v>
      </c>
      <c r="M2" s="8">
        <v>0</v>
      </c>
      <c r="N2" s="8">
        <v>0</v>
      </c>
      <c r="O2" s="6">
        <v>0</v>
      </c>
    </row>
    <row r="3" spans="1:15" x14ac:dyDescent="0.25">
      <c r="A3" s="7">
        <v>46102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8">
        <v>0</v>
      </c>
      <c r="K3" s="8">
        <v>0</v>
      </c>
      <c r="L3" s="6">
        <v>0</v>
      </c>
      <c r="M3" s="8">
        <v>0</v>
      </c>
      <c r="N3" s="8">
        <v>0</v>
      </c>
      <c r="O3" s="6">
        <v>0</v>
      </c>
    </row>
    <row r="4" spans="1:15" x14ac:dyDescent="0.25">
      <c r="A4" s="7">
        <v>46103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8">
        <v>0</v>
      </c>
      <c r="K4" s="8">
        <v>0</v>
      </c>
      <c r="L4" s="6">
        <v>0</v>
      </c>
      <c r="M4" s="8">
        <v>0</v>
      </c>
      <c r="N4" s="8">
        <v>0</v>
      </c>
      <c r="O4" s="6">
        <v>0</v>
      </c>
    </row>
    <row r="5" spans="1:15" x14ac:dyDescent="0.25">
      <c r="A5" s="7">
        <v>46104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8">
        <v>0</v>
      </c>
      <c r="K5" s="8">
        <v>0</v>
      </c>
      <c r="L5" s="6">
        <v>0</v>
      </c>
      <c r="M5" s="8">
        <v>0</v>
      </c>
      <c r="N5" s="8">
        <v>0</v>
      </c>
      <c r="O5" s="6">
        <v>0</v>
      </c>
    </row>
    <row r="6" spans="1:15" x14ac:dyDescent="0.25">
      <c r="A6" s="7">
        <v>46105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8">
        <v>0</v>
      </c>
      <c r="K6" s="8">
        <v>0</v>
      </c>
      <c r="L6" s="6">
        <v>0</v>
      </c>
      <c r="M6" s="8">
        <v>0</v>
      </c>
      <c r="N6" s="8">
        <v>0</v>
      </c>
      <c r="O6" s="6">
        <v>0</v>
      </c>
    </row>
    <row r="7" spans="1:15" x14ac:dyDescent="0.25">
      <c r="A7" s="7">
        <v>46106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8">
        <v>0</v>
      </c>
      <c r="K7" s="8">
        <v>0</v>
      </c>
      <c r="L7" s="6">
        <v>0</v>
      </c>
      <c r="M7" s="8">
        <v>0</v>
      </c>
      <c r="N7" s="8">
        <v>0</v>
      </c>
      <c r="O7" s="6">
        <v>0</v>
      </c>
    </row>
    <row r="8" spans="1:15" x14ac:dyDescent="0.25">
      <c r="A8" s="7">
        <v>46107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8">
        <v>0</v>
      </c>
      <c r="K8" s="8">
        <v>0</v>
      </c>
      <c r="L8" s="6">
        <v>0</v>
      </c>
      <c r="M8" s="8">
        <v>0</v>
      </c>
      <c r="N8" s="8">
        <v>0</v>
      </c>
      <c r="O8" s="6">
        <v>0</v>
      </c>
    </row>
    <row r="9" spans="1:15" x14ac:dyDescent="0.25">
      <c r="A9" s="7">
        <v>46108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8">
        <v>0</v>
      </c>
      <c r="K9" s="8">
        <v>0</v>
      </c>
      <c r="L9" s="6">
        <v>0</v>
      </c>
      <c r="M9" s="8">
        <v>0</v>
      </c>
      <c r="N9" s="8">
        <v>0</v>
      </c>
      <c r="O9" s="6">
        <v>0</v>
      </c>
    </row>
    <row r="10" spans="1:15" x14ac:dyDescent="0.25">
      <c r="A10" s="7">
        <v>46109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8">
        <v>0</v>
      </c>
      <c r="K10" s="8">
        <v>0</v>
      </c>
      <c r="L10" s="6">
        <v>0</v>
      </c>
      <c r="M10" s="8">
        <v>0</v>
      </c>
      <c r="N10" s="8">
        <v>0</v>
      </c>
      <c r="O10" s="6">
        <v>0</v>
      </c>
    </row>
    <row r="11" spans="1:15" x14ac:dyDescent="0.25">
      <c r="A11" s="7">
        <v>46110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8">
        <v>0</v>
      </c>
      <c r="K11" s="8">
        <v>0</v>
      </c>
      <c r="L11" s="6">
        <v>0</v>
      </c>
      <c r="M11" s="8">
        <v>0</v>
      </c>
      <c r="N11" s="8">
        <v>0</v>
      </c>
      <c r="O11" s="6">
        <v>0</v>
      </c>
    </row>
    <row r="12" spans="1:15" x14ac:dyDescent="0.25">
      <c r="A12" s="7">
        <v>46111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8">
        <v>0</v>
      </c>
      <c r="K12" s="8">
        <v>0</v>
      </c>
      <c r="L12" s="6">
        <v>0</v>
      </c>
      <c r="M12" s="8">
        <v>0</v>
      </c>
      <c r="N12" s="8">
        <v>0</v>
      </c>
      <c r="O12" s="6">
        <v>0</v>
      </c>
    </row>
    <row r="13" spans="1:15" x14ac:dyDescent="0.25">
      <c r="A13" s="7">
        <v>46112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8">
        <v>0</v>
      </c>
      <c r="K13" s="8">
        <v>0</v>
      </c>
      <c r="L13" s="6">
        <v>0</v>
      </c>
      <c r="M13" s="8">
        <v>0</v>
      </c>
      <c r="N13" s="8">
        <v>0</v>
      </c>
      <c r="O13" s="6">
        <v>0</v>
      </c>
    </row>
    <row r="14" spans="1:15" x14ac:dyDescent="0.25">
      <c r="A14" s="7">
        <v>46113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8">
        <v>0</v>
      </c>
      <c r="K14" s="8">
        <v>0</v>
      </c>
      <c r="L14" s="6">
        <v>0</v>
      </c>
      <c r="M14" s="8">
        <v>0</v>
      </c>
      <c r="N14" s="8">
        <v>0</v>
      </c>
      <c r="O14" s="6">
        <v>0</v>
      </c>
    </row>
    <row r="15" spans="1:15" x14ac:dyDescent="0.25">
      <c r="A15" s="7">
        <v>46114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8">
        <v>0</v>
      </c>
      <c r="K15" s="8">
        <v>0</v>
      </c>
      <c r="L15" s="6">
        <v>0</v>
      </c>
      <c r="M15" s="8">
        <v>0</v>
      </c>
      <c r="N15" s="8">
        <v>0</v>
      </c>
      <c r="O15" s="6">
        <v>0</v>
      </c>
    </row>
    <row r="16" spans="1:15" x14ac:dyDescent="0.25">
      <c r="A16" s="7">
        <v>46115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8">
        <v>0</v>
      </c>
      <c r="K16" s="8">
        <v>0</v>
      </c>
      <c r="L16" s="6">
        <v>0</v>
      </c>
      <c r="M16" s="8">
        <v>0</v>
      </c>
      <c r="N16" s="8">
        <v>0</v>
      </c>
      <c r="O16" s="6">
        <v>0</v>
      </c>
    </row>
    <row r="17" spans="1:15" x14ac:dyDescent="0.25">
      <c r="A17" s="7">
        <v>46116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8">
        <v>0</v>
      </c>
      <c r="K17" s="8">
        <v>0</v>
      </c>
      <c r="L17" s="6">
        <v>0</v>
      </c>
      <c r="M17" s="8">
        <v>0</v>
      </c>
      <c r="N17" s="8">
        <v>0</v>
      </c>
      <c r="O17" s="6">
        <v>0</v>
      </c>
    </row>
    <row r="18" spans="1:15" x14ac:dyDescent="0.25">
      <c r="A18" s="7">
        <v>46117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8">
        <v>0</v>
      </c>
      <c r="K18" s="8">
        <v>0</v>
      </c>
      <c r="L18" s="6">
        <v>0</v>
      </c>
      <c r="M18" s="8">
        <v>0</v>
      </c>
      <c r="N18" s="8">
        <v>0</v>
      </c>
      <c r="O18" s="6">
        <v>0</v>
      </c>
    </row>
    <row r="19" spans="1:15" x14ac:dyDescent="0.25">
      <c r="A19" s="7">
        <v>46118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8">
        <v>0</v>
      </c>
      <c r="K19" s="8">
        <v>0</v>
      </c>
      <c r="L19" s="6">
        <v>0</v>
      </c>
      <c r="M19" s="8">
        <v>0</v>
      </c>
      <c r="N19" s="8">
        <v>0</v>
      </c>
      <c r="O19" s="6">
        <v>0</v>
      </c>
    </row>
    <row r="20" spans="1:15" x14ac:dyDescent="0.25">
      <c r="A20" s="7">
        <v>46119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8">
        <v>0</v>
      </c>
      <c r="K20" s="8">
        <v>0</v>
      </c>
      <c r="L20" s="6">
        <v>0</v>
      </c>
      <c r="M20" s="8">
        <v>0</v>
      </c>
      <c r="N20" s="8">
        <v>0</v>
      </c>
      <c r="O20" s="6">
        <v>0</v>
      </c>
    </row>
    <row r="21" spans="1:15" x14ac:dyDescent="0.25">
      <c r="A21" s="7">
        <v>46120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8">
        <v>0</v>
      </c>
      <c r="K21" s="8">
        <v>0</v>
      </c>
      <c r="L21" s="6">
        <v>0</v>
      </c>
      <c r="M21" s="8">
        <v>0</v>
      </c>
      <c r="N21" s="8">
        <v>0</v>
      </c>
      <c r="O21" s="6">
        <v>0</v>
      </c>
    </row>
    <row r="22" spans="1:15" x14ac:dyDescent="0.25">
      <c r="A22" s="7">
        <v>46121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8">
        <v>0</v>
      </c>
      <c r="K22" s="8">
        <v>0</v>
      </c>
      <c r="L22" s="6">
        <v>0</v>
      </c>
      <c r="M22" s="8">
        <v>0</v>
      </c>
      <c r="N22" s="8">
        <v>0</v>
      </c>
      <c r="O22" s="6">
        <v>0</v>
      </c>
    </row>
    <row r="23" spans="1:15" x14ac:dyDescent="0.25">
      <c r="A23" s="7">
        <v>46122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8">
        <v>0</v>
      </c>
      <c r="K23" s="8">
        <v>0</v>
      </c>
      <c r="L23" s="6">
        <v>0</v>
      </c>
      <c r="M23" s="8">
        <v>0</v>
      </c>
      <c r="N23" s="8">
        <v>0</v>
      </c>
      <c r="O23" s="6">
        <v>0</v>
      </c>
    </row>
    <row r="24" spans="1:15" x14ac:dyDescent="0.25">
      <c r="A24" s="7">
        <v>46123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8">
        <v>0</v>
      </c>
      <c r="K24" s="8">
        <v>0</v>
      </c>
      <c r="L24" s="6">
        <v>0</v>
      </c>
      <c r="M24" s="8">
        <v>0</v>
      </c>
      <c r="N24" s="8">
        <v>0</v>
      </c>
      <c r="O24" s="6">
        <v>0</v>
      </c>
    </row>
    <row r="25" spans="1:15" x14ac:dyDescent="0.25">
      <c r="A25" s="7">
        <v>46124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8">
        <v>0</v>
      </c>
      <c r="K25" s="8">
        <v>0</v>
      </c>
      <c r="L25" s="6">
        <v>0</v>
      </c>
      <c r="M25" s="8">
        <v>0</v>
      </c>
      <c r="N25" s="8">
        <v>0</v>
      </c>
      <c r="O25" s="6">
        <v>0</v>
      </c>
    </row>
    <row r="26" spans="1:15" x14ac:dyDescent="0.25">
      <c r="A26" s="7">
        <v>46125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8">
        <v>0</v>
      </c>
      <c r="K26" s="8">
        <v>0</v>
      </c>
      <c r="L26" s="6">
        <v>0</v>
      </c>
      <c r="M26" s="8">
        <v>0</v>
      </c>
      <c r="N26" s="8">
        <v>0</v>
      </c>
      <c r="O26" s="6">
        <v>0</v>
      </c>
    </row>
    <row r="27" spans="1:15" x14ac:dyDescent="0.25">
      <c r="A27" s="7">
        <v>46126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8">
        <v>0</v>
      </c>
      <c r="K27" s="8">
        <v>0</v>
      </c>
      <c r="L27" s="6">
        <v>0</v>
      </c>
      <c r="M27" s="8">
        <v>0</v>
      </c>
      <c r="N27" s="8">
        <v>0</v>
      </c>
      <c r="O27" s="6">
        <v>0</v>
      </c>
    </row>
    <row r="28" spans="1:15" x14ac:dyDescent="0.25">
      <c r="A28" s="7">
        <v>46127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8">
        <v>0</v>
      </c>
      <c r="K28" s="8">
        <v>0</v>
      </c>
      <c r="L28" s="6">
        <v>0</v>
      </c>
      <c r="M28" s="8">
        <v>0</v>
      </c>
      <c r="N28" s="8">
        <v>0</v>
      </c>
      <c r="O28" s="6">
        <v>0</v>
      </c>
    </row>
    <row r="29" spans="1:15" x14ac:dyDescent="0.25">
      <c r="A29" s="7">
        <v>46128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8">
        <v>0</v>
      </c>
      <c r="K29" s="8">
        <v>0</v>
      </c>
      <c r="L29" s="6">
        <v>0</v>
      </c>
      <c r="M29" s="8">
        <v>0</v>
      </c>
      <c r="N29" s="8">
        <v>0</v>
      </c>
      <c r="O29" s="6">
        <v>0</v>
      </c>
    </row>
    <row r="30" spans="1:15" x14ac:dyDescent="0.25">
      <c r="A30" s="7">
        <v>46129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8">
        <v>0</v>
      </c>
      <c r="K30" s="8">
        <v>0</v>
      </c>
      <c r="L30" s="6">
        <v>0</v>
      </c>
      <c r="M30" s="8">
        <v>0</v>
      </c>
      <c r="N30" s="8">
        <v>0</v>
      </c>
      <c r="O30" s="6">
        <v>0</v>
      </c>
    </row>
    <row r="31" spans="1:15" x14ac:dyDescent="0.25">
      <c r="A31" s="7">
        <v>46130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8">
        <v>0</v>
      </c>
      <c r="K31" s="8">
        <v>0</v>
      </c>
      <c r="L31" s="6">
        <v>0</v>
      </c>
      <c r="M31" s="8">
        <v>0</v>
      </c>
      <c r="N31" s="8">
        <v>0</v>
      </c>
      <c r="O31" s="6">
        <v>0</v>
      </c>
    </row>
    <row r="32" spans="1:15" x14ac:dyDescent="0.25">
      <c r="A32" s="7">
        <v>46131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8">
        <v>0</v>
      </c>
      <c r="K32" s="8">
        <v>0</v>
      </c>
      <c r="L32" s="6">
        <v>0</v>
      </c>
      <c r="M32" s="8">
        <v>0</v>
      </c>
      <c r="N32" s="8">
        <v>0</v>
      </c>
      <c r="O32" s="6">
        <v>0</v>
      </c>
    </row>
    <row r="33" spans="1:15" x14ac:dyDescent="0.25">
      <c r="A33" s="7">
        <v>46132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8">
        <v>0</v>
      </c>
      <c r="K33" s="8">
        <v>0</v>
      </c>
      <c r="L33" s="6">
        <v>0</v>
      </c>
      <c r="M33" s="8">
        <v>0</v>
      </c>
      <c r="N33" s="8">
        <v>0</v>
      </c>
      <c r="O33" s="6">
        <v>0</v>
      </c>
    </row>
    <row r="34" spans="1:15" x14ac:dyDescent="0.25">
      <c r="A34" s="7">
        <v>46133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8">
        <v>0</v>
      </c>
      <c r="K34" s="8">
        <v>0</v>
      </c>
      <c r="L34" s="6">
        <v>0</v>
      </c>
      <c r="M34" s="8">
        <v>0</v>
      </c>
      <c r="N34" s="8">
        <v>0</v>
      </c>
      <c r="O34" s="6">
        <v>0</v>
      </c>
    </row>
    <row r="35" spans="1:15" x14ac:dyDescent="0.25">
      <c r="A35" s="7">
        <v>46134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8">
        <v>0</v>
      </c>
      <c r="K35" s="8">
        <v>0</v>
      </c>
      <c r="L35" s="6">
        <v>0</v>
      </c>
      <c r="M35" s="8">
        <v>0</v>
      </c>
      <c r="N35" s="8">
        <v>0</v>
      </c>
      <c r="O35" s="6">
        <v>0</v>
      </c>
    </row>
    <row r="36" spans="1:15" x14ac:dyDescent="0.25">
      <c r="A36" s="7">
        <v>46135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8">
        <v>0</v>
      </c>
      <c r="K36" s="8">
        <v>0</v>
      </c>
      <c r="L36" s="6">
        <v>0</v>
      </c>
      <c r="M36" s="8">
        <v>0</v>
      </c>
      <c r="N36" s="8">
        <v>0</v>
      </c>
      <c r="O36" s="6">
        <v>0</v>
      </c>
    </row>
    <row r="37" spans="1:15" x14ac:dyDescent="0.25">
      <c r="A37" s="7">
        <v>46136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8">
        <v>0</v>
      </c>
      <c r="K37" s="8">
        <v>0</v>
      </c>
      <c r="L37" s="6">
        <v>0</v>
      </c>
      <c r="M37" s="8">
        <v>0</v>
      </c>
      <c r="N37" s="8">
        <v>0</v>
      </c>
      <c r="O37" s="6">
        <v>0</v>
      </c>
    </row>
    <row r="38" spans="1:15" x14ac:dyDescent="0.25">
      <c r="A38" s="7">
        <v>46137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8">
        <v>0</v>
      </c>
      <c r="K38" s="8">
        <v>0</v>
      </c>
      <c r="L38" s="6">
        <v>0</v>
      </c>
      <c r="M38" s="8">
        <v>0</v>
      </c>
      <c r="N38" s="8">
        <v>0</v>
      </c>
      <c r="O38" s="6">
        <v>0</v>
      </c>
    </row>
    <row r="39" spans="1:15" x14ac:dyDescent="0.25">
      <c r="A39" s="7">
        <v>46138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8">
        <v>0</v>
      </c>
      <c r="K39" s="8">
        <v>0</v>
      </c>
      <c r="L39" s="6">
        <v>0</v>
      </c>
      <c r="M39" s="8">
        <v>0</v>
      </c>
      <c r="N39" s="8">
        <v>0</v>
      </c>
      <c r="O39" s="6">
        <v>0</v>
      </c>
    </row>
    <row r="40" spans="1:15" x14ac:dyDescent="0.25">
      <c r="A40" s="7">
        <v>46139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8">
        <v>0</v>
      </c>
      <c r="K40" s="8">
        <v>0</v>
      </c>
      <c r="L40" s="6">
        <v>0</v>
      </c>
      <c r="M40" s="8">
        <v>0</v>
      </c>
      <c r="N40" s="8">
        <v>0</v>
      </c>
      <c r="O40" s="6">
        <v>0</v>
      </c>
    </row>
    <row r="41" spans="1:15" x14ac:dyDescent="0.25">
      <c r="A41" s="7">
        <v>46140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8">
        <v>0</v>
      </c>
      <c r="K41" s="8">
        <v>0</v>
      </c>
      <c r="L41" s="6">
        <v>0</v>
      </c>
      <c r="M41" s="8">
        <v>0</v>
      </c>
      <c r="N41" s="8">
        <v>0</v>
      </c>
      <c r="O41" s="6">
        <v>0</v>
      </c>
    </row>
    <row r="42" spans="1:15" x14ac:dyDescent="0.25">
      <c r="A42" s="7">
        <v>46141</v>
      </c>
      <c r="B42" s="6">
        <v>2</v>
      </c>
      <c r="C42" s="6">
        <v>2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8">
        <v>7.407407407407407E-2</v>
      </c>
      <c r="K42" s="8">
        <v>0</v>
      </c>
      <c r="L42" s="6">
        <v>-1</v>
      </c>
      <c r="M42" s="8">
        <v>0</v>
      </c>
      <c r="N42" s="8">
        <v>0</v>
      </c>
      <c r="O42" s="6">
        <v>0</v>
      </c>
    </row>
    <row r="43" spans="1:15" x14ac:dyDescent="0.25">
      <c r="A43" s="7">
        <v>46142</v>
      </c>
      <c r="B43" s="6">
        <v>0</v>
      </c>
      <c r="C43" s="6">
        <v>2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8">
        <v>7.407407407407407E-2</v>
      </c>
      <c r="K43" s="8">
        <v>0</v>
      </c>
      <c r="L43" s="6">
        <v>-1</v>
      </c>
      <c r="M43" s="8">
        <v>0</v>
      </c>
      <c r="N43" s="8">
        <v>0</v>
      </c>
      <c r="O43" s="6">
        <v>0</v>
      </c>
    </row>
    <row r="44" spans="1:15" x14ac:dyDescent="0.25">
      <c r="A44" s="7">
        <v>46143</v>
      </c>
      <c r="B44" s="6">
        <v>0</v>
      </c>
      <c r="C44" s="6">
        <v>2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8">
        <v>7.407407407407407E-2</v>
      </c>
      <c r="K44" s="8">
        <v>0</v>
      </c>
      <c r="L44" s="6">
        <v>-1</v>
      </c>
      <c r="M44" s="8">
        <v>0</v>
      </c>
      <c r="N44" s="8">
        <v>0</v>
      </c>
      <c r="O44" s="6">
        <v>0</v>
      </c>
    </row>
    <row r="45" spans="1:15" x14ac:dyDescent="0.25">
      <c r="A45" s="7">
        <v>46144</v>
      </c>
      <c r="B45" s="6">
        <v>0</v>
      </c>
      <c r="C45" s="6">
        <v>2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8">
        <v>7.407407407407407E-2</v>
      </c>
      <c r="K45" s="8">
        <v>0</v>
      </c>
      <c r="L45" s="6">
        <v>-1</v>
      </c>
      <c r="M45" s="8">
        <v>0</v>
      </c>
      <c r="N45" s="8">
        <v>0</v>
      </c>
      <c r="O45" s="6">
        <v>0</v>
      </c>
    </row>
    <row r="46" spans="1:15" x14ac:dyDescent="0.25">
      <c r="A46" s="7">
        <v>46145</v>
      </c>
      <c r="B46" s="6">
        <v>0</v>
      </c>
      <c r="C46" s="6">
        <v>2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8">
        <v>7.407407407407407E-2</v>
      </c>
      <c r="K46" s="8">
        <v>0</v>
      </c>
      <c r="L46" s="6">
        <v>-1</v>
      </c>
      <c r="M46" s="8">
        <v>0</v>
      </c>
      <c r="N46" s="8">
        <v>0</v>
      </c>
      <c r="O46" s="6">
        <v>0</v>
      </c>
    </row>
    <row r="47" spans="1:15" x14ac:dyDescent="0.25">
      <c r="A47" s="7">
        <v>46146</v>
      </c>
      <c r="B47" s="6">
        <v>1</v>
      </c>
      <c r="C47" s="6">
        <v>3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8">
        <v>0.1111111111111111</v>
      </c>
      <c r="K47" s="8">
        <v>0</v>
      </c>
      <c r="L47" s="6">
        <v>-1</v>
      </c>
      <c r="M47" s="8">
        <v>0</v>
      </c>
      <c r="N47" s="8">
        <v>0</v>
      </c>
      <c r="O47" s="6">
        <v>0</v>
      </c>
    </row>
    <row r="48" spans="1:15" x14ac:dyDescent="0.25">
      <c r="A48" s="7">
        <v>46147</v>
      </c>
      <c r="B48" s="6">
        <v>0</v>
      </c>
      <c r="C48" s="6">
        <v>3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8">
        <v>0.1111111111111111</v>
      </c>
      <c r="K48" s="8">
        <v>0</v>
      </c>
      <c r="L48" s="6">
        <v>-1</v>
      </c>
      <c r="M48" s="8">
        <v>0</v>
      </c>
      <c r="N48" s="8">
        <v>0</v>
      </c>
      <c r="O48" s="6">
        <v>0</v>
      </c>
    </row>
    <row r="49" spans="1:15" x14ac:dyDescent="0.25">
      <c r="A49" s="7">
        <v>46148</v>
      </c>
      <c r="B49" s="6">
        <v>0</v>
      </c>
      <c r="C49" s="6">
        <v>3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8">
        <v>0.1111111111111111</v>
      </c>
      <c r="K49" s="8">
        <v>0</v>
      </c>
      <c r="L49" s="6">
        <v>-1</v>
      </c>
      <c r="M49" s="8">
        <v>0</v>
      </c>
      <c r="N49" s="8">
        <v>0</v>
      </c>
      <c r="O49" s="6">
        <v>0</v>
      </c>
    </row>
    <row r="50" spans="1:15" x14ac:dyDescent="0.25">
      <c r="A50" s="7">
        <v>46149</v>
      </c>
      <c r="B50" s="6">
        <v>0</v>
      </c>
      <c r="C50" s="6">
        <v>3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8">
        <v>0.1111111111111111</v>
      </c>
      <c r="K50" s="8">
        <v>0</v>
      </c>
      <c r="L50" s="6">
        <v>-1</v>
      </c>
      <c r="M50" s="8">
        <v>0</v>
      </c>
      <c r="N50" s="8">
        <v>0</v>
      </c>
      <c r="O50" s="6">
        <v>0</v>
      </c>
    </row>
    <row r="51" spans="1:15" x14ac:dyDescent="0.25">
      <c r="A51" s="7">
        <v>46150</v>
      </c>
      <c r="B51" s="6">
        <v>0</v>
      </c>
      <c r="C51" s="6">
        <v>3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8">
        <v>0.1111111111111111</v>
      </c>
      <c r="K51" s="8">
        <v>0</v>
      </c>
      <c r="L51" s="6">
        <v>-1</v>
      </c>
      <c r="M51" s="8">
        <v>0</v>
      </c>
      <c r="N51" s="8">
        <v>0</v>
      </c>
      <c r="O51" s="6">
        <v>0</v>
      </c>
    </row>
    <row r="52" spans="1:15" x14ac:dyDescent="0.25">
      <c r="A52" s="7">
        <v>46151</v>
      </c>
      <c r="B52" s="6">
        <v>0</v>
      </c>
      <c r="C52" s="6">
        <v>3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8">
        <v>0.1111111111111111</v>
      </c>
      <c r="K52" s="8">
        <v>0</v>
      </c>
      <c r="L52" s="6">
        <v>-1</v>
      </c>
      <c r="M52" s="8">
        <v>0</v>
      </c>
      <c r="N52" s="8">
        <v>0</v>
      </c>
      <c r="O52" s="6">
        <v>0</v>
      </c>
    </row>
    <row r="53" spans="1:15" x14ac:dyDescent="0.25">
      <c r="A53" s="7">
        <v>46152</v>
      </c>
      <c r="B53" s="6">
        <v>0</v>
      </c>
      <c r="C53" s="6">
        <v>3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8">
        <v>0.1111111111111111</v>
      </c>
      <c r="K53" s="8">
        <v>0</v>
      </c>
      <c r="L53" s="6">
        <v>-1</v>
      </c>
      <c r="M53" s="8">
        <v>0</v>
      </c>
      <c r="N53" s="8">
        <v>0</v>
      </c>
      <c r="O53" s="6">
        <v>0</v>
      </c>
    </row>
    <row r="54" spans="1:15" x14ac:dyDescent="0.25">
      <c r="A54" s="7">
        <v>46153</v>
      </c>
      <c r="B54" s="6">
        <v>0</v>
      </c>
      <c r="C54" s="6">
        <v>3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8">
        <v>0.1111111111111111</v>
      </c>
      <c r="K54" s="8">
        <v>0</v>
      </c>
      <c r="L54" s="6">
        <v>-1</v>
      </c>
      <c r="M54" s="8">
        <v>0</v>
      </c>
      <c r="N54" s="8">
        <v>0</v>
      </c>
      <c r="O54" s="6">
        <v>0</v>
      </c>
    </row>
    <row r="55" spans="1:15" x14ac:dyDescent="0.25">
      <c r="A55" s="7">
        <v>46154</v>
      </c>
      <c r="B55" s="6">
        <v>0</v>
      </c>
      <c r="C55" s="6">
        <v>3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8">
        <v>0.1111111111111111</v>
      </c>
      <c r="K55" s="8">
        <v>0</v>
      </c>
      <c r="L55" s="6">
        <v>-1</v>
      </c>
      <c r="M55" s="8">
        <v>0</v>
      </c>
      <c r="N55" s="8">
        <v>0</v>
      </c>
      <c r="O55" s="6">
        <v>0</v>
      </c>
    </row>
    <row r="56" spans="1:15" x14ac:dyDescent="0.25">
      <c r="A56" s="7">
        <v>46155</v>
      </c>
      <c r="B56" s="6">
        <v>0</v>
      </c>
      <c r="C56" s="6">
        <v>3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8">
        <v>0.1111111111111111</v>
      </c>
      <c r="K56" s="8">
        <v>0</v>
      </c>
      <c r="L56" s="6">
        <v>-1</v>
      </c>
      <c r="M56" s="8">
        <v>0</v>
      </c>
      <c r="N56" s="8">
        <v>0</v>
      </c>
      <c r="O56" s="6">
        <v>0</v>
      </c>
    </row>
    <row r="57" spans="1:15" x14ac:dyDescent="0.25">
      <c r="A57" s="7">
        <v>46156</v>
      </c>
      <c r="B57" s="6">
        <v>0</v>
      </c>
      <c r="C57" s="6">
        <v>3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8">
        <v>0.1111111111111111</v>
      </c>
      <c r="K57" s="8">
        <v>0</v>
      </c>
      <c r="L57" s="6">
        <v>-1</v>
      </c>
      <c r="M57" s="8">
        <v>0</v>
      </c>
      <c r="N57" s="8">
        <v>0</v>
      </c>
      <c r="O57" s="6">
        <v>0</v>
      </c>
    </row>
    <row r="58" spans="1:15" x14ac:dyDescent="0.25">
      <c r="A58" s="7">
        <v>46157</v>
      </c>
      <c r="B58" s="6">
        <v>0</v>
      </c>
      <c r="C58" s="6">
        <v>3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8">
        <v>0.1111111111111111</v>
      </c>
      <c r="K58" s="8">
        <v>0</v>
      </c>
      <c r="L58" s="6">
        <v>-1</v>
      </c>
      <c r="M58" s="8">
        <v>0</v>
      </c>
      <c r="N58" s="8">
        <v>0</v>
      </c>
      <c r="O58" s="6">
        <v>0</v>
      </c>
    </row>
    <row r="59" spans="1:15" x14ac:dyDescent="0.25">
      <c r="A59" s="7">
        <v>46158</v>
      </c>
      <c r="B59" s="6">
        <v>0</v>
      </c>
      <c r="C59" s="6">
        <v>3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8">
        <v>0.1111111111111111</v>
      </c>
      <c r="K59" s="8">
        <v>0</v>
      </c>
      <c r="L59" s="6">
        <v>-1</v>
      </c>
      <c r="M59" s="8">
        <v>0</v>
      </c>
      <c r="N59" s="8">
        <v>0</v>
      </c>
      <c r="O59" s="6">
        <v>0</v>
      </c>
    </row>
    <row r="60" spans="1:15" x14ac:dyDescent="0.25">
      <c r="A60" s="7">
        <v>46159</v>
      </c>
      <c r="B60" s="6">
        <v>0</v>
      </c>
      <c r="C60" s="6">
        <v>3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8">
        <v>0.1111111111111111</v>
      </c>
      <c r="K60" s="8">
        <v>0</v>
      </c>
      <c r="L60" s="6">
        <v>-1</v>
      </c>
      <c r="M60" s="8">
        <v>0</v>
      </c>
      <c r="N60" s="8">
        <v>0</v>
      </c>
      <c r="O60" s="6">
        <v>0</v>
      </c>
    </row>
    <row r="61" spans="1:15" x14ac:dyDescent="0.25">
      <c r="A61" s="7">
        <v>46160</v>
      </c>
      <c r="B61" s="6">
        <v>0</v>
      </c>
      <c r="C61" s="6">
        <v>3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8">
        <v>0.1111111111111111</v>
      </c>
      <c r="K61" s="8">
        <v>0</v>
      </c>
      <c r="L61" s="6">
        <v>-1</v>
      </c>
      <c r="M61" s="8">
        <v>0</v>
      </c>
      <c r="N61" s="8">
        <v>0</v>
      </c>
      <c r="O61" s="6">
        <v>0</v>
      </c>
    </row>
    <row r="62" spans="1:15" x14ac:dyDescent="0.25">
      <c r="A62" s="7">
        <v>46161</v>
      </c>
      <c r="B62" s="6">
        <v>2</v>
      </c>
      <c r="C62" s="6">
        <v>5</v>
      </c>
      <c r="D62" s="6">
        <v>1</v>
      </c>
      <c r="E62" s="6">
        <v>1</v>
      </c>
      <c r="F62" s="6">
        <v>2</v>
      </c>
      <c r="G62" s="6">
        <v>0</v>
      </c>
      <c r="H62" s="6">
        <v>2</v>
      </c>
      <c r="I62" s="6">
        <v>0</v>
      </c>
      <c r="J62" s="8">
        <v>0.1851851851851852</v>
      </c>
      <c r="K62" s="8">
        <v>3.7037037037037028E-2</v>
      </c>
      <c r="L62" s="6">
        <v>-1</v>
      </c>
      <c r="M62" s="8">
        <v>7.407407407407407E-2</v>
      </c>
      <c r="N62" s="8">
        <v>0</v>
      </c>
      <c r="O62" s="6">
        <v>-1</v>
      </c>
    </row>
    <row r="63" spans="1:15" x14ac:dyDescent="0.25">
      <c r="A63" s="7">
        <v>46162</v>
      </c>
      <c r="B63" s="6">
        <v>0</v>
      </c>
      <c r="C63" s="6">
        <v>5</v>
      </c>
      <c r="D63" s="6">
        <v>0</v>
      </c>
      <c r="E63" s="6">
        <v>1</v>
      </c>
      <c r="F63" s="6">
        <v>0</v>
      </c>
      <c r="G63" s="6">
        <v>0</v>
      </c>
      <c r="H63" s="6">
        <v>2</v>
      </c>
      <c r="I63" s="6">
        <v>0</v>
      </c>
      <c r="J63" s="8">
        <v>0.1851851851851852</v>
      </c>
      <c r="K63" s="8">
        <v>3.7037037037037028E-2</v>
      </c>
      <c r="L63" s="6">
        <v>-1</v>
      </c>
      <c r="M63" s="8">
        <v>7.407407407407407E-2</v>
      </c>
      <c r="N63" s="8">
        <v>0</v>
      </c>
      <c r="O63" s="6">
        <v>-1</v>
      </c>
    </row>
    <row r="64" spans="1:15" x14ac:dyDescent="0.25">
      <c r="A64" s="7">
        <v>46163</v>
      </c>
      <c r="B64" s="6">
        <v>0</v>
      </c>
      <c r="C64" s="6">
        <v>5</v>
      </c>
      <c r="D64" s="6">
        <v>0</v>
      </c>
      <c r="E64" s="6">
        <v>1</v>
      </c>
      <c r="F64" s="6">
        <v>0</v>
      </c>
      <c r="G64" s="6">
        <v>0</v>
      </c>
      <c r="H64" s="6">
        <v>2</v>
      </c>
      <c r="I64" s="6">
        <v>0</v>
      </c>
      <c r="J64" s="8">
        <v>0.1851851851851852</v>
      </c>
      <c r="K64" s="8">
        <v>3.7037037037037028E-2</v>
      </c>
      <c r="L64" s="6">
        <v>-1</v>
      </c>
      <c r="M64" s="8">
        <v>7.407407407407407E-2</v>
      </c>
      <c r="N64" s="8">
        <v>0</v>
      </c>
      <c r="O64" s="6">
        <v>-1</v>
      </c>
    </row>
    <row r="65" spans="1:15" x14ac:dyDescent="0.25">
      <c r="A65" s="7">
        <v>46164</v>
      </c>
      <c r="B65" s="6">
        <v>0</v>
      </c>
      <c r="C65" s="6">
        <v>5</v>
      </c>
      <c r="D65" s="6">
        <v>0</v>
      </c>
      <c r="E65" s="6">
        <v>1</v>
      </c>
      <c r="F65" s="6">
        <v>0</v>
      </c>
      <c r="G65" s="6">
        <v>0</v>
      </c>
      <c r="H65" s="6">
        <v>2</v>
      </c>
      <c r="I65" s="6">
        <v>0</v>
      </c>
      <c r="J65" s="8">
        <v>0.1851851851851852</v>
      </c>
      <c r="K65" s="8">
        <v>3.7037037037037028E-2</v>
      </c>
      <c r="L65" s="6">
        <v>-1</v>
      </c>
      <c r="M65" s="8">
        <v>7.407407407407407E-2</v>
      </c>
      <c r="N65" s="8">
        <v>0</v>
      </c>
      <c r="O65" s="6">
        <v>-1</v>
      </c>
    </row>
    <row r="66" spans="1:15" x14ac:dyDescent="0.25">
      <c r="A66" s="7">
        <v>46165</v>
      </c>
      <c r="B66" s="6">
        <v>0</v>
      </c>
      <c r="C66" s="6">
        <v>5</v>
      </c>
      <c r="D66" s="6">
        <v>0</v>
      </c>
      <c r="E66" s="6">
        <v>1</v>
      </c>
      <c r="F66" s="6">
        <v>0</v>
      </c>
      <c r="G66" s="6">
        <v>0</v>
      </c>
      <c r="H66" s="6">
        <v>2</v>
      </c>
      <c r="I66" s="6">
        <v>0</v>
      </c>
      <c r="J66" s="8">
        <v>0.1851851851851852</v>
      </c>
      <c r="K66" s="8">
        <v>3.7037037037037028E-2</v>
      </c>
      <c r="L66" s="6">
        <v>-1</v>
      </c>
      <c r="M66" s="8">
        <v>7.407407407407407E-2</v>
      </c>
      <c r="N66" s="8">
        <v>0</v>
      </c>
      <c r="O66" s="6">
        <v>-1</v>
      </c>
    </row>
    <row r="67" spans="1:15" x14ac:dyDescent="0.25">
      <c r="A67" s="7">
        <v>46166</v>
      </c>
      <c r="B67" s="6">
        <v>0</v>
      </c>
      <c r="C67" s="6">
        <v>5</v>
      </c>
      <c r="D67" s="6">
        <v>0</v>
      </c>
      <c r="E67" s="6">
        <v>1</v>
      </c>
      <c r="F67" s="6">
        <v>0</v>
      </c>
      <c r="G67" s="6">
        <v>0</v>
      </c>
      <c r="H67" s="6">
        <v>2</v>
      </c>
      <c r="I67" s="6">
        <v>0</v>
      </c>
      <c r="J67" s="8">
        <v>0.1851851851851852</v>
      </c>
      <c r="K67" s="8">
        <v>3.7037037037037028E-2</v>
      </c>
      <c r="L67" s="6">
        <v>-1</v>
      </c>
      <c r="M67" s="8">
        <v>7.407407407407407E-2</v>
      </c>
      <c r="N67" s="8">
        <v>0</v>
      </c>
      <c r="O67" s="6">
        <v>-1</v>
      </c>
    </row>
    <row r="68" spans="1:15" x14ac:dyDescent="0.25">
      <c r="A68" s="7">
        <v>46167</v>
      </c>
      <c r="B68" s="6">
        <v>0</v>
      </c>
      <c r="C68" s="6">
        <v>5</v>
      </c>
      <c r="D68" s="6">
        <v>0</v>
      </c>
      <c r="E68" s="6">
        <v>1</v>
      </c>
      <c r="F68" s="6">
        <v>2</v>
      </c>
      <c r="G68" s="6">
        <v>0</v>
      </c>
      <c r="H68" s="6">
        <v>4</v>
      </c>
      <c r="I68" s="6">
        <v>0</v>
      </c>
      <c r="J68" s="8">
        <v>0.1851851851851852</v>
      </c>
      <c r="K68" s="8">
        <v>3.7037037037037028E-2</v>
      </c>
      <c r="L68" s="6">
        <v>-1</v>
      </c>
      <c r="M68" s="8">
        <v>0.14814814814814811</v>
      </c>
      <c r="N68" s="8">
        <v>0</v>
      </c>
      <c r="O68" s="6">
        <v>-1</v>
      </c>
    </row>
    <row r="69" spans="1:15" x14ac:dyDescent="0.25">
      <c r="A69" s="7">
        <v>46168</v>
      </c>
      <c r="B69" s="6">
        <v>3</v>
      </c>
      <c r="C69" s="6">
        <v>8</v>
      </c>
      <c r="D69" s="6">
        <v>0</v>
      </c>
      <c r="E69" s="6">
        <v>1</v>
      </c>
      <c r="F69" s="6">
        <v>0</v>
      </c>
      <c r="G69" s="6">
        <v>0</v>
      </c>
      <c r="H69" s="6">
        <v>4</v>
      </c>
      <c r="I69" s="6">
        <v>0</v>
      </c>
      <c r="J69" s="8">
        <v>0.29629629629629628</v>
      </c>
      <c r="K69" s="8">
        <v>3.7037037037037028E-2</v>
      </c>
      <c r="L69" s="6">
        <v>-1</v>
      </c>
      <c r="M69" s="8">
        <v>0.14814814814814811</v>
      </c>
      <c r="N69" s="8">
        <v>0</v>
      </c>
      <c r="O69" s="6">
        <v>-1</v>
      </c>
    </row>
    <row r="70" spans="1:15" x14ac:dyDescent="0.25">
      <c r="A70" s="7">
        <v>46169</v>
      </c>
      <c r="B70" s="6">
        <v>3</v>
      </c>
      <c r="C70" s="6">
        <v>11</v>
      </c>
      <c r="D70" s="6">
        <v>0</v>
      </c>
      <c r="E70" s="6">
        <v>1</v>
      </c>
      <c r="F70" s="6">
        <v>0</v>
      </c>
      <c r="G70" s="6">
        <v>0</v>
      </c>
      <c r="H70" s="6">
        <v>4</v>
      </c>
      <c r="I70" s="6">
        <v>0</v>
      </c>
      <c r="J70" s="8">
        <v>0.40740740740740738</v>
      </c>
      <c r="K70" s="8">
        <v>3.7037037037037028E-2</v>
      </c>
      <c r="L70" s="6">
        <v>-1</v>
      </c>
      <c r="M70" s="8">
        <v>0.14814814814814811</v>
      </c>
      <c r="N70" s="8">
        <v>0</v>
      </c>
      <c r="O70" s="6">
        <v>-1</v>
      </c>
    </row>
    <row r="71" spans="1:15" x14ac:dyDescent="0.25">
      <c r="A71" s="7">
        <v>46170</v>
      </c>
      <c r="B71" s="6">
        <v>0</v>
      </c>
      <c r="C71" s="6">
        <v>11</v>
      </c>
      <c r="D71" s="6">
        <v>3</v>
      </c>
      <c r="E71" s="6">
        <v>4</v>
      </c>
      <c r="F71" s="6">
        <v>0</v>
      </c>
      <c r="G71" s="6">
        <v>0</v>
      </c>
      <c r="H71" s="6">
        <v>4</v>
      </c>
      <c r="I71" s="6">
        <v>0</v>
      </c>
      <c r="J71" s="8">
        <v>0.40740740740740738</v>
      </c>
      <c r="K71" s="8">
        <v>0.14814814814814811</v>
      </c>
      <c r="L71" s="6">
        <v>-1</v>
      </c>
      <c r="M71" s="8">
        <v>0.14814814814814811</v>
      </c>
      <c r="N71" s="8">
        <v>0</v>
      </c>
      <c r="O71" s="6">
        <v>-1</v>
      </c>
    </row>
    <row r="72" spans="1:15" x14ac:dyDescent="0.25">
      <c r="A72" s="7">
        <v>46171</v>
      </c>
      <c r="B72" s="6">
        <v>0</v>
      </c>
      <c r="C72" s="6">
        <v>11</v>
      </c>
      <c r="D72" s="6">
        <v>0</v>
      </c>
      <c r="E72" s="6">
        <v>4</v>
      </c>
      <c r="F72" s="6">
        <v>0</v>
      </c>
      <c r="G72" s="6">
        <v>0</v>
      </c>
      <c r="H72" s="6">
        <v>4</v>
      </c>
      <c r="I72" s="6">
        <v>0</v>
      </c>
      <c r="J72" s="8">
        <v>0.40740740740740738</v>
      </c>
      <c r="K72" s="8">
        <v>0.14814814814814811</v>
      </c>
      <c r="L72" s="6">
        <v>-1</v>
      </c>
      <c r="M72" s="8">
        <v>0.14814814814814811</v>
      </c>
      <c r="N72" s="8">
        <v>0</v>
      </c>
      <c r="O72" s="6">
        <v>-1</v>
      </c>
    </row>
    <row r="73" spans="1:15" x14ac:dyDescent="0.25">
      <c r="A73" s="7">
        <v>46172</v>
      </c>
      <c r="B73" s="6">
        <v>0</v>
      </c>
      <c r="C73" s="6">
        <v>11</v>
      </c>
      <c r="D73" s="6">
        <v>0</v>
      </c>
      <c r="E73" s="6">
        <v>4</v>
      </c>
      <c r="F73" s="6">
        <v>0</v>
      </c>
      <c r="G73" s="6">
        <v>0</v>
      </c>
      <c r="H73" s="6">
        <v>4</v>
      </c>
      <c r="I73" s="6">
        <v>0</v>
      </c>
      <c r="J73" s="8">
        <v>0.40740740740740738</v>
      </c>
      <c r="K73" s="8">
        <v>0.14814814814814811</v>
      </c>
      <c r="L73" s="6">
        <v>-1</v>
      </c>
      <c r="M73" s="8">
        <v>0.14814814814814811</v>
      </c>
      <c r="N73" s="8">
        <v>0</v>
      </c>
      <c r="O73" s="6">
        <v>-1</v>
      </c>
    </row>
    <row r="74" spans="1:15" x14ac:dyDescent="0.25">
      <c r="A74" s="7">
        <v>46173</v>
      </c>
      <c r="B74" s="6">
        <v>0</v>
      </c>
      <c r="C74" s="6">
        <v>11</v>
      </c>
      <c r="D74" s="6">
        <v>0</v>
      </c>
      <c r="E74" s="6">
        <v>4</v>
      </c>
      <c r="F74" s="6">
        <v>0</v>
      </c>
      <c r="G74" s="6">
        <v>0</v>
      </c>
      <c r="H74" s="6">
        <v>4</v>
      </c>
      <c r="I74" s="6">
        <v>0</v>
      </c>
      <c r="J74" s="8">
        <v>0.40740740740740738</v>
      </c>
      <c r="K74" s="8">
        <v>0.14814814814814811</v>
      </c>
      <c r="L74" s="6">
        <v>-1</v>
      </c>
      <c r="M74" s="8">
        <v>0.14814814814814811</v>
      </c>
      <c r="N74" s="8">
        <v>0</v>
      </c>
      <c r="O74" s="6">
        <v>-1</v>
      </c>
    </row>
    <row r="75" spans="1:15" x14ac:dyDescent="0.25">
      <c r="A75" s="7">
        <v>46174</v>
      </c>
      <c r="B75" s="6">
        <v>1</v>
      </c>
      <c r="C75" s="6">
        <v>12</v>
      </c>
      <c r="D75" s="6">
        <v>0</v>
      </c>
      <c r="E75" s="6">
        <v>4</v>
      </c>
      <c r="F75" s="6">
        <v>3</v>
      </c>
      <c r="G75" s="6">
        <v>0</v>
      </c>
      <c r="H75" s="6">
        <v>7</v>
      </c>
      <c r="I75" s="6">
        <v>0</v>
      </c>
      <c r="J75" s="8">
        <v>0.44444444444444442</v>
      </c>
      <c r="K75" s="8">
        <v>0.14814814814814811</v>
      </c>
      <c r="L75" s="6">
        <v>-1</v>
      </c>
      <c r="M75" s="8">
        <v>0.25925925925925919</v>
      </c>
      <c r="N75" s="8">
        <v>0</v>
      </c>
      <c r="O75" s="6">
        <v>-1</v>
      </c>
    </row>
    <row r="76" spans="1:15" x14ac:dyDescent="0.25">
      <c r="A76" s="7">
        <v>46175</v>
      </c>
      <c r="B76" s="6">
        <v>0</v>
      </c>
      <c r="C76" s="6">
        <v>12</v>
      </c>
      <c r="D76" s="6">
        <v>1</v>
      </c>
      <c r="E76" s="6">
        <v>5</v>
      </c>
      <c r="F76" s="6">
        <v>3</v>
      </c>
      <c r="G76" s="6">
        <v>0</v>
      </c>
      <c r="H76" s="6">
        <v>10</v>
      </c>
      <c r="I76" s="6">
        <v>0</v>
      </c>
      <c r="J76" s="8">
        <v>0.44444444444444442</v>
      </c>
      <c r="K76" s="8">
        <v>0.1851851851851852</v>
      </c>
      <c r="L76" s="6">
        <v>-1</v>
      </c>
      <c r="M76" s="8">
        <v>0.37037037037037029</v>
      </c>
      <c r="N76" s="8">
        <v>0</v>
      </c>
      <c r="O76" s="6">
        <v>-1</v>
      </c>
    </row>
    <row r="77" spans="1:15" x14ac:dyDescent="0.25">
      <c r="A77" s="7">
        <v>46176</v>
      </c>
      <c r="B77" s="6">
        <v>0</v>
      </c>
      <c r="C77" s="6">
        <v>12</v>
      </c>
      <c r="D77" s="6">
        <v>1</v>
      </c>
      <c r="E77" s="6">
        <v>6</v>
      </c>
      <c r="F77" s="6">
        <v>0</v>
      </c>
      <c r="G77" s="6">
        <v>0</v>
      </c>
      <c r="H77" s="6">
        <v>10</v>
      </c>
      <c r="I77" s="6">
        <v>0</v>
      </c>
      <c r="J77" s="8">
        <v>0.44444444444444442</v>
      </c>
      <c r="K77" s="8">
        <v>0.22222222222222221</v>
      </c>
      <c r="L77" s="6">
        <v>-1</v>
      </c>
      <c r="M77" s="8">
        <v>0.37037037037037029</v>
      </c>
      <c r="N77" s="8">
        <v>0</v>
      </c>
      <c r="O77" s="6">
        <v>-1</v>
      </c>
    </row>
    <row r="78" spans="1:15" x14ac:dyDescent="0.25">
      <c r="A78" s="7">
        <v>46177</v>
      </c>
      <c r="B78" s="6">
        <v>2</v>
      </c>
      <c r="C78" s="6">
        <v>14</v>
      </c>
      <c r="D78" s="6">
        <v>0</v>
      </c>
      <c r="E78" s="6">
        <v>6</v>
      </c>
      <c r="F78" s="6">
        <v>0</v>
      </c>
      <c r="G78" s="6">
        <v>0</v>
      </c>
      <c r="H78" s="6">
        <v>10</v>
      </c>
      <c r="I78" s="6">
        <v>0</v>
      </c>
      <c r="J78" s="8">
        <v>0.51851851851851849</v>
      </c>
      <c r="K78" s="8">
        <v>0.22222222222222221</v>
      </c>
      <c r="L78" s="6">
        <v>-1</v>
      </c>
      <c r="M78" s="8">
        <v>0.37037037037037029</v>
      </c>
      <c r="N78" s="8">
        <v>0</v>
      </c>
      <c r="O78" s="6">
        <v>-1</v>
      </c>
    </row>
    <row r="79" spans="1:15" x14ac:dyDescent="0.25">
      <c r="A79" s="7">
        <v>46178</v>
      </c>
      <c r="B79" s="6">
        <v>0</v>
      </c>
      <c r="C79" s="6">
        <v>14</v>
      </c>
      <c r="D79" s="6">
        <v>1</v>
      </c>
      <c r="E79" s="6">
        <v>7</v>
      </c>
      <c r="F79" s="6">
        <v>1</v>
      </c>
      <c r="G79" s="6">
        <v>0</v>
      </c>
      <c r="H79" s="6">
        <v>11</v>
      </c>
      <c r="I79" s="6">
        <v>0</v>
      </c>
      <c r="J79" s="8">
        <v>0.51851851851851849</v>
      </c>
      <c r="K79" s="8">
        <v>0.25925925925925919</v>
      </c>
      <c r="L79" s="6">
        <v>-1</v>
      </c>
      <c r="M79" s="8">
        <v>0.40740740740740738</v>
      </c>
      <c r="N79" s="8">
        <v>0</v>
      </c>
      <c r="O79" s="6">
        <v>-1</v>
      </c>
    </row>
    <row r="80" spans="1:15" x14ac:dyDescent="0.25">
      <c r="A80" s="7">
        <v>46179</v>
      </c>
      <c r="B80" s="6">
        <v>0</v>
      </c>
      <c r="C80" s="6">
        <v>14</v>
      </c>
      <c r="D80" s="6">
        <v>0</v>
      </c>
      <c r="E80" s="6">
        <v>7</v>
      </c>
      <c r="F80" s="6">
        <v>0</v>
      </c>
      <c r="G80" s="6">
        <v>0</v>
      </c>
      <c r="H80" s="6">
        <v>11</v>
      </c>
      <c r="I80" s="6">
        <v>0</v>
      </c>
      <c r="J80" s="8">
        <v>0.51851851851851849</v>
      </c>
      <c r="K80" s="8">
        <v>0.25925925925925919</v>
      </c>
      <c r="L80" s="6">
        <v>-1</v>
      </c>
      <c r="M80" s="8">
        <v>0.40740740740740738</v>
      </c>
      <c r="N80" s="8">
        <v>0</v>
      </c>
      <c r="O80" s="6">
        <v>-1</v>
      </c>
    </row>
    <row r="81" spans="1:15" x14ac:dyDescent="0.25">
      <c r="A81" s="7">
        <v>46180</v>
      </c>
      <c r="B81" s="6">
        <v>0</v>
      </c>
      <c r="C81" s="6">
        <v>14</v>
      </c>
      <c r="D81" s="6">
        <v>0</v>
      </c>
      <c r="E81" s="6">
        <v>7</v>
      </c>
      <c r="F81" s="6">
        <v>0</v>
      </c>
      <c r="G81" s="6">
        <v>0</v>
      </c>
      <c r="H81" s="6">
        <v>11</v>
      </c>
      <c r="I81" s="6">
        <v>0</v>
      </c>
      <c r="J81" s="8">
        <v>0.51851851851851849</v>
      </c>
      <c r="K81" s="8">
        <v>0.25925925925925919</v>
      </c>
      <c r="L81" s="6">
        <v>-1</v>
      </c>
      <c r="M81" s="8">
        <v>0.40740740740740738</v>
      </c>
      <c r="N81" s="8">
        <v>0</v>
      </c>
      <c r="O81" s="6">
        <v>-1</v>
      </c>
    </row>
    <row r="82" spans="1:15" x14ac:dyDescent="0.25">
      <c r="A82" s="7">
        <v>46181</v>
      </c>
      <c r="B82" s="6">
        <v>0</v>
      </c>
      <c r="C82" s="6">
        <v>14</v>
      </c>
      <c r="D82" s="6">
        <v>0</v>
      </c>
      <c r="E82" s="6">
        <v>7</v>
      </c>
      <c r="F82" s="6">
        <v>0</v>
      </c>
      <c r="G82" s="6">
        <v>0</v>
      </c>
      <c r="H82" s="6">
        <v>11</v>
      </c>
      <c r="I82" s="6">
        <v>0</v>
      </c>
      <c r="J82" s="8">
        <v>0.51851851851851849</v>
      </c>
      <c r="K82" s="8">
        <v>0.25925925925925919</v>
      </c>
      <c r="L82" s="6">
        <v>-1</v>
      </c>
      <c r="M82" s="8">
        <v>0.40740740740740738</v>
      </c>
      <c r="N82" s="8">
        <v>0</v>
      </c>
      <c r="O82" s="6">
        <v>-1</v>
      </c>
    </row>
    <row r="83" spans="1:15" x14ac:dyDescent="0.25">
      <c r="A83" s="7">
        <v>46182</v>
      </c>
      <c r="B83" s="6">
        <v>0</v>
      </c>
      <c r="C83" s="6">
        <v>14</v>
      </c>
      <c r="D83" s="6">
        <v>0</v>
      </c>
      <c r="E83" s="6">
        <v>7</v>
      </c>
      <c r="F83" s="6">
        <v>0</v>
      </c>
      <c r="G83" s="6">
        <v>0</v>
      </c>
      <c r="H83" s="6">
        <v>11</v>
      </c>
      <c r="I83" s="6">
        <v>0</v>
      </c>
      <c r="J83" s="8">
        <v>0.51851851851851849</v>
      </c>
      <c r="K83" s="8">
        <v>0.25925925925925919</v>
      </c>
      <c r="L83" s="6">
        <v>-1</v>
      </c>
      <c r="M83" s="8">
        <v>0.40740740740740738</v>
      </c>
      <c r="N83" s="8">
        <v>0</v>
      </c>
      <c r="O83" s="6">
        <v>-1</v>
      </c>
    </row>
    <row r="84" spans="1:15" x14ac:dyDescent="0.25">
      <c r="A84" s="7">
        <v>46183</v>
      </c>
      <c r="B84" s="6">
        <v>0</v>
      </c>
      <c r="C84" s="6">
        <v>14</v>
      </c>
      <c r="D84" s="6">
        <v>0</v>
      </c>
      <c r="E84" s="6">
        <v>7</v>
      </c>
      <c r="F84" s="6">
        <v>2</v>
      </c>
      <c r="G84" s="6">
        <v>0</v>
      </c>
      <c r="H84" s="6">
        <v>13</v>
      </c>
      <c r="I84" s="6">
        <v>0</v>
      </c>
      <c r="J84" s="8">
        <v>0.51851851851851849</v>
      </c>
      <c r="K84" s="8">
        <v>0.25925925925925919</v>
      </c>
      <c r="L84" s="6">
        <v>-1</v>
      </c>
      <c r="M84" s="8">
        <v>0.48148148148148151</v>
      </c>
      <c r="N84" s="8">
        <v>0</v>
      </c>
      <c r="O84" s="6">
        <v>-1</v>
      </c>
    </row>
    <row r="85" spans="1:15" x14ac:dyDescent="0.25">
      <c r="A85" s="7">
        <v>46184</v>
      </c>
      <c r="B85" s="6">
        <v>0</v>
      </c>
      <c r="C85" s="6">
        <v>14</v>
      </c>
      <c r="D85" s="6">
        <v>0</v>
      </c>
      <c r="E85" s="6">
        <v>7</v>
      </c>
      <c r="F85" s="6">
        <v>0</v>
      </c>
      <c r="G85" s="6">
        <v>0</v>
      </c>
      <c r="H85" s="6">
        <v>13</v>
      </c>
      <c r="I85" s="6">
        <v>0</v>
      </c>
      <c r="J85" s="8">
        <v>0.51851851851851849</v>
      </c>
      <c r="K85" s="8">
        <v>0.25925925925925919</v>
      </c>
      <c r="L85" s="6">
        <v>-1</v>
      </c>
      <c r="M85" s="8">
        <v>0.48148148148148151</v>
      </c>
      <c r="N85" s="8">
        <v>0</v>
      </c>
      <c r="O85" s="6">
        <v>-1</v>
      </c>
    </row>
    <row r="86" spans="1:15" x14ac:dyDescent="0.25">
      <c r="A86" s="7">
        <v>46185</v>
      </c>
      <c r="B86" s="6">
        <v>0</v>
      </c>
      <c r="C86" s="6">
        <v>14</v>
      </c>
      <c r="D86" s="6">
        <v>1</v>
      </c>
      <c r="E86" s="6">
        <v>8</v>
      </c>
      <c r="F86" s="6">
        <v>0</v>
      </c>
      <c r="G86" s="6">
        <v>0</v>
      </c>
      <c r="H86" s="6">
        <v>13</v>
      </c>
      <c r="I86" s="6">
        <v>0</v>
      </c>
      <c r="J86" s="8">
        <v>0.51851851851851849</v>
      </c>
      <c r="K86" s="8">
        <v>0.29629629629629628</v>
      </c>
      <c r="L86" s="6">
        <v>-1</v>
      </c>
      <c r="M86" s="8">
        <v>0.48148148148148151</v>
      </c>
      <c r="N86" s="8">
        <v>0</v>
      </c>
      <c r="O86" s="6">
        <v>-1</v>
      </c>
    </row>
    <row r="87" spans="1:15" x14ac:dyDescent="0.25">
      <c r="A87" s="7">
        <v>46186</v>
      </c>
      <c r="B87" s="6">
        <v>0</v>
      </c>
      <c r="C87" s="6">
        <v>14</v>
      </c>
      <c r="D87" s="6">
        <v>0</v>
      </c>
      <c r="E87" s="6">
        <v>8</v>
      </c>
      <c r="F87" s="6">
        <v>0</v>
      </c>
      <c r="G87" s="6">
        <v>0</v>
      </c>
      <c r="H87" s="6">
        <v>13</v>
      </c>
      <c r="I87" s="6">
        <v>0</v>
      </c>
      <c r="J87" s="8">
        <v>0.51851851851851849</v>
      </c>
      <c r="K87" s="8">
        <v>0.29629629629629628</v>
      </c>
      <c r="L87" s="6">
        <v>-1</v>
      </c>
      <c r="M87" s="8">
        <v>0.48148148148148151</v>
      </c>
      <c r="N87" s="8">
        <v>0</v>
      </c>
      <c r="O87" s="6">
        <v>-1</v>
      </c>
    </row>
    <row r="88" spans="1:15" x14ac:dyDescent="0.25">
      <c r="A88" s="7">
        <v>46187</v>
      </c>
      <c r="B88" s="6">
        <v>0</v>
      </c>
      <c r="C88" s="6">
        <v>14</v>
      </c>
      <c r="D88" s="6">
        <v>0</v>
      </c>
      <c r="E88" s="6">
        <v>8</v>
      </c>
      <c r="F88" s="6">
        <v>0</v>
      </c>
      <c r="G88" s="6">
        <v>0</v>
      </c>
      <c r="H88" s="6">
        <v>13</v>
      </c>
      <c r="I88" s="6">
        <v>0</v>
      </c>
      <c r="J88" s="8">
        <v>0.51851851851851849</v>
      </c>
      <c r="K88" s="8">
        <v>0.29629629629629628</v>
      </c>
      <c r="L88" s="6">
        <v>-1</v>
      </c>
      <c r="M88" s="8">
        <v>0.48148148148148151</v>
      </c>
      <c r="N88" s="8">
        <v>0</v>
      </c>
      <c r="O88" s="6">
        <v>-1</v>
      </c>
    </row>
    <row r="89" spans="1:15" x14ac:dyDescent="0.25">
      <c r="A89" s="7">
        <v>46188</v>
      </c>
      <c r="B89" s="6">
        <v>6</v>
      </c>
      <c r="C89" s="6">
        <v>20</v>
      </c>
      <c r="D89" s="6">
        <v>1</v>
      </c>
      <c r="E89" s="6">
        <v>9</v>
      </c>
      <c r="F89" s="6">
        <v>0</v>
      </c>
      <c r="G89" s="6">
        <v>0</v>
      </c>
      <c r="H89" s="6">
        <v>13</v>
      </c>
      <c r="I89" s="6">
        <v>0</v>
      </c>
      <c r="J89" s="8">
        <v>0.7407407407407407</v>
      </c>
      <c r="K89" s="8">
        <v>0.33333333333333331</v>
      </c>
      <c r="L89" s="6">
        <v>-1</v>
      </c>
      <c r="M89" s="8">
        <v>0.48148148148148151</v>
      </c>
      <c r="N89" s="8">
        <v>0</v>
      </c>
      <c r="O89" s="6">
        <v>-1</v>
      </c>
    </row>
    <row r="90" spans="1:15" x14ac:dyDescent="0.25">
      <c r="A90" s="7">
        <v>46189</v>
      </c>
      <c r="B90" s="6">
        <v>0</v>
      </c>
      <c r="C90" s="6">
        <v>20</v>
      </c>
      <c r="D90" s="6">
        <v>0</v>
      </c>
      <c r="E90" s="6">
        <v>9</v>
      </c>
      <c r="F90" s="6">
        <v>1</v>
      </c>
      <c r="G90" s="6">
        <v>0</v>
      </c>
      <c r="H90" s="6">
        <v>14</v>
      </c>
      <c r="I90" s="6">
        <v>0</v>
      </c>
      <c r="J90" s="8">
        <v>0.7407407407407407</v>
      </c>
      <c r="K90" s="8">
        <v>0.33333333333333331</v>
      </c>
      <c r="L90" s="6">
        <v>-1</v>
      </c>
      <c r="M90" s="8">
        <v>0.51851851851851849</v>
      </c>
      <c r="N90" s="8">
        <v>0</v>
      </c>
      <c r="O90" s="6">
        <v>-1</v>
      </c>
    </row>
    <row r="91" spans="1:15" x14ac:dyDescent="0.25">
      <c r="A91" s="7">
        <v>46190</v>
      </c>
      <c r="B91" s="6">
        <v>0</v>
      </c>
      <c r="C91" s="6">
        <v>20</v>
      </c>
      <c r="D91" s="6">
        <v>0</v>
      </c>
      <c r="E91" s="6">
        <v>9</v>
      </c>
      <c r="F91" s="6">
        <v>0</v>
      </c>
      <c r="G91" s="6">
        <v>0</v>
      </c>
      <c r="H91" s="6">
        <v>14</v>
      </c>
      <c r="I91" s="6">
        <v>0</v>
      </c>
      <c r="J91" s="8">
        <v>0.7407407407407407</v>
      </c>
      <c r="K91" s="8">
        <v>0.33333333333333331</v>
      </c>
      <c r="L91" s="6">
        <v>-1</v>
      </c>
      <c r="M91" s="8">
        <v>0.51851851851851849</v>
      </c>
      <c r="N91" s="8">
        <v>0</v>
      </c>
      <c r="O91" s="6">
        <v>-1</v>
      </c>
    </row>
    <row r="92" spans="1:15" x14ac:dyDescent="0.25">
      <c r="A92" s="7">
        <v>46191</v>
      </c>
      <c r="B92" s="6">
        <v>0</v>
      </c>
      <c r="C92" s="6">
        <v>20</v>
      </c>
      <c r="D92" s="6">
        <v>0</v>
      </c>
      <c r="E92" s="6">
        <v>9</v>
      </c>
      <c r="F92" s="6">
        <v>0</v>
      </c>
      <c r="G92" s="6">
        <v>1</v>
      </c>
      <c r="H92" s="6">
        <v>14</v>
      </c>
      <c r="I92" s="6">
        <v>1</v>
      </c>
      <c r="J92" s="8">
        <v>0.7407407407407407</v>
      </c>
      <c r="K92" s="8">
        <v>0.33333333333333331</v>
      </c>
      <c r="L92" s="6">
        <v>-1</v>
      </c>
      <c r="M92" s="8">
        <v>0.51851851851851849</v>
      </c>
      <c r="N92" s="8">
        <v>3.7037037037037028E-2</v>
      </c>
      <c r="O92" s="6">
        <v>-1</v>
      </c>
    </row>
    <row r="93" spans="1:15" x14ac:dyDescent="0.25">
      <c r="A93" s="7">
        <v>46192</v>
      </c>
      <c r="B93" s="6">
        <v>3</v>
      </c>
      <c r="C93" s="6">
        <v>23</v>
      </c>
      <c r="D93" s="6">
        <v>0</v>
      </c>
      <c r="E93" s="6">
        <v>9</v>
      </c>
      <c r="F93" s="6">
        <v>6</v>
      </c>
      <c r="G93" s="6">
        <v>0</v>
      </c>
      <c r="H93" s="6">
        <v>20</v>
      </c>
      <c r="I93" s="6">
        <v>1</v>
      </c>
      <c r="J93" s="8">
        <v>0.85185185185185186</v>
      </c>
      <c r="K93" s="8">
        <v>0.33333333333333331</v>
      </c>
      <c r="L93" s="6">
        <v>-1</v>
      </c>
      <c r="M93" s="8">
        <v>0.7407407407407407</v>
      </c>
      <c r="N93" s="8">
        <v>3.7037037037037028E-2</v>
      </c>
      <c r="O93" s="6">
        <v>-1</v>
      </c>
    </row>
    <row r="94" spans="1:15" x14ac:dyDescent="0.25">
      <c r="A94" s="7">
        <v>46193</v>
      </c>
      <c r="B94" s="6">
        <v>0</v>
      </c>
      <c r="C94" s="6">
        <v>23</v>
      </c>
      <c r="D94" s="6">
        <v>0</v>
      </c>
      <c r="E94" s="6">
        <v>9</v>
      </c>
      <c r="F94" s="6">
        <v>0</v>
      </c>
      <c r="G94" s="6">
        <v>0</v>
      </c>
      <c r="H94" s="6">
        <v>20</v>
      </c>
      <c r="I94" s="6">
        <v>1</v>
      </c>
      <c r="J94" s="8">
        <v>0.85185185185185186</v>
      </c>
      <c r="K94" s="8">
        <v>0.33333333333333331</v>
      </c>
      <c r="L94" s="6">
        <v>-1</v>
      </c>
      <c r="M94" s="8">
        <v>0.7407407407407407</v>
      </c>
      <c r="N94" s="8">
        <v>3.7037037037037028E-2</v>
      </c>
      <c r="O94" s="6">
        <v>-1</v>
      </c>
    </row>
    <row r="95" spans="1:15" x14ac:dyDescent="0.25">
      <c r="A95" s="7">
        <v>46194</v>
      </c>
      <c r="B95" s="6">
        <v>0</v>
      </c>
      <c r="C95" s="6">
        <v>23</v>
      </c>
      <c r="D95" s="6">
        <v>0</v>
      </c>
      <c r="E95" s="6">
        <v>9</v>
      </c>
      <c r="F95" s="6">
        <v>0</v>
      </c>
      <c r="G95" s="6">
        <v>0</v>
      </c>
      <c r="H95" s="6">
        <v>20</v>
      </c>
      <c r="I95" s="6">
        <v>1</v>
      </c>
      <c r="J95" s="8">
        <v>0.85185185185185186</v>
      </c>
      <c r="K95" s="8">
        <v>0.33333333333333331</v>
      </c>
      <c r="L95" s="6">
        <v>-1</v>
      </c>
      <c r="M95" s="8">
        <v>0.7407407407407407</v>
      </c>
      <c r="N95" s="8">
        <v>3.7037037037037028E-2</v>
      </c>
      <c r="O95" s="6">
        <v>-1</v>
      </c>
    </row>
    <row r="96" spans="1:15" x14ac:dyDescent="0.25">
      <c r="A96" s="7">
        <v>46195</v>
      </c>
      <c r="B96" s="6">
        <v>1</v>
      </c>
      <c r="C96" s="6">
        <v>24</v>
      </c>
      <c r="D96" s="6">
        <v>0</v>
      </c>
      <c r="E96" s="6">
        <v>9</v>
      </c>
      <c r="F96" s="6">
        <v>0</v>
      </c>
      <c r="G96" s="6">
        <v>0</v>
      </c>
      <c r="H96" s="6">
        <v>20</v>
      </c>
      <c r="I96" s="6">
        <v>1</v>
      </c>
      <c r="J96" s="8">
        <v>0.88888888888888884</v>
      </c>
      <c r="K96" s="8">
        <v>0.33333333333333331</v>
      </c>
      <c r="L96" s="6">
        <v>-1</v>
      </c>
      <c r="M96" s="8">
        <v>0.7407407407407407</v>
      </c>
      <c r="N96" s="8">
        <v>3.7037037037037028E-2</v>
      </c>
      <c r="O96" s="6">
        <v>-1</v>
      </c>
    </row>
    <row r="97" spans="1:15" x14ac:dyDescent="0.25">
      <c r="A97" s="7">
        <v>46196</v>
      </c>
      <c r="B97" s="6">
        <v>2</v>
      </c>
      <c r="C97" s="6">
        <v>26</v>
      </c>
      <c r="D97" s="6">
        <v>0</v>
      </c>
      <c r="E97" s="6">
        <v>9</v>
      </c>
      <c r="F97" s="6">
        <v>0</v>
      </c>
      <c r="G97" s="6">
        <v>0</v>
      </c>
      <c r="H97" s="6">
        <v>20</v>
      </c>
      <c r="I97" s="6">
        <v>1</v>
      </c>
      <c r="J97" s="8">
        <v>0.96296296296296291</v>
      </c>
      <c r="K97" s="8">
        <v>0.33333333333333331</v>
      </c>
      <c r="L97" s="6">
        <v>-1</v>
      </c>
      <c r="M97" s="8">
        <v>0.7407407407407407</v>
      </c>
      <c r="N97" s="8">
        <v>3.7037037037037028E-2</v>
      </c>
      <c r="O97" s="6">
        <v>-1</v>
      </c>
    </row>
    <row r="98" spans="1:15" x14ac:dyDescent="0.25">
      <c r="A98" s="7">
        <v>46197</v>
      </c>
      <c r="B98" s="6">
        <v>0</v>
      </c>
      <c r="C98" s="6">
        <v>26</v>
      </c>
      <c r="D98" s="6">
        <v>1</v>
      </c>
      <c r="E98" s="6">
        <v>10</v>
      </c>
      <c r="F98" s="6">
        <v>0</v>
      </c>
      <c r="G98" s="6">
        <v>0</v>
      </c>
      <c r="H98" s="6">
        <v>20</v>
      </c>
      <c r="I98" s="6">
        <v>1</v>
      </c>
      <c r="J98" s="8">
        <v>0.96296296296296291</v>
      </c>
      <c r="K98" s="8">
        <v>0.37037037037037029</v>
      </c>
      <c r="L98" s="6">
        <v>-1</v>
      </c>
      <c r="M98" s="8">
        <v>0.7407407407407407</v>
      </c>
      <c r="N98" s="8">
        <v>3.7037037037037028E-2</v>
      </c>
      <c r="O98" s="6">
        <v>-1</v>
      </c>
    </row>
    <row r="99" spans="1:15" x14ac:dyDescent="0.25">
      <c r="A99" s="7">
        <v>46198</v>
      </c>
      <c r="B99" s="6">
        <v>0</v>
      </c>
      <c r="C99" s="6">
        <v>26</v>
      </c>
      <c r="D99" s="6">
        <v>0</v>
      </c>
      <c r="E99" s="6">
        <v>10</v>
      </c>
      <c r="F99" s="6">
        <v>3</v>
      </c>
      <c r="G99" s="6">
        <v>0</v>
      </c>
      <c r="H99" s="6">
        <v>23</v>
      </c>
      <c r="I99" s="6">
        <v>1</v>
      </c>
      <c r="J99" s="8">
        <v>0.96296296296296291</v>
      </c>
      <c r="K99" s="8">
        <v>0.37037037037037029</v>
      </c>
      <c r="L99" s="6">
        <v>-1</v>
      </c>
      <c r="M99" s="8">
        <v>0.85185185185185186</v>
      </c>
      <c r="N99" s="8">
        <v>3.7037037037037028E-2</v>
      </c>
      <c r="O99" s="6">
        <v>-1</v>
      </c>
    </row>
    <row r="100" spans="1:15" x14ac:dyDescent="0.25">
      <c r="A100" s="7">
        <v>46199</v>
      </c>
      <c r="B100" s="6">
        <v>0</v>
      </c>
      <c r="C100" s="6">
        <v>26</v>
      </c>
      <c r="D100" s="6">
        <v>0</v>
      </c>
      <c r="E100" s="6">
        <v>10</v>
      </c>
      <c r="F100" s="6">
        <v>1</v>
      </c>
      <c r="G100" s="6">
        <v>0</v>
      </c>
      <c r="H100" s="6">
        <v>24</v>
      </c>
      <c r="I100" s="6">
        <v>1</v>
      </c>
      <c r="J100" s="8">
        <v>0.96296296296296291</v>
      </c>
      <c r="K100" s="8">
        <v>0.37037037037037029</v>
      </c>
      <c r="L100" s="6">
        <v>-1</v>
      </c>
      <c r="M100" s="8">
        <v>0.88888888888888884</v>
      </c>
      <c r="N100" s="8">
        <v>3.7037037037037028E-2</v>
      </c>
      <c r="O100" s="6">
        <v>-1</v>
      </c>
    </row>
    <row r="101" spans="1:15" x14ac:dyDescent="0.25">
      <c r="A101" s="7">
        <v>46200</v>
      </c>
      <c r="B101" s="6">
        <v>0</v>
      </c>
      <c r="C101" s="6">
        <v>26</v>
      </c>
      <c r="D101" s="6">
        <v>0</v>
      </c>
      <c r="E101" s="6">
        <v>10</v>
      </c>
      <c r="F101" s="6">
        <v>0</v>
      </c>
      <c r="G101" s="6">
        <v>0</v>
      </c>
      <c r="H101" s="6">
        <v>24</v>
      </c>
      <c r="I101" s="6">
        <v>1</v>
      </c>
      <c r="J101" s="8">
        <v>0.96296296296296291</v>
      </c>
      <c r="K101" s="8">
        <v>0.37037037037037029</v>
      </c>
      <c r="L101" s="6">
        <v>-1</v>
      </c>
      <c r="M101" s="8">
        <v>0.88888888888888884</v>
      </c>
      <c r="N101" s="8">
        <v>3.7037037037037028E-2</v>
      </c>
      <c r="O101" s="6">
        <v>-1</v>
      </c>
    </row>
    <row r="102" spans="1:15" x14ac:dyDescent="0.25">
      <c r="A102" s="7">
        <v>46201</v>
      </c>
      <c r="B102" s="6">
        <v>0</v>
      </c>
      <c r="C102" s="6">
        <v>26</v>
      </c>
      <c r="D102" s="6">
        <v>0</v>
      </c>
      <c r="E102" s="6">
        <v>10</v>
      </c>
      <c r="F102" s="6">
        <v>0</v>
      </c>
      <c r="G102" s="6">
        <v>0</v>
      </c>
      <c r="H102" s="6">
        <v>24</v>
      </c>
      <c r="I102" s="6">
        <v>1</v>
      </c>
      <c r="J102" s="8">
        <v>0.96296296296296291</v>
      </c>
      <c r="K102" s="8">
        <v>0.37037037037037029</v>
      </c>
      <c r="L102" s="6">
        <v>-1</v>
      </c>
      <c r="M102" s="8">
        <v>0.88888888888888884</v>
      </c>
      <c r="N102" s="8">
        <v>3.7037037037037028E-2</v>
      </c>
      <c r="O102" s="6">
        <v>-1</v>
      </c>
    </row>
    <row r="103" spans="1:15" x14ac:dyDescent="0.25">
      <c r="A103" s="7">
        <v>46202</v>
      </c>
      <c r="B103" s="6">
        <v>0</v>
      </c>
      <c r="C103" s="6">
        <v>26</v>
      </c>
      <c r="D103" s="6">
        <v>0</v>
      </c>
      <c r="E103" s="6">
        <v>10</v>
      </c>
      <c r="F103" s="6">
        <v>2</v>
      </c>
      <c r="G103" s="6">
        <v>0</v>
      </c>
      <c r="H103" s="6">
        <v>26</v>
      </c>
      <c r="I103" s="6">
        <v>1</v>
      </c>
      <c r="J103" s="8">
        <v>0.96296296296296291</v>
      </c>
      <c r="K103" s="8">
        <v>0.37037037037037029</v>
      </c>
      <c r="L103" s="6">
        <v>-1</v>
      </c>
      <c r="M103" s="8">
        <v>0.96296296296296291</v>
      </c>
      <c r="N103" s="8">
        <v>3.7037037037037028E-2</v>
      </c>
      <c r="O103" s="6">
        <v>-1</v>
      </c>
    </row>
    <row r="104" spans="1:15" x14ac:dyDescent="0.25">
      <c r="A104" s="7">
        <v>46203</v>
      </c>
      <c r="B104" s="6">
        <v>0</v>
      </c>
      <c r="C104" s="6">
        <v>26</v>
      </c>
      <c r="D104" s="6">
        <v>0</v>
      </c>
      <c r="E104" s="6">
        <v>10</v>
      </c>
      <c r="F104" s="6">
        <v>0</v>
      </c>
      <c r="G104" s="6">
        <v>0</v>
      </c>
      <c r="H104" s="6">
        <v>26</v>
      </c>
      <c r="I104" s="6">
        <v>1</v>
      </c>
      <c r="J104" s="8">
        <v>0.96296296296296291</v>
      </c>
      <c r="K104" s="8">
        <v>0.37037037037037029</v>
      </c>
      <c r="L104" s="6">
        <v>-1</v>
      </c>
      <c r="M104" s="8">
        <v>0.96296296296296291</v>
      </c>
      <c r="N104" s="8">
        <v>3.7037037037037028E-2</v>
      </c>
      <c r="O104" s="6">
        <v>-1</v>
      </c>
    </row>
    <row r="105" spans="1:15" x14ac:dyDescent="0.25">
      <c r="A105" s="7">
        <v>46204</v>
      </c>
      <c r="B105" s="6">
        <v>0</v>
      </c>
      <c r="C105" s="6">
        <v>26</v>
      </c>
      <c r="D105" s="6">
        <v>0</v>
      </c>
      <c r="E105" s="6">
        <v>10</v>
      </c>
      <c r="F105" s="6">
        <v>0</v>
      </c>
      <c r="G105" s="6">
        <v>0</v>
      </c>
      <c r="H105" s="6">
        <v>26</v>
      </c>
      <c r="I105" s="6">
        <v>1</v>
      </c>
      <c r="J105" s="8">
        <v>0.96296296296296291</v>
      </c>
      <c r="K105" s="8">
        <v>0.37037037037037029</v>
      </c>
      <c r="L105" s="6">
        <v>-1</v>
      </c>
      <c r="M105" s="8">
        <v>0.96296296296296291</v>
      </c>
      <c r="N105" s="8">
        <v>3.7037037037037028E-2</v>
      </c>
      <c r="O105" s="6">
        <v>-1</v>
      </c>
    </row>
    <row r="106" spans="1:15" x14ac:dyDescent="0.25">
      <c r="A106" s="7">
        <v>46205</v>
      </c>
      <c r="B106" s="6">
        <v>0</v>
      </c>
      <c r="C106" s="6">
        <v>26</v>
      </c>
      <c r="D106" s="6">
        <v>0</v>
      </c>
      <c r="E106" s="6">
        <v>10</v>
      </c>
      <c r="F106" s="6">
        <v>0</v>
      </c>
      <c r="G106" s="6">
        <v>0</v>
      </c>
      <c r="H106" s="6">
        <v>26</v>
      </c>
      <c r="I106" s="6">
        <v>1</v>
      </c>
      <c r="J106" s="8">
        <v>0.96296296296296291</v>
      </c>
      <c r="K106" s="8">
        <v>0.37037037037037029</v>
      </c>
      <c r="L106" s="6">
        <v>-1</v>
      </c>
      <c r="M106" s="8">
        <v>0.96296296296296291</v>
      </c>
      <c r="N106" s="8">
        <v>3.7037037037037028E-2</v>
      </c>
      <c r="O106" s="6">
        <v>-1</v>
      </c>
    </row>
    <row r="107" spans="1:15" x14ac:dyDescent="0.25">
      <c r="A107" s="7">
        <v>46206</v>
      </c>
      <c r="B107" s="6">
        <v>0</v>
      </c>
      <c r="C107" s="6">
        <v>26</v>
      </c>
      <c r="D107" s="6">
        <v>0</v>
      </c>
      <c r="E107" s="6">
        <v>10</v>
      </c>
      <c r="F107" s="6">
        <v>0</v>
      </c>
      <c r="G107" s="6">
        <v>0</v>
      </c>
      <c r="H107" s="6">
        <v>26</v>
      </c>
      <c r="I107" s="6">
        <v>1</v>
      </c>
      <c r="J107" s="8">
        <v>0.96296296296296291</v>
      </c>
      <c r="K107" s="8">
        <v>0.37037037037037029</v>
      </c>
      <c r="L107" s="6">
        <v>-1</v>
      </c>
      <c r="M107" s="8">
        <v>0.96296296296296291</v>
      </c>
      <c r="N107" s="8">
        <v>3.7037037037037028E-2</v>
      </c>
      <c r="O107" s="6">
        <v>-1</v>
      </c>
    </row>
    <row r="108" spans="1:15" x14ac:dyDescent="0.25">
      <c r="A108" s="7">
        <v>46207</v>
      </c>
      <c r="B108" s="6">
        <v>0</v>
      </c>
      <c r="C108" s="6">
        <v>26</v>
      </c>
      <c r="D108" s="6">
        <v>0</v>
      </c>
      <c r="E108" s="6">
        <v>10</v>
      </c>
      <c r="F108" s="6">
        <v>0</v>
      </c>
      <c r="G108" s="6">
        <v>0</v>
      </c>
      <c r="H108" s="6">
        <v>26</v>
      </c>
      <c r="I108" s="6">
        <v>1</v>
      </c>
      <c r="J108" s="8">
        <v>0.96296296296296291</v>
      </c>
      <c r="K108" s="8">
        <v>0.37037037037037029</v>
      </c>
      <c r="L108" s="6">
        <v>-1</v>
      </c>
      <c r="M108" s="8">
        <v>0.96296296296296291</v>
      </c>
      <c r="N108" s="8">
        <v>3.7037037037037028E-2</v>
      </c>
      <c r="O108" s="6">
        <v>-1</v>
      </c>
    </row>
    <row r="109" spans="1:15" x14ac:dyDescent="0.25">
      <c r="A109" s="7">
        <v>46208</v>
      </c>
      <c r="B109" s="6">
        <v>0</v>
      </c>
      <c r="C109" s="6">
        <v>26</v>
      </c>
      <c r="D109" s="6">
        <v>0</v>
      </c>
      <c r="E109" s="6">
        <v>10</v>
      </c>
      <c r="F109" s="6">
        <v>0</v>
      </c>
      <c r="G109" s="6">
        <v>0</v>
      </c>
      <c r="H109" s="6">
        <v>26</v>
      </c>
      <c r="I109" s="6">
        <v>1</v>
      </c>
      <c r="J109" s="8">
        <v>0.96296296296296291</v>
      </c>
      <c r="K109" s="8">
        <v>0.37037037037037029</v>
      </c>
      <c r="L109" s="6">
        <v>-1</v>
      </c>
      <c r="M109" s="8">
        <v>0.96296296296296291</v>
      </c>
      <c r="N109" s="8">
        <v>3.7037037037037028E-2</v>
      </c>
      <c r="O109" s="6">
        <v>-1</v>
      </c>
    </row>
    <row r="110" spans="1:15" x14ac:dyDescent="0.25">
      <c r="A110" s="9">
        <v>46209</v>
      </c>
      <c r="B110" s="10">
        <v>0</v>
      </c>
      <c r="C110" s="10">
        <v>26</v>
      </c>
      <c r="D110" s="10">
        <v>0</v>
      </c>
      <c r="E110" s="10">
        <v>10</v>
      </c>
      <c r="F110" s="10">
        <v>0</v>
      </c>
      <c r="G110" s="10">
        <v>0</v>
      </c>
      <c r="H110" s="10">
        <v>26</v>
      </c>
      <c r="I110" s="10">
        <v>1</v>
      </c>
      <c r="J110" s="11">
        <v>0.96296296296296291</v>
      </c>
      <c r="K110" s="11">
        <v>0.37037037037037029</v>
      </c>
      <c r="L110" s="10">
        <v>-1</v>
      </c>
      <c r="M110" s="11">
        <v>0.96296296296296291</v>
      </c>
      <c r="N110" s="11">
        <v>3.7037037037037028E-2</v>
      </c>
      <c r="O110" s="10">
        <v>-1</v>
      </c>
    </row>
    <row r="111" spans="1:15" x14ac:dyDescent="0.25">
      <c r="A111" s="7">
        <v>46210</v>
      </c>
      <c r="B111" s="6">
        <v>0</v>
      </c>
      <c r="C111" s="6">
        <v>26</v>
      </c>
      <c r="D111" s="6">
        <v>0</v>
      </c>
      <c r="F111" s="6">
        <v>0</v>
      </c>
      <c r="G111" s="6">
        <v>0</v>
      </c>
      <c r="H111" s="6">
        <v>26</v>
      </c>
      <c r="J111" s="8">
        <v>0.96296296296296291</v>
      </c>
      <c r="K111" s="8">
        <v>0.37037037037037029</v>
      </c>
      <c r="L111" s="6">
        <v>-1</v>
      </c>
      <c r="M111" s="8">
        <v>0.96296296296296291</v>
      </c>
      <c r="N111" s="8">
        <v>3.7037037037037028E-2</v>
      </c>
      <c r="O111" s="6">
        <v>-1</v>
      </c>
    </row>
    <row r="112" spans="1:15" x14ac:dyDescent="0.25">
      <c r="A112" s="7">
        <v>46211</v>
      </c>
      <c r="B112" s="6">
        <v>0</v>
      </c>
      <c r="C112" s="6">
        <v>26</v>
      </c>
      <c r="D112" s="6">
        <v>0</v>
      </c>
      <c r="F112" s="6">
        <v>0</v>
      </c>
      <c r="G112" s="6">
        <v>0</v>
      </c>
      <c r="H112" s="6">
        <v>26</v>
      </c>
      <c r="J112" s="8">
        <v>0.96296296296296291</v>
      </c>
      <c r="K112" s="8">
        <v>0.37037037037037029</v>
      </c>
      <c r="L112" s="6">
        <v>-1</v>
      </c>
      <c r="M112" s="8">
        <v>0.96296296296296291</v>
      </c>
      <c r="N112" s="8">
        <v>3.7037037037037028E-2</v>
      </c>
      <c r="O112" s="6">
        <v>-1</v>
      </c>
    </row>
    <row r="113" spans="1:15" x14ac:dyDescent="0.25">
      <c r="A113" s="7">
        <v>46212</v>
      </c>
      <c r="B113" s="6">
        <v>0</v>
      </c>
      <c r="C113" s="6">
        <v>26</v>
      </c>
      <c r="D113" s="6">
        <v>0</v>
      </c>
      <c r="F113" s="6">
        <v>0</v>
      </c>
      <c r="G113" s="6">
        <v>0</v>
      </c>
      <c r="H113" s="6">
        <v>26</v>
      </c>
      <c r="J113" s="8">
        <v>0.96296296296296291</v>
      </c>
      <c r="K113" s="8">
        <v>0.37037037037037029</v>
      </c>
      <c r="L113" s="6">
        <v>-1</v>
      </c>
      <c r="M113" s="8">
        <v>0.96296296296296291</v>
      </c>
      <c r="N113" s="8">
        <v>3.7037037037037028E-2</v>
      </c>
      <c r="O113" s="6">
        <v>-1</v>
      </c>
    </row>
    <row r="114" spans="1:15" x14ac:dyDescent="0.25">
      <c r="A114" s="7">
        <v>46213</v>
      </c>
      <c r="B114" s="6">
        <v>0</v>
      </c>
      <c r="C114" s="6">
        <v>26</v>
      </c>
      <c r="D114" s="6">
        <v>0</v>
      </c>
      <c r="F114" s="6">
        <v>0</v>
      </c>
      <c r="G114" s="6">
        <v>0</v>
      </c>
      <c r="H114" s="6">
        <v>26</v>
      </c>
      <c r="J114" s="8">
        <v>0.96296296296296291</v>
      </c>
      <c r="K114" s="8">
        <v>0.37037037037037029</v>
      </c>
      <c r="L114" s="6">
        <v>-1</v>
      </c>
      <c r="M114" s="8">
        <v>0.96296296296296291</v>
      </c>
      <c r="N114" s="8">
        <v>3.7037037037037028E-2</v>
      </c>
      <c r="O114" s="6">
        <v>-1</v>
      </c>
    </row>
    <row r="115" spans="1:15" x14ac:dyDescent="0.25">
      <c r="A115" s="7">
        <v>46214</v>
      </c>
      <c r="B115" s="6">
        <v>0</v>
      </c>
      <c r="C115" s="6">
        <v>26</v>
      </c>
      <c r="D115" s="6">
        <v>0</v>
      </c>
      <c r="F115" s="6">
        <v>0</v>
      </c>
      <c r="G115" s="6">
        <v>0</v>
      </c>
      <c r="H115" s="6">
        <v>26</v>
      </c>
      <c r="J115" s="8">
        <v>0.96296296296296291</v>
      </c>
      <c r="K115" s="8">
        <v>0.37037037037037029</v>
      </c>
      <c r="L115" s="6">
        <v>-1</v>
      </c>
      <c r="M115" s="8">
        <v>0.96296296296296291</v>
      </c>
      <c r="N115" s="8">
        <v>3.7037037037037028E-2</v>
      </c>
      <c r="O115" s="6">
        <v>-1</v>
      </c>
    </row>
    <row r="116" spans="1:15" x14ac:dyDescent="0.25">
      <c r="A116" s="7">
        <v>46215</v>
      </c>
      <c r="B116" s="6">
        <v>0</v>
      </c>
      <c r="C116" s="6">
        <v>26</v>
      </c>
      <c r="D116" s="6">
        <v>0</v>
      </c>
      <c r="F116" s="6">
        <v>0</v>
      </c>
      <c r="G116" s="6">
        <v>0</v>
      </c>
      <c r="H116" s="6">
        <v>26</v>
      </c>
      <c r="J116" s="8">
        <v>0.96296296296296291</v>
      </c>
      <c r="K116" s="8">
        <v>0.37037037037037029</v>
      </c>
      <c r="L116" s="6">
        <v>-1</v>
      </c>
      <c r="M116" s="8">
        <v>0.96296296296296291</v>
      </c>
      <c r="N116" s="8">
        <v>3.7037037037037028E-2</v>
      </c>
      <c r="O116" s="6">
        <v>-1</v>
      </c>
    </row>
    <row r="117" spans="1:15" x14ac:dyDescent="0.25">
      <c r="A117" s="7">
        <v>46216</v>
      </c>
      <c r="B117" s="6">
        <v>0</v>
      </c>
      <c r="C117" s="6">
        <v>26</v>
      </c>
      <c r="D117" s="6">
        <v>0</v>
      </c>
      <c r="F117" s="6">
        <v>0</v>
      </c>
      <c r="G117" s="6">
        <v>0</v>
      </c>
      <c r="H117" s="6">
        <v>26</v>
      </c>
      <c r="J117" s="8">
        <v>0.96296296296296291</v>
      </c>
      <c r="K117" s="8">
        <v>0.37037037037037029</v>
      </c>
      <c r="L117" s="6">
        <v>-1</v>
      </c>
      <c r="M117" s="8">
        <v>0.96296296296296291</v>
      </c>
      <c r="N117" s="8">
        <v>3.7037037037037028E-2</v>
      </c>
      <c r="O117" s="6">
        <v>-1</v>
      </c>
    </row>
    <row r="118" spans="1:15" x14ac:dyDescent="0.25">
      <c r="A118" s="7">
        <v>46217</v>
      </c>
      <c r="B118" s="6">
        <v>0</v>
      </c>
      <c r="C118" s="6">
        <v>26</v>
      </c>
      <c r="D118" s="6">
        <v>0</v>
      </c>
      <c r="F118" s="6">
        <v>0</v>
      </c>
      <c r="G118" s="6">
        <v>0</v>
      </c>
      <c r="H118" s="6">
        <v>26</v>
      </c>
      <c r="J118" s="8">
        <v>0.96296296296296291</v>
      </c>
      <c r="K118" s="8">
        <v>0.37037037037037029</v>
      </c>
      <c r="L118" s="6">
        <v>-1</v>
      </c>
      <c r="M118" s="8">
        <v>0.96296296296296291</v>
      </c>
      <c r="N118" s="8">
        <v>3.7037037037037028E-2</v>
      </c>
      <c r="O118" s="6">
        <v>-1</v>
      </c>
    </row>
    <row r="119" spans="1:15" x14ac:dyDescent="0.25">
      <c r="A119" s="7">
        <v>46218</v>
      </c>
      <c r="B119" s="6">
        <v>0</v>
      </c>
      <c r="C119" s="6">
        <v>26</v>
      </c>
      <c r="D119" s="6">
        <v>0</v>
      </c>
      <c r="F119" s="6">
        <v>0</v>
      </c>
      <c r="G119" s="6">
        <v>0</v>
      </c>
      <c r="H119" s="6">
        <v>26</v>
      </c>
      <c r="J119" s="8">
        <v>0.96296296296296291</v>
      </c>
      <c r="K119" s="8">
        <v>0.37037037037037029</v>
      </c>
      <c r="L119" s="6">
        <v>-1</v>
      </c>
      <c r="M119" s="8">
        <v>0.96296296296296291</v>
      </c>
      <c r="N119" s="8">
        <v>3.7037037037037028E-2</v>
      </c>
      <c r="O119" s="6">
        <v>-1</v>
      </c>
    </row>
    <row r="120" spans="1:15" x14ac:dyDescent="0.25">
      <c r="A120" s="7">
        <v>46219</v>
      </c>
      <c r="B120" s="6">
        <v>0</v>
      </c>
      <c r="C120" s="6">
        <v>26</v>
      </c>
      <c r="D120" s="6">
        <v>0</v>
      </c>
      <c r="F120" s="6">
        <v>0</v>
      </c>
      <c r="G120" s="6">
        <v>0</v>
      </c>
      <c r="H120" s="6">
        <v>26</v>
      </c>
      <c r="J120" s="8">
        <v>0.96296296296296291</v>
      </c>
      <c r="K120" s="8">
        <v>0.37037037037037029</v>
      </c>
      <c r="L120" s="6">
        <v>-1</v>
      </c>
      <c r="M120" s="8">
        <v>0.96296296296296291</v>
      </c>
      <c r="N120" s="8">
        <v>3.7037037037037028E-2</v>
      </c>
      <c r="O120" s="6">
        <v>-1</v>
      </c>
    </row>
    <row r="121" spans="1:15" x14ac:dyDescent="0.25">
      <c r="A121" s="7">
        <v>46220</v>
      </c>
      <c r="B121" s="6">
        <v>0</v>
      </c>
      <c r="C121" s="6">
        <v>26</v>
      </c>
      <c r="D121" s="6">
        <v>0</v>
      </c>
      <c r="F121" s="6">
        <v>0</v>
      </c>
      <c r="G121" s="6">
        <v>0</v>
      </c>
      <c r="H121" s="6">
        <v>26</v>
      </c>
      <c r="J121" s="8">
        <v>0.96296296296296291</v>
      </c>
      <c r="K121" s="8">
        <v>0.37037037037037029</v>
      </c>
      <c r="L121" s="6">
        <v>-1</v>
      </c>
      <c r="M121" s="8">
        <v>0.96296296296296291</v>
      </c>
      <c r="N121" s="8">
        <v>3.7037037037037028E-2</v>
      </c>
      <c r="O121" s="6">
        <v>-1</v>
      </c>
    </row>
    <row r="122" spans="1:15" x14ac:dyDescent="0.25">
      <c r="A122" s="7">
        <v>46221</v>
      </c>
      <c r="B122" s="6">
        <v>0</v>
      </c>
      <c r="C122" s="6">
        <v>26</v>
      </c>
      <c r="D122" s="6">
        <v>0</v>
      </c>
      <c r="F122" s="6">
        <v>0</v>
      </c>
      <c r="G122" s="6">
        <v>0</v>
      </c>
      <c r="H122" s="6">
        <v>26</v>
      </c>
      <c r="J122" s="8">
        <v>0.96296296296296291</v>
      </c>
      <c r="K122" s="8">
        <v>0.37037037037037029</v>
      </c>
      <c r="L122" s="6">
        <v>-1</v>
      </c>
      <c r="M122" s="8">
        <v>0.96296296296296291</v>
      </c>
      <c r="N122" s="8">
        <v>3.7037037037037028E-2</v>
      </c>
      <c r="O122" s="6">
        <v>-1</v>
      </c>
    </row>
    <row r="123" spans="1:15" x14ac:dyDescent="0.25">
      <c r="A123" s="7">
        <v>46222</v>
      </c>
      <c r="B123" s="6">
        <v>0</v>
      </c>
      <c r="C123" s="6">
        <v>26</v>
      </c>
      <c r="D123" s="6">
        <v>0</v>
      </c>
      <c r="F123" s="6">
        <v>0</v>
      </c>
      <c r="G123" s="6">
        <v>0</v>
      </c>
      <c r="H123" s="6">
        <v>26</v>
      </c>
      <c r="J123" s="8">
        <v>0.96296296296296291</v>
      </c>
      <c r="K123" s="8">
        <v>0.37037037037037029</v>
      </c>
      <c r="L123" s="6">
        <v>-1</v>
      </c>
      <c r="M123" s="8">
        <v>0.96296296296296291</v>
      </c>
      <c r="N123" s="8">
        <v>3.7037037037037028E-2</v>
      </c>
      <c r="O123" s="6">
        <v>-1</v>
      </c>
    </row>
    <row r="124" spans="1:15" x14ac:dyDescent="0.25">
      <c r="A124" s="7">
        <v>46223</v>
      </c>
      <c r="B124" s="6">
        <v>0</v>
      </c>
      <c r="C124" s="6">
        <v>26</v>
      </c>
      <c r="D124" s="6">
        <v>0</v>
      </c>
      <c r="F124" s="6">
        <v>0</v>
      </c>
      <c r="G124" s="6">
        <v>0</v>
      </c>
      <c r="H124" s="6">
        <v>26</v>
      </c>
      <c r="J124" s="8">
        <v>0.96296296296296291</v>
      </c>
      <c r="K124" s="8">
        <v>0.37037037037037029</v>
      </c>
      <c r="L124" s="6">
        <v>-1</v>
      </c>
      <c r="M124" s="8">
        <v>0.96296296296296291</v>
      </c>
      <c r="N124" s="8">
        <v>3.7037037037037028E-2</v>
      </c>
      <c r="O124" s="6">
        <v>-1</v>
      </c>
    </row>
    <row r="125" spans="1:15" x14ac:dyDescent="0.25">
      <c r="A125" s="7">
        <v>46224</v>
      </c>
      <c r="B125" s="6">
        <v>0</v>
      </c>
      <c r="C125" s="6">
        <v>26</v>
      </c>
      <c r="D125" s="6">
        <v>0</v>
      </c>
      <c r="F125" s="6">
        <v>0</v>
      </c>
      <c r="G125" s="6">
        <v>0</v>
      </c>
      <c r="H125" s="6">
        <v>26</v>
      </c>
      <c r="J125" s="8">
        <v>0.96296296296296291</v>
      </c>
      <c r="K125" s="8">
        <v>0.37037037037037029</v>
      </c>
      <c r="L125" s="6">
        <v>-1</v>
      </c>
      <c r="M125" s="8">
        <v>0.96296296296296291</v>
      </c>
      <c r="N125" s="8">
        <v>3.7037037037037028E-2</v>
      </c>
      <c r="O125" s="6">
        <v>-1</v>
      </c>
    </row>
    <row r="126" spans="1:15" x14ac:dyDescent="0.25">
      <c r="A126" s="7">
        <v>46225</v>
      </c>
      <c r="B126" s="6">
        <v>1</v>
      </c>
      <c r="C126" s="6">
        <v>27</v>
      </c>
      <c r="D126" s="6">
        <v>0</v>
      </c>
      <c r="F126" s="6">
        <v>0</v>
      </c>
      <c r="G126" s="6">
        <v>0</v>
      </c>
      <c r="H126" s="6">
        <v>26</v>
      </c>
      <c r="J126" s="8">
        <v>1</v>
      </c>
      <c r="K126" s="8">
        <v>0.37037037037037029</v>
      </c>
      <c r="L126" s="6">
        <v>-1</v>
      </c>
      <c r="M126" s="8">
        <v>0.96296296296296291</v>
      </c>
      <c r="N126" s="8">
        <v>3.7037037037037028E-2</v>
      </c>
      <c r="O126" s="6">
        <v>-1</v>
      </c>
    </row>
    <row r="127" spans="1:15" x14ac:dyDescent="0.25">
      <c r="A127" s="7">
        <v>46226</v>
      </c>
      <c r="B127" s="6">
        <v>0</v>
      </c>
      <c r="C127" s="6">
        <v>27</v>
      </c>
      <c r="D127" s="6">
        <v>0</v>
      </c>
      <c r="F127" s="6">
        <v>0</v>
      </c>
      <c r="G127" s="6">
        <v>0</v>
      </c>
      <c r="H127" s="6">
        <v>26</v>
      </c>
      <c r="J127" s="8">
        <v>1</v>
      </c>
      <c r="K127" s="8">
        <v>0.37037037037037029</v>
      </c>
      <c r="L127" s="6">
        <v>-1</v>
      </c>
      <c r="M127" s="8">
        <v>0.96296296296296291</v>
      </c>
      <c r="N127" s="8">
        <v>3.7037037037037028E-2</v>
      </c>
      <c r="O127" s="6">
        <v>-1</v>
      </c>
    </row>
    <row r="128" spans="1:15" x14ac:dyDescent="0.25">
      <c r="A128" s="7">
        <v>46227</v>
      </c>
      <c r="B128" s="6">
        <v>0</v>
      </c>
      <c r="C128" s="6">
        <v>27</v>
      </c>
      <c r="D128" s="6">
        <v>0</v>
      </c>
      <c r="F128" s="6">
        <v>0</v>
      </c>
      <c r="G128" s="6">
        <v>0</v>
      </c>
      <c r="H128" s="6">
        <v>26</v>
      </c>
      <c r="J128" s="8">
        <v>1</v>
      </c>
      <c r="K128" s="8">
        <v>0.37037037037037029</v>
      </c>
      <c r="L128" s="6">
        <v>-1</v>
      </c>
      <c r="M128" s="8">
        <v>0.96296296296296291</v>
      </c>
      <c r="N128" s="8">
        <v>3.7037037037037028E-2</v>
      </c>
      <c r="O128" s="6">
        <v>-1</v>
      </c>
    </row>
    <row r="129" spans="1:15" x14ac:dyDescent="0.25">
      <c r="A129" s="7">
        <v>46228</v>
      </c>
      <c r="B129" s="6">
        <v>0</v>
      </c>
      <c r="C129" s="6">
        <v>27</v>
      </c>
      <c r="D129" s="6">
        <v>0</v>
      </c>
      <c r="F129" s="6">
        <v>0</v>
      </c>
      <c r="G129" s="6">
        <v>0</v>
      </c>
      <c r="H129" s="6">
        <v>26</v>
      </c>
      <c r="J129" s="8">
        <v>1</v>
      </c>
      <c r="K129" s="8">
        <v>0.37037037037037029</v>
      </c>
      <c r="L129" s="6">
        <v>-1</v>
      </c>
      <c r="M129" s="8">
        <v>0.96296296296296291</v>
      </c>
      <c r="N129" s="8">
        <v>3.7037037037037028E-2</v>
      </c>
      <c r="O129" s="6">
        <v>-1</v>
      </c>
    </row>
    <row r="130" spans="1:15" x14ac:dyDescent="0.25">
      <c r="A130" s="7">
        <v>46229</v>
      </c>
      <c r="B130" s="6">
        <v>0</v>
      </c>
      <c r="C130" s="6">
        <v>27</v>
      </c>
      <c r="D130" s="6">
        <v>0</v>
      </c>
      <c r="F130" s="6">
        <v>0</v>
      </c>
      <c r="G130" s="6">
        <v>0</v>
      </c>
      <c r="H130" s="6">
        <v>26</v>
      </c>
      <c r="J130" s="8">
        <v>1</v>
      </c>
      <c r="K130" s="8">
        <v>0.37037037037037029</v>
      </c>
      <c r="L130" s="6">
        <v>-1</v>
      </c>
      <c r="M130" s="8">
        <v>0.96296296296296291</v>
      </c>
      <c r="N130" s="8">
        <v>3.7037037037037028E-2</v>
      </c>
      <c r="O130" s="6">
        <v>-1</v>
      </c>
    </row>
    <row r="131" spans="1:15" x14ac:dyDescent="0.25">
      <c r="A131" s="7">
        <v>46230</v>
      </c>
      <c r="B131" s="6">
        <v>0</v>
      </c>
      <c r="C131" s="6">
        <v>27</v>
      </c>
      <c r="D131" s="6">
        <v>0</v>
      </c>
      <c r="F131" s="6">
        <v>0</v>
      </c>
      <c r="G131" s="6">
        <v>0</v>
      </c>
      <c r="H131" s="6">
        <v>26</v>
      </c>
      <c r="J131" s="8">
        <v>1</v>
      </c>
      <c r="K131" s="8">
        <v>0.37037037037037029</v>
      </c>
      <c r="L131" s="6">
        <v>-1</v>
      </c>
      <c r="M131" s="8">
        <v>0.96296296296296291</v>
      </c>
      <c r="N131" s="8">
        <v>3.7037037037037028E-2</v>
      </c>
      <c r="O131" s="6">
        <v>-1</v>
      </c>
    </row>
    <row r="132" spans="1:15" x14ac:dyDescent="0.25">
      <c r="A132" s="7">
        <v>46231</v>
      </c>
      <c r="B132" s="6">
        <v>0</v>
      </c>
      <c r="C132" s="6">
        <v>27</v>
      </c>
      <c r="D132" s="6">
        <v>0</v>
      </c>
      <c r="F132" s="6">
        <v>1</v>
      </c>
      <c r="G132" s="6">
        <v>0</v>
      </c>
      <c r="H132" s="6">
        <v>27</v>
      </c>
      <c r="J132" s="8">
        <v>1</v>
      </c>
      <c r="K132" s="8">
        <v>0.37037037037037029</v>
      </c>
      <c r="L132" s="6">
        <v>-1</v>
      </c>
      <c r="M132" s="8">
        <v>1</v>
      </c>
      <c r="N132" s="8">
        <v>3.7037037037037028E-2</v>
      </c>
      <c r="O132" s="6">
        <v>-1</v>
      </c>
    </row>
    <row r="133" spans="1:15" x14ac:dyDescent="0.25">
      <c r="A133" s="7">
        <v>46232</v>
      </c>
      <c r="B133" s="6">
        <v>0</v>
      </c>
      <c r="C133" s="6">
        <v>27</v>
      </c>
      <c r="D133" s="6">
        <v>0</v>
      </c>
      <c r="F133" s="6">
        <v>0</v>
      </c>
      <c r="G133" s="6">
        <v>0</v>
      </c>
      <c r="H133" s="6">
        <v>27</v>
      </c>
      <c r="J133" s="8">
        <v>1</v>
      </c>
      <c r="K133" s="8">
        <v>0.37037037037037029</v>
      </c>
      <c r="L133" s="6">
        <v>-1</v>
      </c>
      <c r="M133" s="8">
        <v>1</v>
      </c>
      <c r="N133" s="8">
        <v>3.7037037037037028E-2</v>
      </c>
      <c r="O133" s="6">
        <v>-1</v>
      </c>
    </row>
    <row r="134" spans="1:15" x14ac:dyDescent="0.25">
      <c r="A134" s="7">
        <v>46233</v>
      </c>
      <c r="B134" s="6">
        <v>0</v>
      </c>
      <c r="C134" s="6">
        <v>27</v>
      </c>
      <c r="D134" s="6">
        <v>0</v>
      </c>
      <c r="F134" s="6">
        <v>0</v>
      </c>
      <c r="G134" s="6">
        <v>0</v>
      </c>
      <c r="H134" s="6">
        <v>27</v>
      </c>
      <c r="J134" s="8">
        <v>1</v>
      </c>
      <c r="K134" s="8">
        <v>0.37037037037037029</v>
      </c>
      <c r="L134" s="6">
        <v>-1</v>
      </c>
      <c r="M134" s="8">
        <v>1</v>
      </c>
      <c r="N134" s="8">
        <v>3.7037037037037028E-2</v>
      </c>
      <c r="O134" s="6">
        <v>-1</v>
      </c>
    </row>
    <row r="135" spans="1:15" x14ac:dyDescent="0.25">
      <c r="A135" s="7">
        <v>46234</v>
      </c>
      <c r="B135" s="6">
        <v>0</v>
      </c>
      <c r="C135" s="6">
        <v>27</v>
      </c>
      <c r="D135" s="6">
        <v>0</v>
      </c>
      <c r="F135" s="6">
        <v>0</v>
      </c>
      <c r="G135" s="6">
        <v>0</v>
      </c>
      <c r="H135" s="6">
        <v>27</v>
      </c>
      <c r="J135" s="8">
        <v>1</v>
      </c>
      <c r="K135" s="8">
        <v>0.37037037037037029</v>
      </c>
      <c r="L135" s="6">
        <v>-1</v>
      </c>
      <c r="M135" s="8">
        <v>1</v>
      </c>
      <c r="N135" s="8">
        <v>3.7037037037037028E-2</v>
      </c>
      <c r="O135" s="6">
        <v>-1</v>
      </c>
    </row>
    <row r="136" spans="1:15" x14ac:dyDescent="0.25">
      <c r="A136" s="7">
        <v>46235</v>
      </c>
      <c r="B136" s="6">
        <v>0</v>
      </c>
      <c r="C136" s="6">
        <v>27</v>
      </c>
      <c r="D136" s="6">
        <v>0</v>
      </c>
      <c r="F136" s="6">
        <v>0</v>
      </c>
      <c r="G136" s="6">
        <v>0</v>
      </c>
      <c r="H136" s="6">
        <v>27</v>
      </c>
      <c r="J136" s="8">
        <v>1</v>
      </c>
      <c r="K136" s="8">
        <v>0.37037037037037029</v>
      </c>
      <c r="L136" s="6">
        <v>-1</v>
      </c>
      <c r="M136" s="8">
        <v>1</v>
      </c>
      <c r="N136" s="8">
        <v>3.7037037037037028E-2</v>
      </c>
      <c r="O136" s="6">
        <v>-1</v>
      </c>
    </row>
    <row r="137" spans="1:15" x14ac:dyDescent="0.25">
      <c r="A137" s="7">
        <v>46236</v>
      </c>
      <c r="B137" s="6">
        <v>0</v>
      </c>
      <c r="C137" s="6">
        <v>27</v>
      </c>
      <c r="D137" s="6">
        <v>0</v>
      </c>
      <c r="F137" s="6">
        <v>0</v>
      </c>
      <c r="G137" s="6">
        <v>0</v>
      </c>
      <c r="H137" s="6">
        <v>27</v>
      </c>
      <c r="J137" s="8">
        <v>1</v>
      </c>
      <c r="K137" s="8">
        <v>0.37037037037037029</v>
      </c>
      <c r="L137" s="6">
        <v>-1</v>
      </c>
      <c r="M137" s="8">
        <v>1</v>
      </c>
      <c r="N137" s="8">
        <v>3.7037037037037028E-2</v>
      </c>
      <c r="O137" s="6">
        <v>-1</v>
      </c>
    </row>
    <row r="138" spans="1:15" x14ac:dyDescent="0.25">
      <c r="A138" s="7">
        <v>46237</v>
      </c>
      <c r="B138" s="6">
        <v>0</v>
      </c>
      <c r="C138" s="6">
        <v>27</v>
      </c>
      <c r="D138" s="6">
        <v>0</v>
      </c>
      <c r="F138" s="6">
        <v>0</v>
      </c>
      <c r="G138" s="6">
        <v>0</v>
      </c>
      <c r="H138" s="6">
        <v>27</v>
      </c>
      <c r="J138" s="8">
        <v>1</v>
      </c>
      <c r="K138" s="8">
        <v>0.37037037037037029</v>
      </c>
      <c r="L138" s="6">
        <v>-1</v>
      </c>
      <c r="M138" s="8">
        <v>1</v>
      </c>
      <c r="N138" s="8">
        <v>3.7037037037037028E-2</v>
      </c>
      <c r="O138" s="6">
        <v>-1</v>
      </c>
    </row>
    <row r="139" spans="1:15" x14ac:dyDescent="0.25">
      <c r="A139" s="7">
        <v>46238</v>
      </c>
      <c r="B139" s="6">
        <v>0</v>
      </c>
      <c r="C139" s="6">
        <v>27</v>
      </c>
      <c r="D139" s="6">
        <v>0</v>
      </c>
      <c r="F139" s="6">
        <v>0</v>
      </c>
      <c r="G139" s="6">
        <v>0</v>
      </c>
      <c r="H139" s="6">
        <v>27</v>
      </c>
      <c r="J139" s="8">
        <v>1</v>
      </c>
      <c r="K139" s="8">
        <v>0.37037037037037029</v>
      </c>
      <c r="L139" s="6">
        <v>-1</v>
      </c>
      <c r="M139" s="8">
        <v>1</v>
      </c>
      <c r="N139" s="8">
        <v>3.7037037037037028E-2</v>
      </c>
      <c r="O139" s="6">
        <v>-1</v>
      </c>
    </row>
    <row r="140" spans="1:15" x14ac:dyDescent="0.25">
      <c r="A140" s="7">
        <v>46239</v>
      </c>
      <c r="B140" s="6">
        <v>0</v>
      </c>
      <c r="C140" s="6">
        <v>27</v>
      </c>
      <c r="D140" s="6">
        <v>0</v>
      </c>
      <c r="F140" s="6">
        <v>0</v>
      </c>
      <c r="G140" s="6">
        <v>0</v>
      </c>
      <c r="H140" s="6">
        <v>27</v>
      </c>
      <c r="J140" s="8">
        <v>1</v>
      </c>
      <c r="K140" s="8">
        <v>0.37037037037037029</v>
      </c>
      <c r="L140" s="6">
        <v>-1</v>
      </c>
      <c r="M140" s="8">
        <v>1</v>
      </c>
      <c r="N140" s="8">
        <v>3.7037037037037028E-2</v>
      </c>
      <c r="O140" s="6">
        <v>-1</v>
      </c>
    </row>
    <row r="141" spans="1:15" x14ac:dyDescent="0.25">
      <c r="A141" s="7">
        <v>46240</v>
      </c>
      <c r="B141" s="6">
        <v>0</v>
      </c>
      <c r="C141" s="6">
        <v>27</v>
      </c>
      <c r="D141" s="6">
        <v>0</v>
      </c>
      <c r="F141" s="6">
        <v>0</v>
      </c>
      <c r="G141" s="6">
        <v>0</v>
      </c>
      <c r="H141" s="6">
        <v>27</v>
      </c>
      <c r="J141" s="8">
        <v>1</v>
      </c>
      <c r="K141" s="8">
        <v>0.37037037037037029</v>
      </c>
      <c r="L141" s="6">
        <v>-1</v>
      </c>
      <c r="M141" s="8">
        <v>1</v>
      </c>
      <c r="N141" s="8">
        <v>3.7037037037037028E-2</v>
      </c>
      <c r="O141" s="6">
        <v>-1</v>
      </c>
    </row>
    <row r="142" spans="1:15" x14ac:dyDescent="0.25">
      <c r="A142" s="7">
        <v>46241</v>
      </c>
      <c r="B142" s="6">
        <v>0</v>
      </c>
      <c r="C142" s="6">
        <v>27</v>
      </c>
      <c r="D142" s="6">
        <v>0</v>
      </c>
      <c r="F142" s="6">
        <v>0</v>
      </c>
      <c r="G142" s="6">
        <v>0</v>
      </c>
      <c r="H142" s="6">
        <v>27</v>
      </c>
      <c r="J142" s="8">
        <v>1</v>
      </c>
      <c r="K142" s="8">
        <v>0.37037037037037029</v>
      </c>
      <c r="L142" s="6">
        <v>-1</v>
      </c>
      <c r="M142" s="8">
        <v>1</v>
      </c>
      <c r="N142" s="8">
        <v>3.7037037037037028E-2</v>
      </c>
      <c r="O142" s="6">
        <v>-1</v>
      </c>
    </row>
    <row r="143" spans="1:15" x14ac:dyDescent="0.25">
      <c r="A143" s="7">
        <v>46242</v>
      </c>
      <c r="B143" s="6">
        <v>0</v>
      </c>
      <c r="C143" s="6">
        <v>27</v>
      </c>
      <c r="D143" s="6">
        <v>0</v>
      </c>
      <c r="F143" s="6">
        <v>0</v>
      </c>
      <c r="G143" s="6">
        <v>0</v>
      </c>
      <c r="H143" s="6">
        <v>27</v>
      </c>
      <c r="J143" s="8">
        <v>1</v>
      </c>
      <c r="K143" s="8">
        <v>0.37037037037037029</v>
      </c>
      <c r="L143" s="6">
        <v>-1</v>
      </c>
      <c r="M143" s="8">
        <v>1</v>
      </c>
      <c r="N143" s="8">
        <v>3.7037037037037028E-2</v>
      </c>
      <c r="O143" s="6">
        <v>-1</v>
      </c>
    </row>
    <row r="144" spans="1:15" x14ac:dyDescent="0.25">
      <c r="A144" s="7">
        <v>46243</v>
      </c>
      <c r="B144" s="6">
        <v>0</v>
      </c>
      <c r="C144" s="6">
        <v>27</v>
      </c>
      <c r="D144" s="6">
        <v>0</v>
      </c>
      <c r="F144" s="6">
        <v>0</v>
      </c>
      <c r="G144" s="6">
        <v>0</v>
      </c>
      <c r="H144" s="6">
        <v>27</v>
      </c>
      <c r="J144" s="8">
        <v>1</v>
      </c>
      <c r="K144" s="8">
        <v>0.37037037037037029</v>
      </c>
      <c r="L144" s="6">
        <v>-1</v>
      </c>
      <c r="M144" s="8">
        <v>1</v>
      </c>
      <c r="N144" s="8">
        <v>3.7037037037037028E-2</v>
      </c>
      <c r="O144" s="6">
        <v>-1</v>
      </c>
    </row>
    <row r="145" spans="1:15" x14ac:dyDescent="0.25">
      <c r="A145" s="7">
        <v>46244</v>
      </c>
      <c r="B145" s="6">
        <v>0</v>
      </c>
      <c r="C145" s="6">
        <v>27</v>
      </c>
      <c r="D145" s="6">
        <v>0</v>
      </c>
      <c r="F145" s="6">
        <v>0</v>
      </c>
      <c r="G145" s="6">
        <v>0</v>
      </c>
      <c r="H145" s="6">
        <v>27</v>
      </c>
      <c r="J145" s="8">
        <v>1</v>
      </c>
      <c r="K145" s="8">
        <v>0.37037037037037029</v>
      </c>
      <c r="L145" s="6">
        <v>-1</v>
      </c>
      <c r="M145" s="8">
        <v>1</v>
      </c>
      <c r="N145" s="8">
        <v>3.7037037037037028E-2</v>
      </c>
      <c r="O145" s="6">
        <v>-1</v>
      </c>
    </row>
    <row r="146" spans="1:15" x14ac:dyDescent="0.25">
      <c r="A146" s="7">
        <v>46245</v>
      </c>
      <c r="B146" s="6">
        <v>0</v>
      </c>
      <c r="C146" s="6">
        <v>27</v>
      </c>
      <c r="D146" s="6">
        <v>0</v>
      </c>
      <c r="F146" s="6">
        <v>0</v>
      </c>
      <c r="G146" s="6">
        <v>0</v>
      </c>
      <c r="H146" s="6">
        <v>27</v>
      </c>
      <c r="J146" s="8">
        <v>1</v>
      </c>
      <c r="K146" s="8">
        <v>0.37037037037037029</v>
      </c>
      <c r="L146" s="6">
        <v>-1</v>
      </c>
      <c r="M146" s="8">
        <v>1</v>
      </c>
      <c r="N146" s="8">
        <v>3.7037037037037028E-2</v>
      </c>
      <c r="O146" s="6">
        <v>-1</v>
      </c>
    </row>
    <row r="147" spans="1:15" x14ac:dyDescent="0.25">
      <c r="A147" s="7">
        <v>46246</v>
      </c>
      <c r="B147" s="6">
        <v>0</v>
      </c>
      <c r="C147" s="6">
        <v>27</v>
      </c>
      <c r="D147" s="6">
        <v>0</v>
      </c>
      <c r="F147" s="6">
        <v>0</v>
      </c>
      <c r="G147" s="6">
        <v>0</v>
      </c>
      <c r="H147" s="6">
        <v>27</v>
      </c>
      <c r="J147" s="8">
        <v>1</v>
      </c>
      <c r="K147" s="8">
        <v>0.37037037037037029</v>
      </c>
      <c r="L147" s="6">
        <v>-1</v>
      </c>
      <c r="M147" s="8">
        <v>1</v>
      </c>
      <c r="N147" s="8">
        <v>3.7037037037037028E-2</v>
      </c>
      <c r="O147" s="6">
        <v>-1</v>
      </c>
    </row>
    <row r="148" spans="1:15" x14ac:dyDescent="0.25">
      <c r="A148" s="7">
        <v>46247</v>
      </c>
      <c r="B148" s="6">
        <v>0</v>
      </c>
      <c r="C148" s="6">
        <v>27</v>
      </c>
      <c r="D148" s="6">
        <v>0</v>
      </c>
      <c r="F148" s="6">
        <v>0</v>
      </c>
      <c r="G148" s="6">
        <v>0</v>
      </c>
      <c r="H148" s="6">
        <v>27</v>
      </c>
      <c r="J148" s="8">
        <v>1</v>
      </c>
      <c r="K148" s="8">
        <v>0.37037037037037029</v>
      </c>
      <c r="L148" s="6">
        <v>-1</v>
      </c>
      <c r="M148" s="8">
        <v>1</v>
      </c>
      <c r="N148" s="8">
        <v>3.7037037037037028E-2</v>
      </c>
      <c r="O148" s="6">
        <v>-1</v>
      </c>
    </row>
    <row r="149" spans="1:15" x14ac:dyDescent="0.25">
      <c r="A149" s="7">
        <v>46248</v>
      </c>
      <c r="B149" s="6">
        <v>0</v>
      </c>
      <c r="C149" s="6">
        <v>27</v>
      </c>
      <c r="D149" s="6">
        <v>0</v>
      </c>
      <c r="F149" s="6">
        <v>0</v>
      </c>
      <c r="G149" s="6">
        <v>0</v>
      </c>
      <c r="H149" s="6">
        <v>27</v>
      </c>
      <c r="J149" s="8">
        <v>1</v>
      </c>
      <c r="K149" s="8">
        <v>0.37037037037037029</v>
      </c>
      <c r="L149" s="6">
        <v>-1</v>
      </c>
      <c r="M149" s="8">
        <v>1</v>
      </c>
      <c r="N149" s="8">
        <v>3.7037037037037028E-2</v>
      </c>
      <c r="O149" s="6">
        <v>-1</v>
      </c>
    </row>
    <row r="150" spans="1:15" x14ac:dyDescent="0.25">
      <c r="A150" s="7">
        <v>46249</v>
      </c>
      <c r="B150" s="6">
        <v>0</v>
      </c>
      <c r="C150" s="6">
        <v>27</v>
      </c>
      <c r="D150" s="6">
        <v>0</v>
      </c>
      <c r="F150" s="6">
        <v>0</v>
      </c>
      <c r="G150" s="6">
        <v>0</v>
      </c>
      <c r="H150" s="6">
        <v>27</v>
      </c>
      <c r="J150" s="8">
        <v>1</v>
      </c>
      <c r="K150" s="8">
        <v>0.37037037037037029</v>
      </c>
      <c r="L150" s="6">
        <v>-1</v>
      </c>
      <c r="M150" s="8">
        <v>1</v>
      </c>
      <c r="N150" s="8">
        <v>3.7037037037037028E-2</v>
      </c>
      <c r="O150" s="6">
        <v>-1</v>
      </c>
    </row>
    <row r="151" spans="1:15" x14ac:dyDescent="0.25">
      <c r="A151" s="7">
        <v>46250</v>
      </c>
      <c r="B151" s="6">
        <v>0</v>
      </c>
      <c r="C151" s="6">
        <v>27</v>
      </c>
      <c r="D151" s="6">
        <v>0</v>
      </c>
      <c r="F151" s="6">
        <v>0</v>
      </c>
      <c r="G151" s="6">
        <v>0</v>
      </c>
      <c r="H151" s="6">
        <v>27</v>
      </c>
      <c r="J151" s="8">
        <v>1</v>
      </c>
      <c r="K151" s="8">
        <v>0.37037037037037029</v>
      </c>
      <c r="L151" s="6">
        <v>-1</v>
      </c>
      <c r="M151" s="8">
        <v>1</v>
      </c>
      <c r="N151" s="8">
        <v>3.7037037037037028E-2</v>
      </c>
      <c r="O151" s="6">
        <v>-1</v>
      </c>
    </row>
    <row r="152" spans="1:15" x14ac:dyDescent="0.25">
      <c r="A152" s="7">
        <v>46251</v>
      </c>
      <c r="B152" s="6">
        <v>0</v>
      </c>
      <c r="C152" s="6">
        <v>27</v>
      </c>
      <c r="D152" s="6">
        <v>0</v>
      </c>
      <c r="F152" s="6">
        <v>0</v>
      </c>
      <c r="G152" s="6">
        <v>0</v>
      </c>
      <c r="H152" s="6">
        <v>27</v>
      </c>
      <c r="J152" s="8">
        <v>1</v>
      </c>
      <c r="K152" s="8">
        <v>0.37037037037037029</v>
      </c>
      <c r="L152" s="6">
        <v>-1</v>
      </c>
      <c r="M152" s="8">
        <v>1</v>
      </c>
      <c r="N152" s="8">
        <v>3.7037037037037028E-2</v>
      </c>
      <c r="O152" s="6">
        <v>-1</v>
      </c>
    </row>
    <row r="153" spans="1:15" x14ac:dyDescent="0.25">
      <c r="A153" s="7">
        <v>46252</v>
      </c>
      <c r="B153" s="6">
        <v>0</v>
      </c>
      <c r="C153" s="6">
        <v>27</v>
      </c>
      <c r="D153" s="6">
        <v>0</v>
      </c>
      <c r="F153" s="6">
        <v>0</v>
      </c>
      <c r="G153" s="6">
        <v>0</v>
      </c>
      <c r="H153" s="6">
        <v>27</v>
      </c>
      <c r="J153" s="8">
        <v>1</v>
      </c>
      <c r="K153" s="8">
        <v>0.37037037037037029</v>
      </c>
      <c r="L153" s="6">
        <v>-1</v>
      </c>
      <c r="M153" s="8">
        <v>1</v>
      </c>
      <c r="N153" s="8">
        <v>3.7037037037037028E-2</v>
      </c>
      <c r="O153" s="6">
        <v>-1</v>
      </c>
    </row>
    <row r="154" spans="1:15" x14ac:dyDescent="0.25">
      <c r="A154" s="7">
        <v>46253</v>
      </c>
      <c r="B154" s="6">
        <v>0</v>
      </c>
      <c r="C154" s="6">
        <v>27</v>
      </c>
      <c r="D154" s="6">
        <v>0</v>
      </c>
      <c r="F154" s="6">
        <v>0</v>
      </c>
      <c r="G154" s="6">
        <v>0</v>
      </c>
      <c r="H154" s="6">
        <v>27</v>
      </c>
      <c r="J154" s="8">
        <v>1</v>
      </c>
      <c r="K154" s="8">
        <v>0.37037037037037029</v>
      </c>
      <c r="L154" s="6">
        <v>-1</v>
      </c>
      <c r="M154" s="8">
        <v>1</v>
      </c>
      <c r="N154" s="8">
        <v>3.7037037037037028E-2</v>
      </c>
      <c r="O154" s="6">
        <v>-1</v>
      </c>
    </row>
    <row r="155" spans="1:15" x14ac:dyDescent="0.25">
      <c r="A155" s="7">
        <v>46254</v>
      </c>
      <c r="B155" s="6">
        <v>0</v>
      </c>
      <c r="C155" s="6">
        <v>27</v>
      </c>
      <c r="D155" s="6">
        <v>0</v>
      </c>
      <c r="F155" s="6">
        <v>0</v>
      </c>
      <c r="G155" s="6">
        <v>0</v>
      </c>
      <c r="H155" s="6">
        <v>27</v>
      </c>
      <c r="J155" s="8">
        <v>1</v>
      </c>
      <c r="K155" s="8">
        <v>0.37037037037037029</v>
      </c>
      <c r="L155" s="6">
        <v>-1</v>
      </c>
      <c r="M155" s="8">
        <v>1</v>
      </c>
      <c r="N155" s="8">
        <v>3.7037037037037028E-2</v>
      </c>
      <c r="O155" s="6">
        <v>-1</v>
      </c>
    </row>
    <row r="156" spans="1:15" x14ac:dyDescent="0.25">
      <c r="A156" s="7">
        <v>46255</v>
      </c>
      <c r="B156" s="6">
        <v>0</v>
      </c>
      <c r="C156" s="6">
        <v>27</v>
      </c>
      <c r="D156" s="6">
        <v>0</v>
      </c>
      <c r="F156" s="6">
        <v>0</v>
      </c>
      <c r="G156" s="6">
        <v>0</v>
      </c>
      <c r="H156" s="6">
        <v>27</v>
      </c>
      <c r="J156" s="8">
        <v>1</v>
      </c>
      <c r="K156" s="8">
        <v>0.37037037037037029</v>
      </c>
      <c r="L156" s="6">
        <v>-1</v>
      </c>
      <c r="M156" s="8">
        <v>1</v>
      </c>
      <c r="N156" s="8">
        <v>3.7037037037037028E-2</v>
      </c>
      <c r="O156" s="6">
        <v>-1</v>
      </c>
    </row>
    <row r="157" spans="1:15" x14ac:dyDescent="0.25">
      <c r="A157" s="7">
        <v>46256</v>
      </c>
      <c r="B157" s="6">
        <v>0</v>
      </c>
      <c r="C157" s="6">
        <v>27</v>
      </c>
      <c r="D157" s="6">
        <v>0</v>
      </c>
      <c r="F157" s="6">
        <v>0</v>
      </c>
      <c r="G157" s="6">
        <v>0</v>
      </c>
      <c r="H157" s="6">
        <v>27</v>
      </c>
      <c r="J157" s="8">
        <v>1</v>
      </c>
      <c r="K157" s="8">
        <v>0.37037037037037029</v>
      </c>
      <c r="L157" s="6">
        <v>-1</v>
      </c>
      <c r="M157" s="8">
        <v>1</v>
      </c>
      <c r="N157" s="8">
        <v>3.7037037037037028E-2</v>
      </c>
      <c r="O157" s="6">
        <v>-1</v>
      </c>
    </row>
    <row r="158" spans="1:15" x14ac:dyDescent="0.25">
      <c r="A158" s="7">
        <v>46257</v>
      </c>
      <c r="B158" s="6">
        <v>0</v>
      </c>
      <c r="C158" s="6">
        <v>27</v>
      </c>
      <c r="D158" s="6">
        <v>0</v>
      </c>
      <c r="F158" s="6">
        <v>0</v>
      </c>
      <c r="G158" s="6">
        <v>0</v>
      </c>
      <c r="H158" s="6">
        <v>27</v>
      </c>
      <c r="J158" s="8">
        <v>1</v>
      </c>
      <c r="K158" s="8">
        <v>0.37037037037037029</v>
      </c>
      <c r="L158" s="6">
        <v>-1</v>
      </c>
      <c r="M158" s="8">
        <v>1</v>
      </c>
      <c r="N158" s="8">
        <v>3.7037037037037028E-2</v>
      </c>
      <c r="O158" s="6">
        <v>-1</v>
      </c>
    </row>
    <row r="159" spans="1:15" x14ac:dyDescent="0.25">
      <c r="A159" s="7">
        <v>46258</v>
      </c>
      <c r="B159" s="6">
        <v>0</v>
      </c>
      <c r="C159" s="6">
        <v>27</v>
      </c>
      <c r="D159" s="6">
        <v>0</v>
      </c>
      <c r="F159" s="6">
        <v>0</v>
      </c>
      <c r="G159" s="6">
        <v>0</v>
      </c>
      <c r="H159" s="6">
        <v>27</v>
      </c>
      <c r="J159" s="8">
        <v>1</v>
      </c>
      <c r="K159" s="8">
        <v>0.37037037037037029</v>
      </c>
      <c r="L159" s="6">
        <v>-1</v>
      </c>
      <c r="M159" s="8">
        <v>1</v>
      </c>
      <c r="N159" s="8">
        <v>3.7037037037037028E-2</v>
      </c>
      <c r="O159" s="6">
        <v>-1</v>
      </c>
    </row>
    <row r="160" spans="1:15" x14ac:dyDescent="0.25">
      <c r="A160" s="7">
        <v>46259</v>
      </c>
      <c r="B160" s="6">
        <v>0</v>
      </c>
      <c r="C160" s="6">
        <v>27</v>
      </c>
      <c r="D160" s="6">
        <v>0</v>
      </c>
      <c r="F160" s="6">
        <v>0</v>
      </c>
      <c r="G160" s="6">
        <v>0</v>
      </c>
      <c r="H160" s="6">
        <v>27</v>
      </c>
      <c r="J160" s="8">
        <v>1</v>
      </c>
      <c r="K160" s="8">
        <v>0.37037037037037029</v>
      </c>
      <c r="L160" s="6">
        <v>-1</v>
      </c>
      <c r="M160" s="8">
        <v>1</v>
      </c>
      <c r="N160" s="8">
        <v>3.7037037037037028E-2</v>
      </c>
      <c r="O160" s="6">
        <v>-1</v>
      </c>
    </row>
    <row r="161" spans="1:15" x14ac:dyDescent="0.25">
      <c r="A161" s="7">
        <v>46260</v>
      </c>
      <c r="B161" s="6">
        <v>0</v>
      </c>
      <c r="C161" s="6">
        <v>27</v>
      </c>
      <c r="D161" s="6">
        <v>0</v>
      </c>
      <c r="F161" s="6">
        <v>0</v>
      </c>
      <c r="G161" s="6">
        <v>0</v>
      </c>
      <c r="H161" s="6">
        <v>27</v>
      </c>
      <c r="J161" s="8">
        <v>1</v>
      </c>
      <c r="K161" s="8">
        <v>0.37037037037037029</v>
      </c>
      <c r="L161" s="6">
        <v>-1</v>
      </c>
      <c r="M161" s="8">
        <v>1</v>
      </c>
      <c r="N161" s="8">
        <v>3.7037037037037028E-2</v>
      </c>
      <c r="O161" s="6">
        <v>-1</v>
      </c>
    </row>
    <row r="162" spans="1:15" x14ac:dyDescent="0.25">
      <c r="A162" s="7">
        <v>46261</v>
      </c>
      <c r="B162" s="6">
        <v>0</v>
      </c>
      <c r="C162" s="6">
        <v>27</v>
      </c>
      <c r="D162" s="6">
        <v>0</v>
      </c>
      <c r="F162" s="6">
        <v>0</v>
      </c>
      <c r="G162" s="6">
        <v>0</v>
      </c>
      <c r="H162" s="6">
        <v>27</v>
      </c>
      <c r="J162" s="8">
        <v>1</v>
      </c>
      <c r="K162" s="8">
        <v>0.37037037037037029</v>
      </c>
      <c r="L162" s="6">
        <v>-1</v>
      </c>
      <c r="M162" s="8">
        <v>1</v>
      </c>
      <c r="N162" s="8">
        <v>3.7037037037037028E-2</v>
      </c>
      <c r="O162" s="6">
        <v>-1</v>
      </c>
    </row>
    <row r="163" spans="1:15" x14ac:dyDescent="0.25">
      <c r="A163" s="7">
        <v>46262</v>
      </c>
      <c r="B163" s="6">
        <v>0</v>
      </c>
      <c r="C163" s="6">
        <v>27</v>
      </c>
      <c r="D163" s="6">
        <v>0</v>
      </c>
      <c r="F163" s="6">
        <v>0</v>
      </c>
      <c r="G163" s="6">
        <v>0</v>
      </c>
      <c r="H163" s="6">
        <v>27</v>
      </c>
      <c r="J163" s="8">
        <v>1</v>
      </c>
      <c r="K163" s="8">
        <v>0.37037037037037029</v>
      </c>
      <c r="L163" s="6">
        <v>-1</v>
      </c>
      <c r="M163" s="8">
        <v>1</v>
      </c>
      <c r="N163" s="8">
        <v>3.7037037037037028E-2</v>
      </c>
      <c r="O163" s="6">
        <v>-1</v>
      </c>
    </row>
    <row r="164" spans="1:15" x14ac:dyDescent="0.25">
      <c r="A164" s="7">
        <v>46263</v>
      </c>
      <c r="B164" s="6">
        <v>0</v>
      </c>
      <c r="C164" s="6">
        <v>27</v>
      </c>
      <c r="D164" s="6">
        <v>0</v>
      </c>
      <c r="F164" s="6">
        <v>0</v>
      </c>
      <c r="G164" s="6">
        <v>0</v>
      </c>
      <c r="H164" s="6">
        <v>27</v>
      </c>
      <c r="J164" s="8">
        <v>1</v>
      </c>
      <c r="K164" s="8">
        <v>0.37037037037037029</v>
      </c>
      <c r="L164" s="6">
        <v>-1</v>
      </c>
      <c r="M164" s="8">
        <v>1</v>
      </c>
      <c r="N164" s="8">
        <v>3.7037037037037028E-2</v>
      </c>
      <c r="O164" s="6">
        <v>-1</v>
      </c>
    </row>
    <row r="165" spans="1:15" x14ac:dyDescent="0.25">
      <c r="A165" s="7">
        <v>46264</v>
      </c>
      <c r="B165" s="6">
        <v>0</v>
      </c>
      <c r="C165" s="6">
        <v>27</v>
      </c>
      <c r="D165" s="6">
        <v>0</v>
      </c>
      <c r="F165" s="6">
        <v>0</v>
      </c>
      <c r="G165" s="6">
        <v>0</v>
      </c>
      <c r="H165" s="6">
        <v>27</v>
      </c>
      <c r="J165" s="8">
        <v>1</v>
      </c>
      <c r="K165" s="8">
        <v>0.37037037037037029</v>
      </c>
      <c r="L165" s="6">
        <v>-1</v>
      </c>
      <c r="M165" s="8">
        <v>1</v>
      </c>
      <c r="N165" s="8">
        <v>3.7037037037037028E-2</v>
      </c>
      <c r="O165" s="6">
        <v>-1</v>
      </c>
    </row>
    <row r="166" spans="1:15" x14ac:dyDescent="0.25">
      <c r="A166" s="7">
        <v>46265</v>
      </c>
      <c r="B166" s="6">
        <v>0</v>
      </c>
      <c r="C166" s="6">
        <v>27</v>
      </c>
      <c r="D166" s="6">
        <v>0</v>
      </c>
      <c r="F166" s="6">
        <v>0</v>
      </c>
      <c r="G166" s="6">
        <v>0</v>
      </c>
      <c r="H166" s="6">
        <v>27</v>
      </c>
      <c r="J166" s="8">
        <v>1</v>
      </c>
      <c r="K166" s="8">
        <v>0.37037037037037029</v>
      </c>
      <c r="L166" s="6">
        <v>-1</v>
      </c>
      <c r="M166" s="8">
        <v>1</v>
      </c>
      <c r="N166" s="8">
        <v>3.7037037037037028E-2</v>
      </c>
      <c r="O166" s="6">
        <v>-1</v>
      </c>
    </row>
    <row r="167" spans="1:15" x14ac:dyDescent="0.25">
      <c r="A167" s="7">
        <v>46266</v>
      </c>
      <c r="B167" s="6">
        <v>0</v>
      </c>
      <c r="C167" s="6">
        <v>27</v>
      </c>
      <c r="D167" s="6">
        <v>0</v>
      </c>
      <c r="F167" s="6">
        <v>0</v>
      </c>
      <c r="G167" s="6">
        <v>0</v>
      </c>
      <c r="H167" s="6">
        <v>27</v>
      </c>
      <c r="J167" s="8">
        <v>1</v>
      </c>
      <c r="K167" s="8">
        <v>0.37037037037037029</v>
      </c>
      <c r="L167" s="6">
        <v>-1</v>
      </c>
      <c r="M167" s="8">
        <v>1</v>
      </c>
      <c r="N167" s="8">
        <v>3.7037037037037028E-2</v>
      </c>
      <c r="O167" s="6">
        <v>-1</v>
      </c>
    </row>
    <row r="168" spans="1:15" x14ac:dyDescent="0.25">
      <c r="A168" s="7">
        <v>46267</v>
      </c>
      <c r="B168" s="6">
        <v>0</v>
      </c>
      <c r="C168" s="6">
        <v>27</v>
      </c>
      <c r="D168" s="6">
        <v>0</v>
      </c>
      <c r="F168" s="6">
        <v>0</v>
      </c>
      <c r="G168" s="6">
        <v>0</v>
      </c>
      <c r="H168" s="6">
        <v>27</v>
      </c>
      <c r="J168" s="8">
        <v>1</v>
      </c>
      <c r="K168" s="8">
        <v>0.37037037037037029</v>
      </c>
      <c r="L168" s="6">
        <v>-1</v>
      </c>
      <c r="M168" s="8">
        <v>1</v>
      </c>
      <c r="N168" s="8">
        <v>3.7037037037037028E-2</v>
      </c>
      <c r="O168" s="6">
        <v>-1</v>
      </c>
    </row>
    <row r="169" spans="1:15" x14ac:dyDescent="0.25">
      <c r="A169" s="7">
        <v>46268</v>
      </c>
      <c r="B169" s="6">
        <v>0</v>
      </c>
      <c r="C169" s="6">
        <v>27</v>
      </c>
      <c r="D169" s="6">
        <v>0</v>
      </c>
      <c r="F169" s="6">
        <v>0</v>
      </c>
      <c r="G169" s="6">
        <v>0</v>
      </c>
      <c r="H169" s="6">
        <v>27</v>
      </c>
      <c r="J169" s="8">
        <v>1</v>
      </c>
      <c r="K169" s="8">
        <v>0.37037037037037029</v>
      </c>
      <c r="L169" s="6">
        <v>-1</v>
      </c>
      <c r="M169" s="8">
        <v>1</v>
      </c>
      <c r="N169" s="8">
        <v>3.7037037037037028E-2</v>
      </c>
      <c r="O169" s="6">
        <v>-1</v>
      </c>
    </row>
    <row r="170" spans="1:15" x14ac:dyDescent="0.25">
      <c r="A170" s="7">
        <v>46269</v>
      </c>
      <c r="B170" s="6">
        <v>0</v>
      </c>
      <c r="C170" s="6">
        <v>27</v>
      </c>
      <c r="D170" s="6">
        <v>0</v>
      </c>
      <c r="F170" s="6">
        <v>0</v>
      </c>
      <c r="G170" s="6">
        <v>0</v>
      </c>
      <c r="H170" s="6">
        <v>27</v>
      </c>
      <c r="J170" s="8">
        <v>1</v>
      </c>
      <c r="K170" s="8">
        <v>0.37037037037037029</v>
      </c>
      <c r="L170" s="6">
        <v>-1</v>
      </c>
      <c r="M170" s="8">
        <v>1</v>
      </c>
      <c r="N170" s="8">
        <v>3.7037037037037028E-2</v>
      </c>
      <c r="O170" s="6">
        <v>-1</v>
      </c>
    </row>
    <row r="171" spans="1:15" x14ac:dyDescent="0.25">
      <c r="A171" s="7">
        <v>46270</v>
      </c>
      <c r="B171" s="6">
        <v>0</v>
      </c>
      <c r="C171" s="6">
        <v>27</v>
      </c>
      <c r="D171" s="6">
        <v>0</v>
      </c>
      <c r="F171" s="6">
        <v>0</v>
      </c>
      <c r="G171" s="6">
        <v>0</v>
      </c>
      <c r="H171" s="6">
        <v>27</v>
      </c>
      <c r="J171" s="8">
        <v>1</v>
      </c>
      <c r="K171" s="8">
        <v>0.37037037037037029</v>
      </c>
      <c r="L171" s="6">
        <v>-1</v>
      </c>
      <c r="M171" s="8">
        <v>1</v>
      </c>
      <c r="N171" s="8">
        <v>3.7037037037037028E-2</v>
      </c>
      <c r="O171" s="6">
        <v>-1</v>
      </c>
    </row>
    <row r="172" spans="1:15" x14ac:dyDescent="0.25">
      <c r="A172" s="7">
        <v>46271</v>
      </c>
      <c r="B172" s="6">
        <v>0</v>
      </c>
      <c r="C172" s="6">
        <v>27</v>
      </c>
      <c r="D172" s="6">
        <v>0</v>
      </c>
      <c r="F172" s="6">
        <v>0</v>
      </c>
      <c r="G172" s="6">
        <v>0</v>
      </c>
      <c r="H172" s="6">
        <v>27</v>
      </c>
      <c r="J172" s="8">
        <v>1</v>
      </c>
      <c r="K172" s="8">
        <v>0.37037037037037029</v>
      </c>
      <c r="L172" s="6">
        <v>-1</v>
      </c>
      <c r="M172" s="8">
        <v>1</v>
      </c>
      <c r="N172" s="8">
        <v>3.7037037037037028E-2</v>
      </c>
      <c r="O172" s="6">
        <v>-1</v>
      </c>
    </row>
    <row r="173" spans="1:15" x14ac:dyDescent="0.25">
      <c r="A173" s="7">
        <v>46272</v>
      </c>
      <c r="B173" s="6">
        <v>0</v>
      </c>
      <c r="C173" s="6">
        <v>27</v>
      </c>
      <c r="D173" s="6">
        <v>0</v>
      </c>
      <c r="F173" s="6">
        <v>0</v>
      </c>
      <c r="G173" s="6">
        <v>0</v>
      </c>
      <c r="H173" s="6">
        <v>27</v>
      </c>
      <c r="J173" s="8">
        <v>1</v>
      </c>
      <c r="K173" s="8">
        <v>0.37037037037037029</v>
      </c>
      <c r="L173" s="6">
        <v>-1</v>
      </c>
      <c r="M173" s="8">
        <v>1</v>
      </c>
      <c r="N173" s="8">
        <v>3.7037037037037028E-2</v>
      </c>
      <c r="O173" s="6">
        <v>-1</v>
      </c>
    </row>
    <row r="175" spans="1:15" x14ac:dyDescent="0.25">
      <c r="L175" s="6">
        <v>1</v>
      </c>
      <c r="O175" s="6">
        <v>1</v>
      </c>
    </row>
    <row r="176" spans="1:15" x14ac:dyDescent="0.25">
      <c r="L176" s="6">
        <v>0</v>
      </c>
      <c r="O176" s="6">
        <v>0</v>
      </c>
    </row>
    <row r="177" spans="12:15" x14ac:dyDescent="0.25">
      <c r="L177" s="6">
        <v>-1</v>
      </c>
      <c r="O177" s="6">
        <v>-1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8FABDCCE-B82D-4007-BAFF-0E0BEC35FE48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O1:O177</xm:sqref>
        </x14:conditionalFormatting>
        <x14:conditionalFormatting xmlns:xm="http://schemas.microsoft.com/office/excel/2006/main">
          <x14:cfRule type="iconSet" priority="1" id="{8F91B0A8-BF77-433F-961B-CC774F7696F4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L2:L177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27"/>
  <sheetViews>
    <sheetView workbookViewId="0">
      <selection activeCell="E26" sqref="E26"/>
    </sheetView>
  </sheetViews>
  <sheetFormatPr defaultRowHeight="15" x14ac:dyDescent="0.25"/>
  <cols>
    <col min="1" max="1" width="7.28515625" style="1" bestFit="1" customWidth="1"/>
    <col min="2" max="2" width="9.28515625" style="1" bestFit="1" customWidth="1"/>
    <col min="3" max="3" width="30.42578125" style="1" bestFit="1" customWidth="1"/>
    <col min="4" max="4" width="31.5703125" style="1" bestFit="1" customWidth="1"/>
    <col min="5" max="5" width="18.5703125" style="1" bestFit="1" customWidth="1"/>
    <col min="6" max="6" width="12.7109375" style="1" bestFit="1" customWidth="1"/>
    <col min="7" max="8" width="18.28515625" style="3" bestFit="1" customWidth="1"/>
    <col min="9" max="9" width="18.42578125" style="1" bestFit="1" customWidth="1"/>
    <col min="10" max="10" width="16" style="1" bestFit="1" customWidth="1"/>
    <col min="11" max="11" width="18.28515625" style="3" bestFit="1" customWidth="1"/>
    <col min="12" max="12" width="11" style="1" bestFit="1" customWidth="1"/>
    <col min="13" max="13" width="11.140625" style="1" bestFit="1" customWidth="1"/>
    <col min="14" max="14" width="32.140625" style="1" bestFit="1" customWidth="1"/>
    <col min="15" max="15" width="16.5703125" style="1" bestFit="1" customWidth="1"/>
    <col min="16" max="16" width="19.28515625" style="1" bestFit="1" customWidth="1"/>
    <col min="17" max="17" width="14.5703125" style="1" bestFit="1" customWidth="1"/>
    <col min="18" max="18" width="35.28515625" style="1" bestFit="1" customWidth="1"/>
    <col min="19" max="19" width="16.42578125" style="1" bestFit="1" customWidth="1"/>
    <col min="20" max="20" width="23.5703125" style="1" bestFit="1" customWidth="1"/>
    <col min="21" max="21" width="11.85546875" style="1" bestFit="1" customWidth="1"/>
    <col min="22" max="22" width="23.28515625" style="1" bestFit="1" customWidth="1"/>
    <col min="23" max="23" width="27.7109375" style="1" bestFit="1" customWidth="1"/>
    <col min="24" max="24" width="27" style="1" bestFit="1" customWidth="1"/>
    <col min="25" max="25" width="19.5703125" style="1" bestFit="1" customWidth="1"/>
    <col min="26" max="26" width="32.7109375" style="1" bestFit="1" customWidth="1"/>
    <col min="27" max="27" width="29.42578125" style="1" bestFit="1" customWidth="1"/>
    <col min="28" max="28" width="40.5703125" style="1" bestFit="1" customWidth="1"/>
    <col min="29" max="29" width="26.140625" style="1" bestFit="1" customWidth="1"/>
    <col min="30" max="30" width="24" style="1" bestFit="1" customWidth="1"/>
    <col min="31" max="31" width="23.28515625" style="1" bestFit="1" customWidth="1"/>
    <col min="32" max="32" width="14.5703125" style="1" bestFit="1" customWidth="1"/>
    <col min="33" max="16384" width="9.140625" style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idden="1" x14ac:dyDescent="0.25">
      <c r="A2" s="1">
        <v>3</v>
      </c>
      <c r="B2" s="1" t="s">
        <v>42</v>
      </c>
      <c r="C2" s="1" t="s">
        <v>43</v>
      </c>
      <c r="D2" s="1" t="s">
        <v>44</v>
      </c>
      <c r="F2" s="1" t="s">
        <v>45</v>
      </c>
      <c r="G2" s="3">
        <v>46160</v>
      </c>
      <c r="H2" s="3">
        <v>46160</v>
      </c>
      <c r="J2" s="1">
        <v>1</v>
      </c>
      <c r="K2" s="3">
        <v>46160</v>
      </c>
      <c r="L2" s="1" t="s">
        <v>46</v>
      </c>
      <c r="M2" s="1" t="s">
        <v>47</v>
      </c>
      <c r="N2" s="1" t="s">
        <v>36</v>
      </c>
      <c r="O2" s="1" t="s">
        <v>37</v>
      </c>
      <c r="P2" s="2">
        <v>46139</v>
      </c>
      <c r="Q2" s="1" t="s">
        <v>38</v>
      </c>
      <c r="R2" s="1" t="s">
        <v>48</v>
      </c>
      <c r="U2" s="1">
        <v>1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</row>
    <row r="3" spans="1:32" hidden="1" x14ac:dyDescent="0.25">
      <c r="A3" s="1">
        <v>4</v>
      </c>
      <c r="B3" s="1" t="s">
        <v>49</v>
      </c>
      <c r="C3" s="1" t="s">
        <v>43</v>
      </c>
      <c r="D3" s="1" t="s">
        <v>50</v>
      </c>
      <c r="F3" s="1" t="s">
        <v>45</v>
      </c>
      <c r="G3" s="3">
        <v>46160</v>
      </c>
      <c r="H3" s="3">
        <v>46160</v>
      </c>
      <c r="J3" s="1">
        <v>1</v>
      </c>
      <c r="K3" s="3">
        <v>46160</v>
      </c>
      <c r="L3" s="1" t="s">
        <v>46</v>
      </c>
      <c r="M3" s="1" t="s">
        <v>47</v>
      </c>
      <c r="N3" s="1" t="s">
        <v>51</v>
      </c>
      <c r="O3" s="1" t="s">
        <v>52</v>
      </c>
      <c r="P3" s="2">
        <v>46141</v>
      </c>
      <c r="Q3" s="1" t="s">
        <v>38</v>
      </c>
      <c r="U3" s="1">
        <v>1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</row>
    <row r="4" spans="1:32" hidden="1" x14ac:dyDescent="0.25">
      <c r="A4" s="1">
        <v>5</v>
      </c>
      <c r="B4" s="1" t="s">
        <v>53</v>
      </c>
      <c r="C4" s="1" t="s">
        <v>54</v>
      </c>
      <c r="D4" s="1" t="s">
        <v>55</v>
      </c>
      <c r="F4" s="1" t="s">
        <v>45</v>
      </c>
      <c r="G4" s="3">
        <v>46160</v>
      </c>
      <c r="H4" s="3">
        <v>46160</v>
      </c>
      <c r="I4" s="1">
        <v>3</v>
      </c>
      <c r="J4" s="1">
        <v>1</v>
      </c>
      <c r="K4" s="3">
        <v>46160</v>
      </c>
      <c r="L4" s="1" t="s">
        <v>46</v>
      </c>
      <c r="M4" s="1" t="s">
        <v>47</v>
      </c>
      <c r="N4" s="1" t="s">
        <v>51</v>
      </c>
      <c r="O4" s="1" t="s">
        <v>52</v>
      </c>
      <c r="P4" s="2">
        <v>46141</v>
      </c>
      <c r="Q4" s="1" t="s">
        <v>38</v>
      </c>
      <c r="U4" s="1">
        <v>1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</row>
    <row r="5" spans="1:32" x14ac:dyDescent="0.25">
      <c r="A5" s="1">
        <v>8</v>
      </c>
      <c r="B5" s="1" t="s">
        <v>65</v>
      </c>
      <c r="C5" s="1" t="s">
        <v>66</v>
      </c>
      <c r="D5" s="1" t="s">
        <v>67</v>
      </c>
      <c r="F5" s="1" t="s">
        <v>68</v>
      </c>
      <c r="G5" s="3">
        <v>46174</v>
      </c>
      <c r="H5" s="3">
        <v>46175</v>
      </c>
      <c r="I5" s="1" t="s">
        <v>69</v>
      </c>
      <c r="J5" s="1">
        <v>1</v>
      </c>
      <c r="K5" s="3">
        <v>46175</v>
      </c>
      <c r="L5" s="1" t="s">
        <v>46</v>
      </c>
      <c r="M5" s="1" t="s">
        <v>47</v>
      </c>
      <c r="N5" s="1" t="s">
        <v>59</v>
      </c>
      <c r="O5" s="1" t="s">
        <v>37</v>
      </c>
      <c r="P5" s="2">
        <v>46141</v>
      </c>
      <c r="Q5" s="1" t="s">
        <v>38</v>
      </c>
      <c r="R5" s="1" t="s">
        <v>70</v>
      </c>
      <c r="U5" s="1">
        <v>1</v>
      </c>
      <c r="V5" s="1">
        <v>1</v>
      </c>
      <c r="W5" s="1">
        <v>1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1</v>
      </c>
    </row>
    <row r="6" spans="1:32" hidden="1" x14ac:dyDescent="0.25">
      <c r="A6" s="1">
        <v>9</v>
      </c>
      <c r="B6" s="1" t="s">
        <v>71</v>
      </c>
      <c r="C6" s="1" t="s">
        <v>66</v>
      </c>
      <c r="D6" s="1" t="s">
        <v>72</v>
      </c>
      <c r="F6" s="1" t="s">
        <v>73</v>
      </c>
      <c r="G6" s="3">
        <v>46176</v>
      </c>
      <c r="H6" s="3">
        <v>46176</v>
      </c>
      <c r="I6" s="1">
        <v>8</v>
      </c>
      <c r="J6" s="1">
        <v>1</v>
      </c>
      <c r="K6" s="3">
        <v>46176</v>
      </c>
      <c r="L6" s="1" t="s">
        <v>46</v>
      </c>
      <c r="M6" s="1" t="s">
        <v>47</v>
      </c>
      <c r="N6" s="1" t="s">
        <v>59</v>
      </c>
      <c r="O6" s="1" t="s">
        <v>74</v>
      </c>
      <c r="P6" s="2">
        <v>46142</v>
      </c>
      <c r="Q6" s="1" t="s">
        <v>38</v>
      </c>
      <c r="R6" s="1" t="s">
        <v>75</v>
      </c>
      <c r="U6" s="1">
        <v>1</v>
      </c>
      <c r="V6" s="1">
        <v>0</v>
      </c>
      <c r="W6" s="1">
        <v>0</v>
      </c>
      <c r="X6" s="1">
        <v>0</v>
      </c>
      <c r="Y6" s="1">
        <v>0</v>
      </c>
      <c r="Z6" s="1">
        <v>1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</row>
    <row r="7" spans="1:32" x14ac:dyDescent="0.25">
      <c r="A7" s="1">
        <v>13</v>
      </c>
      <c r="B7" s="1" t="s">
        <v>90</v>
      </c>
      <c r="C7" s="1" t="s">
        <v>91</v>
      </c>
      <c r="D7" s="1" t="s">
        <v>67</v>
      </c>
      <c r="F7" s="1" t="s">
        <v>92</v>
      </c>
      <c r="G7" s="3">
        <v>46176</v>
      </c>
      <c r="H7" s="3">
        <v>46178</v>
      </c>
      <c r="I7" s="1">
        <v>8</v>
      </c>
      <c r="J7" s="1">
        <v>1</v>
      </c>
      <c r="K7" s="3">
        <v>46178</v>
      </c>
      <c r="L7" s="1" t="s">
        <v>46</v>
      </c>
      <c r="M7" s="1" t="s">
        <v>47</v>
      </c>
      <c r="N7" s="1" t="s">
        <v>59</v>
      </c>
      <c r="O7" s="1" t="s">
        <v>74</v>
      </c>
      <c r="P7" s="2">
        <v>46146</v>
      </c>
      <c r="Q7" s="1" t="s">
        <v>38</v>
      </c>
      <c r="R7" s="1" t="s">
        <v>93</v>
      </c>
      <c r="U7" s="1">
        <v>1</v>
      </c>
      <c r="V7" s="1">
        <v>1</v>
      </c>
      <c r="W7" s="1">
        <v>1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1</v>
      </c>
    </row>
    <row r="8" spans="1:32" hidden="1" x14ac:dyDescent="0.25">
      <c r="A8" s="1">
        <v>14</v>
      </c>
      <c r="B8" s="1" t="s">
        <v>94</v>
      </c>
      <c r="C8" s="1" t="s">
        <v>91</v>
      </c>
      <c r="D8" s="1" t="s">
        <v>72</v>
      </c>
      <c r="F8" s="1" t="s">
        <v>92</v>
      </c>
      <c r="G8" s="3">
        <v>46181</v>
      </c>
      <c r="H8" s="3">
        <v>46183</v>
      </c>
      <c r="I8" s="1">
        <v>13</v>
      </c>
      <c r="J8" s="1">
        <v>1</v>
      </c>
      <c r="K8" s="3">
        <v>46183</v>
      </c>
      <c r="L8" s="1" t="s">
        <v>46</v>
      </c>
      <c r="M8" s="1" t="s">
        <v>47</v>
      </c>
      <c r="N8" s="1" t="s">
        <v>59</v>
      </c>
      <c r="O8" s="1" t="s">
        <v>95</v>
      </c>
      <c r="P8" s="2">
        <v>46147</v>
      </c>
      <c r="Q8" s="1" t="s">
        <v>38</v>
      </c>
      <c r="R8" s="1" t="s">
        <v>96</v>
      </c>
      <c r="U8" s="1">
        <v>1</v>
      </c>
      <c r="V8" s="1">
        <v>0</v>
      </c>
      <c r="W8" s="1">
        <v>0</v>
      </c>
      <c r="X8" s="1">
        <v>0</v>
      </c>
      <c r="Y8" s="1">
        <v>0</v>
      </c>
      <c r="Z8" s="1">
        <v>1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</row>
    <row r="9" spans="1:32" x14ac:dyDescent="0.25">
      <c r="A9" s="1">
        <v>19</v>
      </c>
      <c r="B9" s="1" t="s">
        <v>112</v>
      </c>
      <c r="C9" s="1" t="s">
        <v>113</v>
      </c>
      <c r="D9" s="1" t="s">
        <v>67</v>
      </c>
      <c r="F9" s="1" t="s">
        <v>92</v>
      </c>
      <c r="G9" s="3">
        <v>46195</v>
      </c>
      <c r="H9" s="3">
        <v>46197</v>
      </c>
      <c r="I9" s="1" t="s">
        <v>114</v>
      </c>
      <c r="J9" s="1">
        <v>1</v>
      </c>
      <c r="K9" s="3">
        <v>46197</v>
      </c>
      <c r="L9" s="1" t="s">
        <v>46</v>
      </c>
      <c r="M9" s="1" t="s">
        <v>47</v>
      </c>
      <c r="N9" s="1" t="s">
        <v>105</v>
      </c>
      <c r="O9" s="1" t="s">
        <v>111</v>
      </c>
      <c r="P9" s="2">
        <v>46225</v>
      </c>
      <c r="Q9" s="1" t="s">
        <v>38</v>
      </c>
      <c r="R9" s="1">
        <v>20</v>
      </c>
      <c r="U9" s="1">
        <v>1</v>
      </c>
      <c r="V9" s="1">
        <v>1</v>
      </c>
      <c r="W9" s="1">
        <v>1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</row>
    <row r="10" spans="1:32" hidden="1" x14ac:dyDescent="0.25">
      <c r="A10" s="1">
        <v>20</v>
      </c>
      <c r="B10" s="1" t="s">
        <v>115</v>
      </c>
      <c r="C10" s="1" t="s">
        <v>113</v>
      </c>
      <c r="D10" s="1" t="s">
        <v>72</v>
      </c>
      <c r="F10" s="1" t="s">
        <v>73</v>
      </c>
      <c r="G10" s="3">
        <v>46198</v>
      </c>
      <c r="H10" s="3">
        <v>46198</v>
      </c>
      <c r="I10" s="1">
        <v>19</v>
      </c>
      <c r="J10" s="1">
        <v>1</v>
      </c>
      <c r="K10" s="3">
        <v>46198</v>
      </c>
      <c r="L10" s="1" t="s">
        <v>46</v>
      </c>
      <c r="M10" s="1" t="s">
        <v>47</v>
      </c>
      <c r="N10" s="1" t="s">
        <v>105</v>
      </c>
      <c r="O10" s="1" t="s">
        <v>116</v>
      </c>
      <c r="P10" s="2">
        <v>46226</v>
      </c>
      <c r="Q10" s="1" t="s">
        <v>38</v>
      </c>
      <c r="R10" s="1">
        <v>21</v>
      </c>
      <c r="U10" s="1">
        <v>1</v>
      </c>
      <c r="V10" s="1">
        <v>0</v>
      </c>
      <c r="W10" s="1">
        <v>0</v>
      </c>
      <c r="X10" s="1">
        <v>0</v>
      </c>
      <c r="Y10" s="1">
        <v>0</v>
      </c>
      <c r="Z10" s="1">
        <v>1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</row>
    <row r="11" spans="1:32" x14ac:dyDescent="0.25">
      <c r="A11" s="1">
        <v>24</v>
      </c>
      <c r="B11" s="1" t="s">
        <v>124</v>
      </c>
      <c r="C11" s="1" t="s">
        <v>125</v>
      </c>
      <c r="D11" s="1" t="s">
        <v>67</v>
      </c>
      <c r="F11" s="1" t="s">
        <v>92</v>
      </c>
      <c r="G11" s="3">
        <v>46174</v>
      </c>
      <c r="H11" s="3">
        <v>46176</v>
      </c>
      <c r="I11" s="1" t="s">
        <v>69</v>
      </c>
      <c r="J11" s="1">
        <v>1</v>
      </c>
      <c r="K11" s="3">
        <v>46176</v>
      </c>
      <c r="L11" s="1" t="s">
        <v>46</v>
      </c>
      <c r="M11" s="1" t="s">
        <v>47</v>
      </c>
      <c r="N11" s="1" t="s">
        <v>105</v>
      </c>
      <c r="O11" s="1" t="s">
        <v>37</v>
      </c>
      <c r="P11" s="2">
        <v>46141</v>
      </c>
      <c r="Q11" s="1" t="s">
        <v>38</v>
      </c>
      <c r="R11" s="1">
        <v>25</v>
      </c>
      <c r="U11" s="1">
        <v>1</v>
      </c>
      <c r="V11" s="1">
        <v>1</v>
      </c>
      <c r="W11" s="1">
        <v>1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1</v>
      </c>
    </row>
    <row r="12" spans="1:32" hidden="1" x14ac:dyDescent="0.25">
      <c r="A12" s="1">
        <v>25</v>
      </c>
      <c r="B12" s="1" t="s">
        <v>126</v>
      </c>
      <c r="C12" s="1" t="s">
        <v>125</v>
      </c>
      <c r="D12" s="1" t="s">
        <v>72</v>
      </c>
      <c r="F12" s="1" t="s">
        <v>73</v>
      </c>
      <c r="G12" s="3">
        <v>46177</v>
      </c>
      <c r="H12" s="3">
        <v>46177</v>
      </c>
      <c r="I12" s="1">
        <v>24</v>
      </c>
      <c r="J12" s="1">
        <v>1</v>
      </c>
      <c r="K12" s="3">
        <v>46177</v>
      </c>
      <c r="L12" s="1" t="s">
        <v>46</v>
      </c>
      <c r="M12" s="1" t="s">
        <v>47</v>
      </c>
      <c r="N12" s="1" t="s">
        <v>105</v>
      </c>
      <c r="O12" s="1" t="s">
        <v>74</v>
      </c>
      <c r="P12" s="2">
        <v>46142</v>
      </c>
      <c r="Q12" s="1" t="s">
        <v>38</v>
      </c>
      <c r="R12" s="1" t="s">
        <v>127</v>
      </c>
      <c r="U12" s="1">
        <v>1</v>
      </c>
      <c r="V12" s="1">
        <v>0</v>
      </c>
      <c r="W12" s="1">
        <v>0</v>
      </c>
      <c r="X12" s="1">
        <v>0</v>
      </c>
      <c r="Y12" s="1">
        <v>0</v>
      </c>
      <c r="Z12" s="1">
        <v>1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</row>
    <row r="13" spans="1:32" x14ac:dyDescent="0.25">
      <c r="A13" s="1">
        <v>40</v>
      </c>
      <c r="B13" s="1" t="s">
        <v>169</v>
      </c>
      <c r="C13" s="1" t="s">
        <v>170</v>
      </c>
      <c r="D13" s="1" t="s">
        <v>67</v>
      </c>
      <c r="F13" s="1" t="s">
        <v>45</v>
      </c>
      <c r="G13" s="3">
        <v>46170</v>
      </c>
      <c r="H13" s="3">
        <v>46170</v>
      </c>
      <c r="I13" s="1" t="s">
        <v>171</v>
      </c>
      <c r="J13" s="1">
        <v>1</v>
      </c>
      <c r="K13" s="3">
        <v>46170</v>
      </c>
      <c r="L13" s="1" t="s">
        <v>46</v>
      </c>
      <c r="M13" s="1" t="s">
        <v>47</v>
      </c>
      <c r="N13" s="1" t="s">
        <v>136</v>
      </c>
      <c r="O13" s="1" t="s">
        <v>85</v>
      </c>
      <c r="P13" s="2">
        <v>46161</v>
      </c>
      <c r="Q13" s="1" t="s">
        <v>38</v>
      </c>
      <c r="R13" s="1">
        <v>41</v>
      </c>
      <c r="U13" s="1">
        <v>1</v>
      </c>
      <c r="V13" s="1">
        <v>1</v>
      </c>
      <c r="W13" s="1">
        <v>1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1</v>
      </c>
    </row>
    <row r="14" spans="1:32" hidden="1" x14ac:dyDescent="0.25">
      <c r="A14" s="1">
        <v>41</v>
      </c>
      <c r="B14" s="1" t="s">
        <v>172</v>
      </c>
      <c r="C14" s="1" t="s">
        <v>170</v>
      </c>
      <c r="D14" s="1" t="s">
        <v>72</v>
      </c>
      <c r="F14" s="1" t="s">
        <v>73</v>
      </c>
      <c r="G14" s="3">
        <v>46171</v>
      </c>
      <c r="H14" s="3">
        <v>46171</v>
      </c>
      <c r="I14" s="1">
        <v>40</v>
      </c>
      <c r="J14" s="1">
        <v>1</v>
      </c>
      <c r="K14" s="3">
        <v>46171</v>
      </c>
      <c r="L14" s="1" t="s">
        <v>46</v>
      </c>
      <c r="M14" s="1" t="s">
        <v>47</v>
      </c>
      <c r="N14" s="1" t="s">
        <v>136</v>
      </c>
      <c r="O14" s="1" t="s">
        <v>173</v>
      </c>
      <c r="P14" s="2">
        <v>46162</v>
      </c>
      <c r="Q14" s="1" t="s">
        <v>38</v>
      </c>
      <c r="R14" s="1">
        <v>42</v>
      </c>
      <c r="U14" s="1">
        <v>1</v>
      </c>
      <c r="V14" s="1">
        <v>0</v>
      </c>
      <c r="W14" s="1">
        <v>0</v>
      </c>
      <c r="X14" s="1">
        <v>0</v>
      </c>
      <c r="Y14" s="1">
        <v>0</v>
      </c>
      <c r="Z14" s="1">
        <v>1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</row>
    <row r="15" spans="1:32" x14ac:dyDescent="0.25">
      <c r="A15" s="1">
        <v>45</v>
      </c>
      <c r="B15" s="1" t="s">
        <v>181</v>
      </c>
      <c r="C15" s="1" t="s">
        <v>170</v>
      </c>
      <c r="D15" s="1" t="s">
        <v>67</v>
      </c>
      <c r="F15" s="1" t="s">
        <v>45</v>
      </c>
      <c r="G15" s="3">
        <v>46170</v>
      </c>
      <c r="H15" s="3">
        <v>46170</v>
      </c>
      <c r="I15" s="1" t="s">
        <v>171</v>
      </c>
      <c r="J15" s="1">
        <v>1</v>
      </c>
      <c r="K15" s="3">
        <v>46170</v>
      </c>
      <c r="L15" s="1" t="s">
        <v>46</v>
      </c>
      <c r="M15" s="1" t="s">
        <v>47</v>
      </c>
      <c r="N15" s="1" t="s">
        <v>136</v>
      </c>
      <c r="O15" s="1" t="s">
        <v>85</v>
      </c>
      <c r="P15" s="2">
        <v>46161</v>
      </c>
      <c r="Q15" s="1" t="s">
        <v>38</v>
      </c>
      <c r="R15" s="1">
        <v>46</v>
      </c>
      <c r="U15" s="1">
        <v>1</v>
      </c>
      <c r="V15" s="1">
        <v>1</v>
      </c>
      <c r="W15" s="1">
        <v>1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1</v>
      </c>
    </row>
    <row r="16" spans="1:32" hidden="1" x14ac:dyDescent="0.25">
      <c r="A16" s="1">
        <v>46</v>
      </c>
      <c r="B16" s="1" t="s">
        <v>182</v>
      </c>
      <c r="C16" s="1" t="s">
        <v>170</v>
      </c>
      <c r="D16" s="1" t="s">
        <v>72</v>
      </c>
      <c r="F16" s="1" t="s">
        <v>73</v>
      </c>
      <c r="G16" s="3">
        <v>46199</v>
      </c>
      <c r="H16" s="3">
        <v>46199</v>
      </c>
      <c r="I16" s="1">
        <v>45</v>
      </c>
      <c r="J16" s="1">
        <v>1</v>
      </c>
      <c r="K16" s="3">
        <v>46199</v>
      </c>
      <c r="L16" s="1" t="s">
        <v>46</v>
      </c>
      <c r="M16" s="1" t="s">
        <v>47</v>
      </c>
      <c r="N16" s="1" t="s">
        <v>136</v>
      </c>
      <c r="O16" s="1" t="s">
        <v>173</v>
      </c>
      <c r="P16" s="2">
        <v>46162</v>
      </c>
      <c r="Q16" s="1" t="s">
        <v>38</v>
      </c>
      <c r="R16" s="1">
        <v>47</v>
      </c>
      <c r="U16" s="1">
        <v>1</v>
      </c>
      <c r="V16" s="1">
        <v>0</v>
      </c>
      <c r="W16" s="1">
        <v>0</v>
      </c>
      <c r="X16" s="1">
        <v>0</v>
      </c>
      <c r="Y16" s="1">
        <v>0</v>
      </c>
      <c r="Z16" s="1">
        <v>1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</row>
    <row r="17" spans="1:32" x14ac:dyDescent="0.25">
      <c r="A17" s="1">
        <v>51</v>
      </c>
      <c r="B17" s="1" t="s">
        <v>193</v>
      </c>
      <c r="C17" s="1" t="s">
        <v>194</v>
      </c>
      <c r="D17" s="1" t="s">
        <v>67</v>
      </c>
      <c r="F17" s="1" t="s">
        <v>68</v>
      </c>
      <c r="G17" s="3">
        <v>46160</v>
      </c>
      <c r="H17" s="3">
        <v>46161</v>
      </c>
      <c r="I17" s="1" t="s">
        <v>195</v>
      </c>
      <c r="J17" s="1">
        <v>1</v>
      </c>
      <c r="K17" s="3">
        <v>46161</v>
      </c>
      <c r="L17" s="1" t="s">
        <v>46</v>
      </c>
      <c r="M17" s="1" t="s">
        <v>47</v>
      </c>
      <c r="N17" s="1" t="s">
        <v>188</v>
      </c>
      <c r="O17" s="1" t="s">
        <v>142</v>
      </c>
      <c r="P17" s="2">
        <v>46188</v>
      </c>
      <c r="Q17" s="1" t="s">
        <v>38</v>
      </c>
      <c r="R17" s="1" t="s">
        <v>196</v>
      </c>
      <c r="U17" s="1">
        <v>1</v>
      </c>
      <c r="V17" s="1">
        <v>1</v>
      </c>
      <c r="W17" s="1">
        <v>1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1</v>
      </c>
    </row>
    <row r="18" spans="1:32" hidden="1" x14ac:dyDescent="0.25">
      <c r="A18" s="1">
        <v>52</v>
      </c>
      <c r="B18" s="1" t="s">
        <v>197</v>
      </c>
      <c r="C18" s="1" t="s">
        <v>194</v>
      </c>
      <c r="D18" s="1" t="s">
        <v>72</v>
      </c>
      <c r="F18" s="1" t="s">
        <v>73</v>
      </c>
      <c r="G18" s="3">
        <v>46162</v>
      </c>
      <c r="H18" s="3">
        <v>46162</v>
      </c>
      <c r="I18" s="1">
        <v>51</v>
      </c>
      <c r="J18" s="1">
        <v>1</v>
      </c>
      <c r="K18" s="3">
        <v>46162</v>
      </c>
      <c r="L18" s="1" t="s">
        <v>46</v>
      </c>
      <c r="M18" s="1" t="s">
        <v>47</v>
      </c>
      <c r="N18" s="1" t="s">
        <v>188</v>
      </c>
      <c r="O18" s="1" t="s">
        <v>132</v>
      </c>
      <c r="P18" s="2">
        <v>46189</v>
      </c>
      <c r="Q18" s="1" t="s">
        <v>38</v>
      </c>
      <c r="R18" s="1">
        <v>53</v>
      </c>
      <c r="U18" s="1">
        <v>1</v>
      </c>
      <c r="V18" s="1">
        <v>0</v>
      </c>
      <c r="W18" s="1">
        <v>0</v>
      </c>
      <c r="X18" s="1">
        <v>0</v>
      </c>
      <c r="Y18" s="1">
        <v>0</v>
      </c>
      <c r="Z18" s="1">
        <v>1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</row>
    <row r="19" spans="1:32" hidden="1" x14ac:dyDescent="0.25">
      <c r="A19" s="1">
        <v>71</v>
      </c>
      <c r="B19" s="1" t="s">
        <v>232</v>
      </c>
      <c r="C19" s="1" t="s">
        <v>233</v>
      </c>
      <c r="D19" s="1" t="s">
        <v>234</v>
      </c>
      <c r="E19" s="1" t="s">
        <v>140</v>
      </c>
      <c r="F19" s="1" t="s">
        <v>141</v>
      </c>
      <c r="G19" s="3">
        <v>46181</v>
      </c>
      <c r="H19" s="3">
        <v>46191</v>
      </c>
      <c r="J19" s="1">
        <v>1</v>
      </c>
      <c r="K19" s="3">
        <v>46191</v>
      </c>
      <c r="L19" s="1" t="s">
        <v>46</v>
      </c>
      <c r="M19" s="1" t="s">
        <v>47</v>
      </c>
      <c r="N19" s="1" t="s">
        <v>231</v>
      </c>
      <c r="O19" s="1" t="s">
        <v>235</v>
      </c>
      <c r="P19" s="2">
        <v>46192</v>
      </c>
      <c r="Q19" s="1" t="s">
        <v>38</v>
      </c>
      <c r="U19" s="1">
        <v>1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</row>
    <row r="20" spans="1:32" x14ac:dyDescent="0.25">
      <c r="A20" s="1">
        <v>72</v>
      </c>
      <c r="B20" s="1" t="s">
        <v>236</v>
      </c>
      <c r="C20" s="1" t="s">
        <v>237</v>
      </c>
      <c r="D20" s="1" t="s">
        <v>67</v>
      </c>
      <c r="F20" s="1" t="s">
        <v>145</v>
      </c>
      <c r="G20" s="3">
        <v>46181</v>
      </c>
      <c r="H20" s="3">
        <v>46185</v>
      </c>
      <c r="I20" s="1" t="s">
        <v>195</v>
      </c>
      <c r="J20" s="1">
        <v>1</v>
      </c>
      <c r="K20" s="3">
        <v>46185</v>
      </c>
      <c r="L20" s="1" t="s">
        <v>46</v>
      </c>
      <c r="M20" s="1" t="s">
        <v>47</v>
      </c>
      <c r="N20" s="1" t="s">
        <v>231</v>
      </c>
      <c r="O20" s="1" t="s">
        <v>235</v>
      </c>
      <c r="P20" s="2">
        <v>46188</v>
      </c>
      <c r="Q20" s="1" t="s">
        <v>38</v>
      </c>
      <c r="R20" s="1" t="s">
        <v>238</v>
      </c>
      <c r="U20" s="1">
        <v>1</v>
      </c>
      <c r="V20" s="1">
        <v>1</v>
      </c>
      <c r="W20" s="1">
        <v>1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1</v>
      </c>
    </row>
    <row r="21" spans="1:32" hidden="1" x14ac:dyDescent="0.25">
      <c r="A21" s="1">
        <v>73</v>
      </c>
      <c r="B21" s="1" t="s">
        <v>239</v>
      </c>
      <c r="C21" s="1" t="s">
        <v>237</v>
      </c>
      <c r="D21" s="1" t="s">
        <v>72</v>
      </c>
      <c r="F21" s="1" t="s">
        <v>73</v>
      </c>
      <c r="G21" s="3">
        <v>46188</v>
      </c>
      <c r="H21" s="3">
        <v>46188</v>
      </c>
      <c r="I21" s="1">
        <v>72</v>
      </c>
      <c r="J21" s="1">
        <v>1</v>
      </c>
      <c r="K21" s="3">
        <v>46188</v>
      </c>
      <c r="L21" s="1" t="s">
        <v>46</v>
      </c>
      <c r="M21" s="1" t="s">
        <v>47</v>
      </c>
      <c r="N21" s="1" t="s">
        <v>231</v>
      </c>
      <c r="O21" s="1" t="s">
        <v>132</v>
      </c>
      <c r="P21" s="2">
        <v>46189</v>
      </c>
      <c r="Q21" s="1" t="s">
        <v>38</v>
      </c>
      <c r="R21" s="1">
        <v>74</v>
      </c>
      <c r="U21" s="1">
        <v>1</v>
      </c>
      <c r="V21" s="1">
        <v>0</v>
      </c>
      <c r="W21" s="1">
        <v>0</v>
      </c>
      <c r="X21" s="1">
        <v>0</v>
      </c>
      <c r="Y21" s="1">
        <v>0</v>
      </c>
      <c r="Z21" s="1">
        <v>1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</row>
    <row r="22" spans="1:32" hidden="1" x14ac:dyDescent="0.25">
      <c r="A22" s="1">
        <v>74</v>
      </c>
      <c r="B22" s="1" t="s">
        <v>240</v>
      </c>
      <c r="C22" s="1" t="s">
        <v>237</v>
      </c>
      <c r="D22" s="1" t="s">
        <v>77</v>
      </c>
      <c r="F22" s="1" t="s">
        <v>68</v>
      </c>
      <c r="G22" s="3">
        <v>46189</v>
      </c>
      <c r="H22" s="3">
        <v>46190</v>
      </c>
      <c r="I22" s="1">
        <v>73</v>
      </c>
      <c r="J22" s="1">
        <v>1</v>
      </c>
      <c r="K22" s="3">
        <v>46190</v>
      </c>
      <c r="L22" s="1" t="s">
        <v>46</v>
      </c>
      <c r="M22" s="1" t="s">
        <v>47</v>
      </c>
      <c r="N22" s="1" t="s">
        <v>231</v>
      </c>
      <c r="O22" s="1" t="s">
        <v>150</v>
      </c>
      <c r="P22" s="2">
        <v>46191</v>
      </c>
      <c r="Q22" s="1" t="s">
        <v>38</v>
      </c>
      <c r="R22" s="1">
        <v>75</v>
      </c>
      <c r="U22" s="1">
        <v>1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1</v>
      </c>
      <c r="AC22" s="1">
        <v>0</v>
      </c>
      <c r="AD22" s="1">
        <v>0</v>
      </c>
      <c r="AE22" s="1">
        <v>0</v>
      </c>
      <c r="AF22" s="1">
        <v>0</v>
      </c>
    </row>
    <row r="23" spans="1:32" hidden="1" x14ac:dyDescent="0.25">
      <c r="A23" s="1">
        <v>75</v>
      </c>
      <c r="B23" s="1" t="s">
        <v>241</v>
      </c>
      <c r="C23" s="1" t="s">
        <v>237</v>
      </c>
      <c r="D23" s="1" t="s">
        <v>83</v>
      </c>
      <c r="F23" s="1" t="s">
        <v>73</v>
      </c>
      <c r="G23" s="3">
        <v>46191</v>
      </c>
      <c r="H23" s="3">
        <v>46191</v>
      </c>
      <c r="I23" s="1">
        <v>74</v>
      </c>
      <c r="J23" s="1">
        <v>1</v>
      </c>
      <c r="K23" s="3">
        <v>46191</v>
      </c>
      <c r="L23" s="1" t="s">
        <v>46</v>
      </c>
      <c r="M23" s="1" t="s">
        <v>47</v>
      </c>
      <c r="N23" s="1" t="s">
        <v>231</v>
      </c>
      <c r="O23" s="1" t="s">
        <v>152</v>
      </c>
      <c r="P23" s="2">
        <v>46192</v>
      </c>
      <c r="Q23" s="1" t="s">
        <v>38</v>
      </c>
      <c r="U23" s="1">
        <v>1</v>
      </c>
      <c r="V23" s="1">
        <v>0</v>
      </c>
      <c r="W23" s="1">
        <v>0</v>
      </c>
      <c r="X23" s="1">
        <v>0</v>
      </c>
      <c r="Y23" s="1">
        <v>1</v>
      </c>
      <c r="Z23" s="1">
        <v>0</v>
      </c>
      <c r="AA23" s="1">
        <v>0</v>
      </c>
      <c r="AB23" s="1">
        <v>0</v>
      </c>
      <c r="AC23" s="1">
        <v>0</v>
      </c>
      <c r="AD23" s="1">
        <v>1</v>
      </c>
      <c r="AE23" s="1">
        <v>0</v>
      </c>
      <c r="AF23" s="1">
        <v>0</v>
      </c>
    </row>
    <row r="24" spans="1:32" x14ac:dyDescent="0.25">
      <c r="A24" s="1">
        <v>114</v>
      </c>
      <c r="B24" s="1" t="s">
        <v>318</v>
      </c>
      <c r="C24" s="1" t="s">
        <v>319</v>
      </c>
      <c r="D24" s="1" t="s">
        <v>67</v>
      </c>
      <c r="F24" s="1" t="s">
        <v>192</v>
      </c>
      <c r="G24" s="3">
        <v>46181</v>
      </c>
      <c r="H24" s="3">
        <v>46188</v>
      </c>
      <c r="I24" s="1" t="s">
        <v>195</v>
      </c>
      <c r="J24" s="1">
        <v>1</v>
      </c>
      <c r="K24" s="3">
        <v>46188</v>
      </c>
      <c r="L24" s="1" t="s">
        <v>46</v>
      </c>
      <c r="M24" s="1" t="s">
        <v>47</v>
      </c>
      <c r="N24" s="1" t="s">
        <v>313</v>
      </c>
      <c r="O24" s="1" t="s">
        <v>142</v>
      </c>
      <c r="P24" s="2">
        <v>46188</v>
      </c>
      <c r="Q24" s="1" t="s">
        <v>38</v>
      </c>
      <c r="R24" s="1">
        <v>115</v>
      </c>
      <c r="U24" s="1">
        <v>1</v>
      </c>
      <c r="V24" s="1">
        <v>1</v>
      </c>
      <c r="W24" s="1">
        <v>1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1</v>
      </c>
    </row>
    <row r="25" spans="1:32" hidden="1" x14ac:dyDescent="0.25">
      <c r="A25" s="1">
        <v>115</v>
      </c>
      <c r="B25" s="1" t="s">
        <v>320</v>
      </c>
      <c r="C25" s="1" t="s">
        <v>319</v>
      </c>
      <c r="D25" s="1" t="s">
        <v>72</v>
      </c>
      <c r="F25" s="1" t="s">
        <v>73</v>
      </c>
      <c r="G25" s="3">
        <v>46188</v>
      </c>
      <c r="H25" s="3">
        <v>46188</v>
      </c>
      <c r="I25" s="1">
        <v>114</v>
      </c>
      <c r="J25" s="1">
        <v>1</v>
      </c>
      <c r="K25" s="3">
        <v>46188</v>
      </c>
      <c r="L25" s="1" t="s">
        <v>46</v>
      </c>
      <c r="M25" s="1" t="s">
        <v>47</v>
      </c>
      <c r="N25" s="1" t="s">
        <v>313</v>
      </c>
      <c r="O25" s="1" t="s">
        <v>132</v>
      </c>
      <c r="P25" s="2">
        <v>46189</v>
      </c>
      <c r="Q25" s="1" t="s">
        <v>38</v>
      </c>
      <c r="R25" s="1">
        <v>116</v>
      </c>
      <c r="U25" s="1">
        <v>1</v>
      </c>
      <c r="V25" s="1">
        <v>0</v>
      </c>
      <c r="W25" s="1">
        <v>0</v>
      </c>
      <c r="X25" s="1">
        <v>0</v>
      </c>
      <c r="Y25" s="1">
        <v>0</v>
      </c>
      <c r="Z25" s="1">
        <v>1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</row>
    <row r="26" spans="1:32" x14ac:dyDescent="0.25">
      <c r="A26" s="1">
        <v>130</v>
      </c>
      <c r="B26" s="1" t="s">
        <v>347</v>
      </c>
      <c r="C26" s="1" t="s">
        <v>348</v>
      </c>
      <c r="D26" s="1" t="s">
        <v>67</v>
      </c>
      <c r="F26" s="1" t="s">
        <v>45</v>
      </c>
      <c r="G26" s="3">
        <v>46170</v>
      </c>
      <c r="H26" s="3">
        <v>46170</v>
      </c>
      <c r="I26" s="1" t="s">
        <v>195</v>
      </c>
      <c r="J26" s="1">
        <v>1</v>
      </c>
      <c r="K26" s="3">
        <v>46170</v>
      </c>
      <c r="L26" s="1" t="s">
        <v>46</v>
      </c>
      <c r="M26" s="1" t="s">
        <v>47</v>
      </c>
      <c r="N26" s="1" t="s">
        <v>343</v>
      </c>
      <c r="O26" s="1" t="s">
        <v>142</v>
      </c>
      <c r="P26" s="2">
        <v>46188</v>
      </c>
      <c r="Q26" s="1" t="s">
        <v>38</v>
      </c>
      <c r="R26" s="1" t="s">
        <v>349</v>
      </c>
      <c r="U26" s="1">
        <v>1</v>
      </c>
      <c r="V26" s="1">
        <v>1</v>
      </c>
      <c r="W26" s="1">
        <v>1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1</v>
      </c>
    </row>
    <row r="27" spans="1:32" hidden="1" x14ac:dyDescent="0.25">
      <c r="A27" s="1">
        <v>131</v>
      </c>
      <c r="B27" s="1" t="s">
        <v>350</v>
      </c>
      <c r="C27" s="1" t="s">
        <v>348</v>
      </c>
      <c r="D27" s="1" t="s">
        <v>72</v>
      </c>
      <c r="F27" s="1" t="s">
        <v>73</v>
      </c>
      <c r="G27" s="3">
        <v>46171</v>
      </c>
      <c r="H27" s="3">
        <v>46171</v>
      </c>
      <c r="I27" s="1">
        <v>130</v>
      </c>
      <c r="J27" s="1">
        <v>1</v>
      </c>
      <c r="K27" s="3">
        <v>46171</v>
      </c>
      <c r="L27" s="1" t="s">
        <v>46</v>
      </c>
      <c r="M27" s="1" t="s">
        <v>47</v>
      </c>
      <c r="N27" s="1" t="s">
        <v>343</v>
      </c>
      <c r="O27" s="1" t="s">
        <v>132</v>
      </c>
      <c r="P27" s="2">
        <v>46189</v>
      </c>
      <c r="Q27" s="1" t="s">
        <v>38</v>
      </c>
      <c r="R27" s="1">
        <v>132</v>
      </c>
      <c r="U27" s="1">
        <v>1</v>
      </c>
      <c r="V27" s="1">
        <v>0</v>
      </c>
      <c r="W27" s="1">
        <v>0</v>
      </c>
      <c r="X27" s="1">
        <v>0</v>
      </c>
      <c r="Y27" s="1">
        <v>0</v>
      </c>
      <c r="Z27" s="1">
        <v>1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35"/>
  <sheetViews>
    <sheetView workbookViewId="0">
      <selection activeCell="G41" sqref="G41"/>
    </sheetView>
  </sheetViews>
  <sheetFormatPr defaultRowHeight="15" x14ac:dyDescent="0.25"/>
  <cols>
    <col min="1" max="1" width="7.28515625" style="1" bestFit="1" customWidth="1"/>
    <col min="2" max="2" width="9.28515625" style="1" bestFit="1" customWidth="1"/>
    <col min="3" max="3" width="30.42578125" style="1" bestFit="1" customWidth="1"/>
    <col min="4" max="4" width="27.28515625" style="1" bestFit="1" customWidth="1"/>
    <col min="5" max="5" width="29.85546875" style="1" bestFit="1" customWidth="1"/>
    <col min="6" max="6" width="12.7109375" style="1" bestFit="1" customWidth="1"/>
    <col min="7" max="8" width="18.28515625" style="3" bestFit="1" customWidth="1"/>
    <col min="9" max="9" width="18.42578125" style="1" bestFit="1" customWidth="1"/>
    <col min="10" max="10" width="16" style="4" bestFit="1" customWidth="1"/>
    <col min="11" max="11" width="16.85546875" style="1" bestFit="1" customWidth="1"/>
    <col min="12" max="12" width="11" style="1" bestFit="1" customWidth="1"/>
    <col min="13" max="13" width="11.140625" style="1" bestFit="1" customWidth="1"/>
    <col min="14" max="14" width="32.140625" style="1" bestFit="1" customWidth="1"/>
    <col min="15" max="15" width="16.5703125" style="1" bestFit="1" customWidth="1"/>
    <col min="16" max="16" width="19.28515625" style="1" bestFit="1" customWidth="1"/>
    <col min="17" max="17" width="14.5703125" style="1" bestFit="1" customWidth="1"/>
    <col min="18" max="18" width="74.5703125" style="1" bestFit="1" customWidth="1"/>
    <col min="19" max="19" width="16.42578125" style="1" bestFit="1" customWidth="1"/>
    <col min="20" max="20" width="23.5703125" style="1" bestFit="1" customWidth="1"/>
    <col min="21" max="21" width="11.85546875" style="1" bestFit="1" customWidth="1"/>
    <col min="22" max="22" width="23.28515625" style="1" bestFit="1" customWidth="1"/>
    <col min="23" max="23" width="27.7109375" style="1" bestFit="1" customWidth="1"/>
    <col min="24" max="24" width="27" style="1" bestFit="1" customWidth="1"/>
    <col min="25" max="25" width="19.5703125" style="1" bestFit="1" customWidth="1"/>
    <col min="26" max="26" width="32.7109375" style="1" bestFit="1" customWidth="1"/>
    <col min="27" max="27" width="29.42578125" style="1" bestFit="1" customWidth="1"/>
    <col min="28" max="28" width="40.5703125" style="1" bestFit="1" customWidth="1"/>
    <col min="29" max="29" width="26.140625" style="1" bestFit="1" customWidth="1"/>
    <col min="30" max="30" width="24" style="1" bestFit="1" customWidth="1"/>
    <col min="31" max="31" width="23.28515625" style="1" bestFit="1" customWidth="1"/>
    <col min="32" max="32" width="14.5703125" style="1" bestFit="1" customWidth="1"/>
    <col min="33" max="16384" width="9.140625" style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4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idden="1" x14ac:dyDescent="0.25">
      <c r="A2" s="1">
        <v>12</v>
      </c>
      <c r="B2" s="1" t="s">
        <v>86</v>
      </c>
      <c r="C2" s="1" t="s">
        <v>61</v>
      </c>
      <c r="D2" s="1" t="s">
        <v>87</v>
      </c>
      <c r="E2" s="1" t="s">
        <v>88</v>
      </c>
      <c r="F2" s="1" t="s">
        <v>89</v>
      </c>
      <c r="G2" s="3">
        <v>46176</v>
      </c>
      <c r="H2" s="3">
        <v>46197</v>
      </c>
      <c r="J2" s="4">
        <v>0.81</v>
      </c>
      <c r="L2" s="1" t="s">
        <v>34</v>
      </c>
      <c r="M2" s="1" t="s">
        <v>47</v>
      </c>
      <c r="N2" s="1" t="s">
        <v>59</v>
      </c>
      <c r="O2" s="1" t="s">
        <v>74</v>
      </c>
      <c r="P2" s="2">
        <v>46161</v>
      </c>
      <c r="Q2" s="1" t="s">
        <v>38</v>
      </c>
      <c r="U2" s="1">
        <v>0.81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</row>
    <row r="3" spans="1:32" hidden="1" x14ac:dyDescent="0.25">
      <c r="A3" s="1">
        <v>15</v>
      </c>
      <c r="B3" s="1" t="s">
        <v>97</v>
      </c>
      <c r="C3" s="1" t="s">
        <v>91</v>
      </c>
      <c r="D3" s="1" t="s">
        <v>77</v>
      </c>
      <c r="F3" s="1" t="s">
        <v>73</v>
      </c>
      <c r="G3" s="3">
        <v>46196</v>
      </c>
      <c r="H3" s="3">
        <v>46196</v>
      </c>
      <c r="I3" s="1" t="s">
        <v>98</v>
      </c>
      <c r="J3" s="4">
        <v>0.5</v>
      </c>
      <c r="L3" s="1" t="s">
        <v>34</v>
      </c>
      <c r="M3" s="1" t="s">
        <v>47</v>
      </c>
      <c r="N3" s="1" t="s">
        <v>59</v>
      </c>
      <c r="O3" s="1" t="s">
        <v>99</v>
      </c>
      <c r="P3" s="2">
        <v>46160</v>
      </c>
      <c r="Q3" s="1" t="s">
        <v>38</v>
      </c>
      <c r="R3" s="1">
        <v>16</v>
      </c>
      <c r="U3" s="1">
        <v>0.5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1</v>
      </c>
      <c r="AD3" s="1">
        <v>0</v>
      </c>
      <c r="AE3" s="1">
        <v>0</v>
      </c>
      <c r="AF3" s="1">
        <v>0</v>
      </c>
    </row>
    <row r="4" spans="1:32" hidden="1" x14ac:dyDescent="0.25">
      <c r="A4" s="1">
        <v>16</v>
      </c>
      <c r="B4" s="1" t="s">
        <v>100</v>
      </c>
      <c r="C4" s="1" t="s">
        <v>91</v>
      </c>
      <c r="D4" s="1" t="s">
        <v>83</v>
      </c>
      <c r="F4" s="1" t="s">
        <v>73</v>
      </c>
      <c r="G4" s="3">
        <v>46197</v>
      </c>
      <c r="H4" s="3">
        <v>46197</v>
      </c>
      <c r="I4" s="1">
        <v>15</v>
      </c>
      <c r="J4" s="4">
        <v>0</v>
      </c>
      <c r="L4" s="1" t="s">
        <v>34</v>
      </c>
      <c r="M4" s="1" t="s">
        <v>47</v>
      </c>
      <c r="N4" s="1" t="s">
        <v>59</v>
      </c>
      <c r="O4" s="1" t="s">
        <v>101</v>
      </c>
      <c r="P4" s="2">
        <v>46161</v>
      </c>
      <c r="Q4" s="1" t="s">
        <v>38</v>
      </c>
      <c r="U4" s="1">
        <v>0</v>
      </c>
      <c r="V4" s="1">
        <v>0</v>
      </c>
      <c r="W4" s="1">
        <v>0</v>
      </c>
      <c r="X4" s="1">
        <v>0</v>
      </c>
      <c r="Y4" s="1">
        <v>1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1</v>
      </c>
      <c r="AF4" s="1">
        <v>0</v>
      </c>
    </row>
    <row r="5" spans="1:32" hidden="1" x14ac:dyDescent="0.25">
      <c r="A5" s="1">
        <v>18</v>
      </c>
      <c r="B5" s="1" t="s">
        <v>106</v>
      </c>
      <c r="C5" s="1" t="s">
        <v>107</v>
      </c>
      <c r="D5" s="1" t="s">
        <v>108</v>
      </c>
      <c r="E5" s="1" t="s">
        <v>109</v>
      </c>
      <c r="F5" s="1" t="s">
        <v>110</v>
      </c>
      <c r="G5" s="3">
        <v>46195</v>
      </c>
      <c r="H5" s="3">
        <v>46203</v>
      </c>
      <c r="J5" s="4">
        <v>0.71</v>
      </c>
      <c r="L5" s="1" t="s">
        <v>34</v>
      </c>
      <c r="M5" s="1" t="s">
        <v>47</v>
      </c>
      <c r="N5" s="1" t="s">
        <v>105</v>
      </c>
      <c r="O5" s="1" t="s">
        <v>111</v>
      </c>
      <c r="P5" s="2">
        <v>46231</v>
      </c>
      <c r="Q5" s="1" t="s">
        <v>38</v>
      </c>
      <c r="U5" s="1">
        <v>0.71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</row>
    <row r="6" spans="1:32" hidden="1" x14ac:dyDescent="0.25">
      <c r="A6" s="1">
        <v>21</v>
      </c>
      <c r="B6" s="1" t="s">
        <v>117</v>
      </c>
      <c r="C6" s="1" t="s">
        <v>113</v>
      </c>
      <c r="D6" s="1" t="s">
        <v>77</v>
      </c>
      <c r="F6" s="1" t="s">
        <v>68</v>
      </c>
      <c r="G6" s="3">
        <v>46199</v>
      </c>
      <c r="H6" s="3">
        <v>46202</v>
      </c>
      <c r="I6" s="1">
        <v>20</v>
      </c>
      <c r="J6" s="4">
        <v>0.5</v>
      </c>
      <c r="L6" s="1" t="s">
        <v>34</v>
      </c>
      <c r="M6" s="1" t="s">
        <v>47</v>
      </c>
      <c r="N6" s="1" t="s">
        <v>105</v>
      </c>
      <c r="O6" s="1" t="s">
        <v>118</v>
      </c>
      <c r="P6" s="2">
        <v>46230</v>
      </c>
      <c r="Q6" s="1" t="s">
        <v>38</v>
      </c>
      <c r="R6" s="1">
        <v>22</v>
      </c>
      <c r="U6" s="1">
        <v>0.5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1</v>
      </c>
      <c r="AD6" s="1">
        <v>0</v>
      </c>
      <c r="AE6" s="1">
        <v>0</v>
      </c>
      <c r="AF6" s="1">
        <v>0</v>
      </c>
    </row>
    <row r="7" spans="1:32" hidden="1" x14ac:dyDescent="0.25">
      <c r="A7" s="1">
        <v>22</v>
      </c>
      <c r="B7" s="1" t="s">
        <v>119</v>
      </c>
      <c r="C7" s="1" t="s">
        <v>113</v>
      </c>
      <c r="D7" s="1" t="s">
        <v>83</v>
      </c>
      <c r="F7" s="1" t="s">
        <v>73</v>
      </c>
      <c r="G7" s="3">
        <v>46203</v>
      </c>
      <c r="H7" s="3">
        <v>46203</v>
      </c>
      <c r="I7" s="1">
        <v>21</v>
      </c>
      <c r="J7" s="4">
        <v>0</v>
      </c>
      <c r="L7" s="1" t="s">
        <v>34</v>
      </c>
      <c r="M7" s="1" t="s">
        <v>47</v>
      </c>
      <c r="N7" s="1" t="s">
        <v>105</v>
      </c>
      <c r="O7" s="1" t="s">
        <v>120</v>
      </c>
      <c r="P7" s="2">
        <v>46231</v>
      </c>
      <c r="Q7" s="1" t="s">
        <v>38</v>
      </c>
      <c r="U7" s="1">
        <v>0</v>
      </c>
      <c r="V7" s="1">
        <v>0</v>
      </c>
      <c r="W7" s="1">
        <v>0</v>
      </c>
      <c r="X7" s="1">
        <v>0</v>
      </c>
      <c r="Y7" s="1">
        <v>1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1</v>
      </c>
      <c r="AF7" s="1">
        <v>0</v>
      </c>
    </row>
    <row r="8" spans="1:32" hidden="1" x14ac:dyDescent="0.25">
      <c r="A8" s="1">
        <v>29</v>
      </c>
      <c r="B8" s="1" t="s">
        <v>137</v>
      </c>
      <c r="C8" s="1" t="s">
        <v>138</v>
      </c>
      <c r="D8" s="1" t="s">
        <v>139</v>
      </c>
      <c r="E8" s="1" t="s">
        <v>140</v>
      </c>
      <c r="F8" s="1" t="s">
        <v>141</v>
      </c>
      <c r="G8" s="3">
        <v>46181</v>
      </c>
      <c r="H8" s="3">
        <v>46191</v>
      </c>
      <c r="J8" s="4">
        <v>0.28000000000000003</v>
      </c>
      <c r="L8" s="1" t="s">
        <v>34</v>
      </c>
      <c r="M8" s="1" t="s">
        <v>47</v>
      </c>
      <c r="N8" s="1" t="s">
        <v>136</v>
      </c>
      <c r="O8" s="1" t="s">
        <v>142</v>
      </c>
      <c r="P8" s="2">
        <v>46192</v>
      </c>
      <c r="Q8" s="1" t="s">
        <v>38</v>
      </c>
      <c r="U8" s="1">
        <v>0.28000000000000003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</row>
    <row r="9" spans="1:32" x14ac:dyDescent="0.25">
      <c r="A9" s="1">
        <v>30</v>
      </c>
      <c r="B9" s="1" t="s">
        <v>143</v>
      </c>
      <c r="C9" s="1" t="s">
        <v>144</v>
      </c>
      <c r="D9" s="1" t="s">
        <v>67</v>
      </c>
      <c r="F9" s="1" t="s">
        <v>145</v>
      </c>
      <c r="G9" s="3">
        <v>46181</v>
      </c>
      <c r="H9" s="3">
        <v>46185</v>
      </c>
      <c r="I9" s="1">
        <v>13</v>
      </c>
      <c r="J9" s="4">
        <v>0.5</v>
      </c>
      <c r="L9" s="1" t="s">
        <v>34</v>
      </c>
      <c r="M9" s="1" t="s">
        <v>47</v>
      </c>
      <c r="N9" s="1" t="s">
        <v>136</v>
      </c>
      <c r="O9" s="1" t="s">
        <v>142</v>
      </c>
      <c r="P9" s="2">
        <v>46188</v>
      </c>
      <c r="Q9" s="1" t="s">
        <v>38</v>
      </c>
      <c r="R9" s="1" t="s">
        <v>146</v>
      </c>
      <c r="U9" s="1">
        <v>0.5</v>
      </c>
      <c r="V9" s="1">
        <v>1</v>
      </c>
      <c r="W9" s="1">
        <v>0</v>
      </c>
      <c r="X9" s="1">
        <v>1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</row>
    <row r="10" spans="1:32" hidden="1" x14ac:dyDescent="0.25">
      <c r="A10" s="1">
        <v>31</v>
      </c>
      <c r="B10" s="1" t="s">
        <v>147</v>
      </c>
      <c r="C10" s="1" t="s">
        <v>144</v>
      </c>
      <c r="D10" s="1" t="s">
        <v>72</v>
      </c>
      <c r="F10" s="1" t="s">
        <v>73</v>
      </c>
      <c r="G10" s="3">
        <v>46188</v>
      </c>
      <c r="H10" s="3">
        <v>46188</v>
      </c>
      <c r="I10" s="1">
        <v>30</v>
      </c>
      <c r="J10" s="4">
        <v>0</v>
      </c>
      <c r="L10" s="1" t="s">
        <v>34</v>
      </c>
      <c r="M10" s="1" t="s">
        <v>47</v>
      </c>
      <c r="N10" s="1" t="s">
        <v>148</v>
      </c>
      <c r="O10" s="1" t="s">
        <v>132</v>
      </c>
      <c r="P10" s="2">
        <v>46189</v>
      </c>
      <c r="Q10" s="1" t="s">
        <v>38</v>
      </c>
      <c r="R10" s="1">
        <v>32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1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</row>
    <row r="11" spans="1:32" hidden="1" x14ac:dyDescent="0.25">
      <c r="A11" s="1">
        <v>32</v>
      </c>
      <c r="B11" s="1" t="s">
        <v>149</v>
      </c>
      <c r="C11" s="1" t="s">
        <v>144</v>
      </c>
      <c r="D11" s="1" t="s">
        <v>77</v>
      </c>
      <c r="F11" s="1" t="s">
        <v>68</v>
      </c>
      <c r="G11" s="3">
        <v>46189</v>
      </c>
      <c r="H11" s="3">
        <v>46190</v>
      </c>
      <c r="I11" s="1">
        <v>31</v>
      </c>
      <c r="J11" s="4">
        <v>0</v>
      </c>
      <c r="L11" s="1" t="s">
        <v>34</v>
      </c>
      <c r="M11" s="1" t="s">
        <v>47</v>
      </c>
      <c r="N11" s="1" t="s">
        <v>148</v>
      </c>
      <c r="O11" s="1" t="s">
        <v>150</v>
      </c>
      <c r="P11" s="2">
        <v>46191</v>
      </c>
      <c r="Q11" s="1" t="s">
        <v>38</v>
      </c>
      <c r="R11" s="1">
        <v>33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1</v>
      </c>
      <c r="AD11" s="1">
        <v>0</v>
      </c>
      <c r="AE11" s="1">
        <v>0</v>
      </c>
      <c r="AF11" s="1">
        <v>0</v>
      </c>
    </row>
    <row r="12" spans="1:32" hidden="1" x14ac:dyDescent="0.25">
      <c r="A12" s="1">
        <v>33</v>
      </c>
      <c r="B12" s="1" t="s">
        <v>151</v>
      </c>
      <c r="C12" s="1" t="s">
        <v>144</v>
      </c>
      <c r="D12" s="1" t="s">
        <v>83</v>
      </c>
      <c r="F12" s="1" t="s">
        <v>73</v>
      </c>
      <c r="G12" s="3">
        <v>46191</v>
      </c>
      <c r="H12" s="3">
        <v>46191</v>
      </c>
      <c r="I12" s="1">
        <v>32</v>
      </c>
      <c r="J12" s="4">
        <v>0</v>
      </c>
      <c r="L12" s="1" t="s">
        <v>34</v>
      </c>
      <c r="M12" s="1" t="s">
        <v>47</v>
      </c>
      <c r="N12" s="1" t="s">
        <v>148</v>
      </c>
      <c r="O12" s="1" t="s">
        <v>152</v>
      </c>
      <c r="P12" s="2">
        <v>46192</v>
      </c>
      <c r="Q12" s="1" t="s">
        <v>38</v>
      </c>
      <c r="U12" s="1">
        <v>0</v>
      </c>
      <c r="V12" s="1">
        <v>0</v>
      </c>
      <c r="W12" s="1">
        <v>0</v>
      </c>
      <c r="X12" s="1">
        <v>0</v>
      </c>
      <c r="Y12" s="1">
        <v>1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1</v>
      </c>
      <c r="AF12" s="1">
        <v>0</v>
      </c>
    </row>
    <row r="13" spans="1:32" hidden="1" x14ac:dyDescent="0.25">
      <c r="A13" s="1">
        <v>39</v>
      </c>
      <c r="B13" s="1" t="s">
        <v>165</v>
      </c>
      <c r="C13" s="1" t="s">
        <v>138</v>
      </c>
      <c r="D13" s="1" t="s">
        <v>166</v>
      </c>
      <c r="E13" s="1" t="s">
        <v>167</v>
      </c>
      <c r="F13" s="1" t="s">
        <v>168</v>
      </c>
      <c r="G13" s="3">
        <v>46170</v>
      </c>
      <c r="H13" s="3">
        <v>46176</v>
      </c>
      <c r="J13" s="4">
        <v>0.63</v>
      </c>
      <c r="L13" s="1" t="s">
        <v>34</v>
      </c>
      <c r="M13" s="1" t="s">
        <v>47</v>
      </c>
      <c r="N13" s="1" t="s">
        <v>136</v>
      </c>
      <c r="O13" s="1" t="s">
        <v>85</v>
      </c>
      <c r="P13" s="2">
        <v>46167</v>
      </c>
      <c r="Q13" s="1" t="s">
        <v>38</v>
      </c>
      <c r="U13" s="1">
        <v>0.63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</row>
    <row r="14" spans="1:32" hidden="1" x14ac:dyDescent="0.25">
      <c r="A14" s="1">
        <v>42</v>
      </c>
      <c r="B14" s="1" t="s">
        <v>174</v>
      </c>
      <c r="C14" s="1" t="s">
        <v>170</v>
      </c>
      <c r="D14" s="1" t="s">
        <v>77</v>
      </c>
      <c r="F14" s="1" t="s">
        <v>68</v>
      </c>
      <c r="G14" s="3">
        <v>46174</v>
      </c>
      <c r="H14" s="3">
        <v>46175</v>
      </c>
      <c r="I14" s="1">
        <v>41</v>
      </c>
      <c r="J14" s="4">
        <v>0.75</v>
      </c>
      <c r="L14" s="1" t="s">
        <v>34</v>
      </c>
      <c r="M14" s="1" t="s">
        <v>47</v>
      </c>
      <c r="N14" s="1" t="s">
        <v>136</v>
      </c>
      <c r="O14" s="1" t="s">
        <v>175</v>
      </c>
      <c r="P14" s="2">
        <v>46164</v>
      </c>
      <c r="Q14" s="1" t="s">
        <v>38</v>
      </c>
      <c r="R14" s="1">
        <v>43</v>
      </c>
      <c r="U14" s="1">
        <v>0.75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1</v>
      </c>
      <c r="AD14" s="1">
        <v>0</v>
      </c>
      <c r="AE14" s="1">
        <v>0</v>
      </c>
      <c r="AF14" s="1">
        <v>0</v>
      </c>
    </row>
    <row r="15" spans="1:32" hidden="1" x14ac:dyDescent="0.25">
      <c r="A15" s="1">
        <v>43</v>
      </c>
      <c r="B15" s="1" t="s">
        <v>176</v>
      </c>
      <c r="C15" s="1" t="s">
        <v>170</v>
      </c>
      <c r="D15" s="1" t="s">
        <v>83</v>
      </c>
      <c r="F15" s="1" t="s">
        <v>73</v>
      </c>
      <c r="G15" s="3">
        <v>46176</v>
      </c>
      <c r="H15" s="3">
        <v>46176</v>
      </c>
      <c r="I15" s="1">
        <v>42</v>
      </c>
      <c r="J15" s="4">
        <v>0</v>
      </c>
      <c r="L15" s="1" t="s">
        <v>34</v>
      </c>
      <c r="M15" s="1" t="s">
        <v>47</v>
      </c>
      <c r="N15" s="1" t="s">
        <v>136</v>
      </c>
      <c r="O15" s="1" t="s">
        <v>177</v>
      </c>
      <c r="P15" s="2">
        <v>46167</v>
      </c>
      <c r="Q15" s="1" t="s">
        <v>38</v>
      </c>
      <c r="U15" s="1">
        <v>0</v>
      </c>
      <c r="V15" s="1">
        <v>0</v>
      </c>
      <c r="W15" s="1">
        <v>0</v>
      </c>
      <c r="X15" s="1">
        <v>0</v>
      </c>
      <c r="Y15" s="1">
        <v>1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1</v>
      </c>
      <c r="AF15" s="1">
        <v>0</v>
      </c>
    </row>
    <row r="16" spans="1:32" hidden="1" x14ac:dyDescent="0.25">
      <c r="A16" s="1">
        <v>44</v>
      </c>
      <c r="B16" s="1" t="s">
        <v>178</v>
      </c>
      <c r="C16" s="1" t="s">
        <v>138</v>
      </c>
      <c r="D16" s="1" t="s">
        <v>166</v>
      </c>
      <c r="E16" s="1" t="s">
        <v>179</v>
      </c>
      <c r="F16" s="1" t="s">
        <v>180</v>
      </c>
      <c r="G16" s="3">
        <v>46170</v>
      </c>
      <c r="H16" s="3">
        <v>46204</v>
      </c>
      <c r="J16" s="4">
        <v>0.63</v>
      </c>
      <c r="L16" s="1" t="s">
        <v>34</v>
      </c>
      <c r="M16" s="1" t="s">
        <v>47</v>
      </c>
      <c r="N16" s="1" t="s">
        <v>136</v>
      </c>
      <c r="O16" s="1" t="s">
        <v>85</v>
      </c>
      <c r="P16" s="2">
        <v>46167</v>
      </c>
      <c r="Q16" s="1" t="s">
        <v>38</v>
      </c>
      <c r="U16" s="1">
        <v>0.63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</row>
    <row r="17" spans="1:32" hidden="1" x14ac:dyDescent="0.25">
      <c r="A17" s="1">
        <v>47</v>
      </c>
      <c r="B17" s="1" t="s">
        <v>183</v>
      </c>
      <c r="C17" s="1" t="s">
        <v>170</v>
      </c>
      <c r="D17" s="1" t="s">
        <v>77</v>
      </c>
      <c r="F17" s="1" t="s">
        <v>68</v>
      </c>
      <c r="G17" s="3">
        <v>46202</v>
      </c>
      <c r="H17" s="3">
        <v>46203</v>
      </c>
      <c r="I17" s="1">
        <v>46</v>
      </c>
      <c r="J17" s="4">
        <v>0.75</v>
      </c>
      <c r="L17" s="1" t="s">
        <v>34</v>
      </c>
      <c r="M17" s="1" t="s">
        <v>47</v>
      </c>
      <c r="N17" s="1" t="s">
        <v>136</v>
      </c>
      <c r="O17" s="1" t="s">
        <v>175</v>
      </c>
      <c r="P17" s="2">
        <v>46164</v>
      </c>
      <c r="Q17" s="1" t="s">
        <v>38</v>
      </c>
      <c r="R17" s="1">
        <v>48</v>
      </c>
      <c r="U17" s="1">
        <v>0.75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1</v>
      </c>
      <c r="AD17" s="1">
        <v>0</v>
      </c>
      <c r="AE17" s="1">
        <v>0</v>
      </c>
      <c r="AF17" s="1">
        <v>0</v>
      </c>
    </row>
    <row r="18" spans="1:32" hidden="1" x14ac:dyDescent="0.25">
      <c r="A18" s="1">
        <v>48</v>
      </c>
      <c r="B18" s="1" t="s">
        <v>184</v>
      </c>
      <c r="C18" s="1" t="s">
        <v>170</v>
      </c>
      <c r="D18" s="1" t="s">
        <v>83</v>
      </c>
      <c r="F18" s="1" t="s">
        <v>73</v>
      </c>
      <c r="G18" s="3">
        <v>46204</v>
      </c>
      <c r="H18" s="3">
        <v>46204</v>
      </c>
      <c r="I18" s="1">
        <v>47</v>
      </c>
      <c r="J18" s="4">
        <v>0</v>
      </c>
      <c r="L18" s="1" t="s">
        <v>34</v>
      </c>
      <c r="M18" s="1" t="s">
        <v>47</v>
      </c>
      <c r="N18" s="1" t="s">
        <v>136</v>
      </c>
      <c r="O18" s="1" t="s">
        <v>177</v>
      </c>
      <c r="P18" s="2">
        <v>46167</v>
      </c>
      <c r="Q18" s="1" t="s">
        <v>38</v>
      </c>
      <c r="U18" s="1">
        <v>0</v>
      </c>
      <c r="V18" s="1">
        <v>0</v>
      </c>
      <c r="W18" s="1">
        <v>0</v>
      </c>
      <c r="X18" s="1">
        <v>0</v>
      </c>
      <c r="Y18" s="1">
        <v>1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1</v>
      </c>
      <c r="AF18" s="1">
        <v>0</v>
      </c>
    </row>
    <row r="19" spans="1:32" hidden="1" x14ac:dyDescent="0.25">
      <c r="A19" s="1">
        <v>50</v>
      </c>
      <c r="B19" s="1" t="s">
        <v>189</v>
      </c>
      <c r="C19" s="1" t="s">
        <v>190</v>
      </c>
      <c r="D19" s="1" t="s">
        <v>191</v>
      </c>
      <c r="E19" s="1" t="s">
        <v>140</v>
      </c>
      <c r="F19" s="1" t="s">
        <v>192</v>
      </c>
      <c r="G19" s="3">
        <v>46160</v>
      </c>
      <c r="H19" s="3">
        <v>46167</v>
      </c>
      <c r="J19" s="4">
        <v>0.67</v>
      </c>
      <c r="L19" s="1" t="s">
        <v>34</v>
      </c>
      <c r="M19" s="1" t="s">
        <v>47</v>
      </c>
      <c r="N19" s="1" t="s">
        <v>188</v>
      </c>
      <c r="O19" s="1" t="s">
        <v>142</v>
      </c>
      <c r="P19" s="2">
        <v>46192</v>
      </c>
      <c r="Q19" s="1" t="s">
        <v>38</v>
      </c>
      <c r="U19" s="1">
        <v>0.67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</row>
    <row r="20" spans="1:32" hidden="1" x14ac:dyDescent="0.25">
      <c r="A20" s="1">
        <v>53</v>
      </c>
      <c r="B20" s="1" t="s">
        <v>198</v>
      </c>
      <c r="C20" s="1" t="s">
        <v>194</v>
      </c>
      <c r="D20" s="1" t="s">
        <v>77</v>
      </c>
      <c r="F20" s="1" t="s">
        <v>68</v>
      </c>
      <c r="G20" s="3">
        <v>46163</v>
      </c>
      <c r="H20" s="3">
        <v>46164</v>
      </c>
      <c r="I20" s="1">
        <v>52</v>
      </c>
      <c r="J20" s="4">
        <v>0.5</v>
      </c>
      <c r="L20" s="1" t="s">
        <v>34</v>
      </c>
      <c r="M20" s="1" t="s">
        <v>47</v>
      </c>
      <c r="N20" s="1" t="s">
        <v>188</v>
      </c>
      <c r="O20" s="1" t="s">
        <v>150</v>
      </c>
      <c r="P20" s="2">
        <v>46191</v>
      </c>
      <c r="Q20" s="1" t="s">
        <v>38</v>
      </c>
      <c r="R20" s="1">
        <v>54</v>
      </c>
      <c r="U20" s="1">
        <v>0.5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1</v>
      </c>
      <c r="AD20" s="1">
        <v>0</v>
      </c>
      <c r="AE20" s="1">
        <v>0</v>
      </c>
      <c r="AF20" s="1">
        <v>0</v>
      </c>
    </row>
    <row r="21" spans="1:32" hidden="1" x14ac:dyDescent="0.25">
      <c r="A21" s="1">
        <v>54</v>
      </c>
      <c r="B21" s="1" t="s">
        <v>199</v>
      </c>
      <c r="C21" s="1" t="s">
        <v>194</v>
      </c>
      <c r="D21" s="1" t="s">
        <v>83</v>
      </c>
      <c r="F21" s="1" t="s">
        <v>73</v>
      </c>
      <c r="G21" s="3">
        <v>46167</v>
      </c>
      <c r="H21" s="3">
        <v>46167</v>
      </c>
      <c r="I21" s="1">
        <v>53</v>
      </c>
      <c r="J21" s="4">
        <v>0</v>
      </c>
      <c r="L21" s="1" t="s">
        <v>34</v>
      </c>
      <c r="M21" s="1" t="s">
        <v>47</v>
      </c>
      <c r="N21" s="1" t="s">
        <v>188</v>
      </c>
      <c r="O21" s="1" t="s">
        <v>152</v>
      </c>
      <c r="P21" s="2">
        <v>46192</v>
      </c>
      <c r="Q21" s="1" t="s">
        <v>38</v>
      </c>
      <c r="U21" s="1">
        <v>0</v>
      </c>
      <c r="V21" s="1">
        <v>0</v>
      </c>
      <c r="W21" s="1">
        <v>0</v>
      </c>
      <c r="X21" s="1">
        <v>0</v>
      </c>
      <c r="Y21" s="1">
        <v>1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1</v>
      </c>
      <c r="AF21" s="1">
        <v>0</v>
      </c>
    </row>
    <row r="22" spans="1:32" hidden="1" x14ac:dyDescent="0.25">
      <c r="A22" s="1">
        <v>97</v>
      </c>
      <c r="B22" s="1" t="s">
        <v>286</v>
      </c>
      <c r="C22" s="1" t="s">
        <v>287</v>
      </c>
      <c r="D22" s="1" t="s">
        <v>288</v>
      </c>
      <c r="E22" s="1" t="s">
        <v>140</v>
      </c>
      <c r="F22" s="1" t="s">
        <v>110</v>
      </c>
      <c r="G22" s="3">
        <v>46183</v>
      </c>
      <c r="H22" s="3">
        <v>46191</v>
      </c>
      <c r="J22" s="4">
        <v>0.21</v>
      </c>
      <c r="L22" s="1" t="s">
        <v>34</v>
      </c>
      <c r="M22" s="1" t="s">
        <v>47</v>
      </c>
      <c r="N22" s="1" t="s">
        <v>284</v>
      </c>
      <c r="O22" s="1" t="s">
        <v>142</v>
      </c>
      <c r="P22" s="2">
        <v>46192</v>
      </c>
      <c r="Q22" s="1" t="s">
        <v>38</v>
      </c>
      <c r="U22" s="1">
        <v>0.21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</row>
    <row r="23" spans="1:32" x14ac:dyDescent="0.25">
      <c r="A23" s="1">
        <v>98</v>
      </c>
      <c r="B23" s="1" t="s">
        <v>289</v>
      </c>
      <c r="C23" s="1" t="s">
        <v>290</v>
      </c>
      <c r="D23" s="1" t="s">
        <v>67</v>
      </c>
      <c r="F23" s="1" t="s">
        <v>92</v>
      </c>
      <c r="G23" s="3">
        <v>46183</v>
      </c>
      <c r="H23" s="3">
        <v>46185</v>
      </c>
      <c r="I23" s="1" t="s">
        <v>195</v>
      </c>
      <c r="J23" s="4">
        <v>0.5</v>
      </c>
      <c r="L23" s="1" t="s">
        <v>34</v>
      </c>
      <c r="M23" s="1" t="s">
        <v>47</v>
      </c>
      <c r="N23" s="1" t="s">
        <v>284</v>
      </c>
      <c r="O23" s="1" t="s">
        <v>142</v>
      </c>
      <c r="P23" s="2">
        <v>46188</v>
      </c>
      <c r="Q23" s="1" t="s">
        <v>38</v>
      </c>
      <c r="R23" s="1" t="s">
        <v>291</v>
      </c>
      <c r="U23" s="1">
        <v>0.5</v>
      </c>
      <c r="V23" s="1">
        <v>1</v>
      </c>
      <c r="W23" s="1">
        <v>0</v>
      </c>
      <c r="X23" s="1">
        <v>1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</row>
    <row r="24" spans="1:32" hidden="1" x14ac:dyDescent="0.25">
      <c r="A24" s="1">
        <v>99</v>
      </c>
      <c r="B24" s="1" t="s">
        <v>292</v>
      </c>
      <c r="C24" s="1" t="s">
        <v>290</v>
      </c>
      <c r="D24" s="1" t="s">
        <v>72</v>
      </c>
      <c r="F24" s="1" t="s">
        <v>73</v>
      </c>
      <c r="G24" s="3">
        <v>46188</v>
      </c>
      <c r="H24" s="3">
        <v>46188</v>
      </c>
      <c r="I24" s="1">
        <v>98</v>
      </c>
      <c r="J24" s="4">
        <v>0</v>
      </c>
      <c r="L24" s="1" t="s">
        <v>34</v>
      </c>
      <c r="M24" s="1" t="s">
        <v>47</v>
      </c>
      <c r="N24" s="1" t="s">
        <v>284</v>
      </c>
      <c r="O24" s="1" t="s">
        <v>132</v>
      </c>
      <c r="P24" s="2">
        <v>46189</v>
      </c>
      <c r="Q24" s="1" t="s">
        <v>38</v>
      </c>
      <c r="R24" s="1">
        <v>100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1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</row>
    <row r="25" spans="1:32" hidden="1" x14ac:dyDescent="0.25">
      <c r="A25" s="1">
        <v>100</v>
      </c>
      <c r="B25" s="1" t="s">
        <v>293</v>
      </c>
      <c r="C25" s="1" t="s">
        <v>290</v>
      </c>
      <c r="D25" s="1" t="s">
        <v>77</v>
      </c>
      <c r="F25" s="1" t="s">
        <v>68</v>
      </c>
      <c r="G25" s="3">
        <v>46189</v>
      </c>
      <c r="H25" s="3">
        <v>46190</v>
      </c>
      <c r="I25" s="1">
        <v>99</v>
      </c>
      <c r="J25" s="4">
        <v>0</v>
      </c>
      <c r="L25" s="1" t="s">
        <v>34</v>
      </c>
      <c r="M25" s="1" t="s">
        <v>47</v>
      </c>
      <c r="N25" s="1" t="s">
        <v>284</v>
      </c>
      <c r="O25" s="1" t="s">
        <v>150</v>
      </c>
      <c r="P25" s="2">
        <v>46191</v>
      </c>
      <c r="Q25" s="1" t="s">
        <v>38</v>
      </c>
      <c r="R25" s="1">
        <v>101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1</v>
      </c>
      <c r="AD25" s="1">
        <v>0</v>
      </c>
      <c r="AE25" s="1">
        <v>0</v>
      </c>
      <c r="AF25" s="1">
        <v>0</v>
      </c>
    </row>
    <row r="26" spans="1:32" hidden="1" x14ac:dyDescent="0.25">
      <c r="A26" s="1">
        <v>101</v>
      </c>
      <c r="B26" s="1" t="s">
        <v>294</v>
      </c>
      <c r="C26" s="1" t="s">
        <v>290</v>
      </c>
      <c r="D26" s="1" t="s">
        <v>83</v>
      </c>
      <c r="F26" s="1" t="s">
        <v>73</v>
      </c>
      <c r="G26" s="3">
        <v>46191</v>
      </c>
      <c r="H26" s="3">
        <v>46191</v>
      </c>
      <c r="I26" s="1">
        <v>100</v>
      </c>
      <c r="J26" s="4">
        <v>0</v>
      </c>
      <c r="L26" s="1" t="s">
        <v>34</v>
      </c>
      <c r="M26" s="1" t="s">
        <v>47</v>
      </c>
      <c r="N26" s="1" t="s">
        <v>284</v>
      </c>
      <c r="O26" s="1" t="s">
        <v>152</v>
      </c>
      <c r="P26" s="2">
        <v>46192</v>
      </c>
      <c r="Q26" s="1" t="s">
        <v>38</v>
      </c>
      <c r="U26" s="1">
        <v>0</v>
      </c>
      <c r="V26" s="1">
        <v>0</v>
      </c>
      <c r="W26" s="1">
        <v>0</v>
      </c>
      <c r="X26" s="1">
        <v>0</v>
      </c>
      <c r="Y26" s="1">
        <v>1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1</v>
      </c>
      <c r="AF26" s="1">
        <v>0</v>
      </c>
    </row>
    <row r="27" spans="1:32" hidden="1" x14ac:dyDescent="0.25">
      <c r="A27" s="1">
        <v>113</v>
      </c>
      <c r="B27" s="1" t="s">
        <v>314</v>
      </c>
      <c r="C27" s="1" t="s">
        <v>315</v>
      </c>
      <c r="D27" s="1" t="s">
        <v>316</v>
      </c>
      <c r="E27" s="1" t="s">
        <v>140</v>
      </c>
      <c r="F27" s="1" t="s">
        <v>141</v>
      </c>
      <c r="G27" s="3">
        <v>46181</v>
      </c>
      <c r="H27" s="3">
        <v>46191</v>
      </c>
      <c r="J27" s="4">
        <v>0.8</v>
      </c>
      <c r="L27" s="1" t="s">
        <v>34</v>
      </c>
      <c r="M27" s="1" t="s">
        <v>47</v>
      </c>
      <c r="N27" s="1" t="s">
        <v>313</v>
      </c>
      <c r="O27" s="1" t="s">
        <v>142</v>
      </c>
      <c r="P27" s="2">
        <v>46192</v>
      </c>
      <c r="Q27" s="1" t="s">
        <v>38</v>
      </c>
      <c r="R27" s="1" t="s">
        <v>317</v>
      </c>
      <c r="U27" s="1">
        <v>0.8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</row>
    <row r="28" spans="1:32" hidden="1" x14ac:dyDescent="0.25">
      <c r="A28" s="1">
        <v>116</v>
      </c>
      <c r="B28" s="1" t="s">
        <v>321</v>
      </c>
      <c r="C28" s="1" t="s">
        <v>319</v>
      </c>
      <c r="D28" s="1" t="s">
        <v>77</v>
      </c>
      <c r="F28" s="1" t="s">
        <v>68</v>
      </c>
      <c r="G28" s="3">
        <v>46189</v>
      </c>
      <c r="H28" s="3">
        <v>46190</v>
      </c>
      <c r="I28" s="1">
        <v>115</v>
      </c>
      <c r="J28" s="4">
        <v>0.5</v>
      </c>
      <c r="L28" s="1" t="s">
        <v>34</v>
      </c>
      <c r="M28" s="1" t="s">
        <v>47</v>
      </c>
      <c r="N28" s="1" t="s">
        <v>313</v>
      </c>
      <c r="O28" s="1" t="s">
        <v>150</v>
      </c>
      <c r="P28" s="2">
        <v>46191</v>
      </c>
      <c r="Q28" s="1" t="s">
        <v>38</v>
      </c>
      <c r="R28" s="1">
        <v>117</v>
      </c>
      <c r="U28" s="1">
        <v>0.5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1</v>
      </c>
      <c r="AD28" s="1">
        <v>0</v>
      </c>
      <c r="AE28" s="1">
        <v>0</v>
      </c>
      <c r="AF28" s="1">
        <v>0</v>
      </c>
    </row>
    <row r="29" spans="1:32" hidden="1" x14ac:dyDescent="0.25">
      <c r="A29" s="1">
        <v>117</v>
      </c>
      <c r="B29" s="1" t="s">
        <v>322</v>
      </c>
      <c r="C29" s="1" t="s">
        <v>319</v>
      </c>
      <c r="D29" s="1" t="s">
        <v>83</v>
      </c>
      <c r="F29" s="1" t="s">
        <v>73</v>
      </c>
      <c r="G29" s="3">
        <v>46191</v>
      </c>
      <c r="H29" s="3">
        <v>46191</v>
      </c>
      <c r="I29" s="1">
        <v>116</v>
      </c>
      <c r="J29" s="4">
        <v>0</v>
      </c>
      <c r="L29" s="1" t="s">
        <v>34</v>
      </c>
      <c r="M29" s="1" t="s">
        <v>47</v>
      </c>
      <c r="N29" s="1" t="s">
        <v>313</v>
      </c>
      <c r="O29" s="1" t="s">
        <v>152</v>
      </c>
      <c r="P29" s="2">
        <v>46192</v>
      </c>
      <c r="Q29" s="1" t="s">
        <v>38</v>
      </c>
      <c r="U29" s="1">
        <v>0</v>
      </c>
      <c r="V29" s="1">
        <v>0</v>
      </c>
      <c r="W29" s="1">
        <v>0</v>
      </c>
      <c r="X29" s="1">
        <v>0</v>
      </c>
      <c r="Y29" s="1">
        <v>1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1</v>
      </c>
      <c r="AF29" s="1">
        <v>0</v>
      </c>
    </row>
    <row r="30" spans="1:32" hidden="1" x14ac:dyDescent="0.25">
      <c r="A30" s="1">
        <v>129</v>
      </c>
      <c r="B30" s="1" t="s">
        <v>344</v>
      </c>
      <c r="C30" s="1" t="s">
        <v>345</v>
      </c>
      <c r="D30" s="1" t="s">
        <v>346</v>
      </c>
      <c r="E30" s="1" t="s">
        <v>140</v>
      </c>
      <c r="F30" s="1" t="s">
        <v>168</v>
      </c>
      <c r="G30" s="3">
        <v>46170</v>
      </c>
      <c r="H30" s="3">
        <v>46176</v>
      </c>
      <c r="J30" s="4">
        <v>0.5</v>
      </c>
      <c r="L30" s="1" t="s">
        <v>34</v>
      </c>
      <c r="M30" s="1" t="s">
        <v>47</v>
      </c>
      <c r="N30" s="1" t="s">
        <v>343</v>
      </c>
      <c r="O30" s="1" t="s">
        <v>142</v>
      </c>
      <c r="P30" s="2">
        <v>46192</v>
      </c>
      <c r="Q30" s="1" t="s">
        <v>38</v>
      </c>
      <c r="U30" s="1">
        <v>0.5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</row>
    <row r="31" spans="1:32" hidden="1" x14ac:dyDescent="0.25">
      <c r="A31" s="1">
        <v>132</v>
      </c>
      <c r="B31" s="1" t="s">
        <v>351</v>
      </c>
      <c r="C31" s="1" t="s">
        <v>348</v>
      </c>
      <c r="D31" s="1" t="s">
        <v>77</v>
      </c>
      <c r="F31" s="1" t="s">
        <v>68</v>
      </c>
      <c r="G31" s="3">
        <v>46174</v>
      </c>
      <c r="H31" s="3">
        <v>46175</v>
      </c>
      <c r="I31" s="1">
        <v>131</v>
      </c>
      <c r="J31" s="4">
        <v>0.5</v>
      </c>
      <c r="L31" s="1" t="s">
        <v>34</v>
      </c>
      <c r="M31" s="1" t="s">
        <v>47</v>
      </c>
      <c r="N31" s="1" t="s">
        <v>343</v>
      </c>
      <c r="O31" s="1" t="s">
        <v>150</v>
      </c>
      <c r="P31" s="2">
        <v>46191</v>
      </c>
      <c r="Q31" s="1" t="s">
        <v>38</v>
      </c>
      <c r="R31" s="1">
        <v>133</v>
      </c>
      <c r="U31" s="1">
        <v>0.5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1</v>
      </c>
      <c r="AD31" s="1">
        <v>0</v>
      </c>
      <c r="AE31" s="1">
        <v>0</v>
      </c>
      <c r="AF31" s="1">
        <v>0</v>
      </c>
    </row>
    <row r="32" spans="1:32" hidden="1" x14ac:dyDescent="0.25">
      <c r="A32" s="1">
        <v>133</v>
      </c>
      <c r="B32" s="1" t="s">
        <v>352</v>
      </c>
      <c r="C32" s="1" t="s">
        <v>348</v>
      </c>
      <c r="D32" s="1" t="s">
        <v>83</v>
      </c>
      <c r="F32" s="1" t="s">
        <v>73</v>
      </c>
      <c r="G32" s="3">
        <v>46176</v>
      </c>
      <c r="H32" s="3">
        <v>46176</v>
      </c>
      <c r="I32" s="1">
        <v>132</v>
      </c>
      <c r="J32" s="4">
        <v>0</v>
      </c>
      <c r="L32" s="1" t="s">
        <v>34</v>
      </c>
      <c r="M32" s="1" t="s">
        <v>47</v>
      </c>
      <c r="N32" s="1" t="s">
        <v>343</v>
      </c>
      <c r="O32" s="1" t="s">
        <v>152</v>
      </c>
      <c r="P32" s="2">
        <v>46192</v>
      </c>
      <c r="Q32" s="1" t="s">
        <v>38</v>
      </c>
      <c r="U32" s="1">
        <v>0</v>
      </c>
      <c r="V32" s="1">
        <v>0</v>
      </c>
      <c r="W32" s="1">
        <v>0</v>
      </c>
      <c r="X32" s="1">
        <v>0</v>
      </c>
      <c r="Y32" s="1">
        <v>1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1</v>
      </c>
      <c r="AF32" s="1">
        <v>0</v>
      </c>
    </row>
    <row r="33" spans="1:32" x14ac:dyDescent="0.25">
      <c r="A33" s="1">
        <v>145</v>
      </c>
      <c r="B33" s="1" t="s">
        <v>373</v>
      </c>
      <c r="C33" s="1" t="s">
        <v>374</v>
      </c>
      <c r="D33" s="1" t="s">
        <v>67</v>
      </c>
      <c r="F33" s="1" t="s">
        <v>92</v>
      </c>
      <c r="G33" s="3">
        <v>46205</v>
      </c>
      <c r="H33" s="3">
        <v>46209</v>
      </c>
      <c r="J33" s="4">
        <v>0.9</v>
      </c>
      <c r="L33" s="1" t="s">
        <v>64</v>
      </c>
      <c r="M33" s="1" t="s">
        <v>47</v>
      </c>
      <c r="N33" s="1" t="s">
        <v>343</v>
      </c>
      <c r="O33" s="1" t="s">
        <v>355</v>
      </c>
      <c r="P33" s="2">
        <v>46168</v>
      </c>
      <c r="Q33" s="1" t="s">
        <v>38</v>
      </c>
      <c r="R33" s="1">
        <v>146</v>
      </c>
      <c r="U33" s="1">
        <v>0.9</v>
      </c>
      <c r="V33" s="1">
        <v>1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</row>
    <row r="35" spans="1:32" x14ac:dyDescent="0.25">
      <c r="J35" s="4">
        <v>1</v>
      </c>
    </row>
  </sheetData>
  <conditionalFormatting sqref="J1:J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{F72EAD0C-5A07-4E0B-BED2-DAA461E24292}</x14:id>
        </ext>
      </extLst>
    </cfRule>
  </conditionalFormatting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72EAD0C-5A07-4E0B-BED2-DAA461E2429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J1:J1048576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61"/>
  <sheetViews>
    <sheetView workbookViewId="0">
      <selection activeCell="I70" sqref="I70"/>
    </sheetView>
  </sheetViews>
  <sheetFormatPr defaultRowHeight="15" x14ac:dyDescent="0.25"/>
  <cols>
    <col min="1" max="1" width="14.5703125" style="1" bestFit="1" customWidth="1"/>
    <col min="2" max="2" width="7.28515625" style="1" bestFit="1" customWidth="1"/>
    <col min="3" max="3" width="9.28515625" style="1" bestFit="1" customWidth="1"/>
    <col min="4" max="4" width="30.42578125" style="1" bestFit="1" customWidth="1"/>
    <col min="5" max="5" width="27.28515625" style="1" bestFit="1" customWidth="1"/>
    <col min="6" max="6" width="12.42578125" style="1" bestFit="1" customWidth="1"/>
    <col min="7" max="7" width="16" style="4" bestFit="1" customWidth="1"/>
    <col min="8" max="8" width="23.5703125" style="1" bestFit="1" customWidth="1"/>
    <col min="9" max="9" width="32.140625" style="1" bestFit="1" customWidth="1"/>
    <col min="10" max="10" width="11.140625" style="1" bestFit="1" customWidth="1"/>
    <col min="11" max="16384" width="9.140625" style="1"/>
  </cols>
  <sheetData>
    <row r="1" spans="1:10" x14ac:dyDescent="0.25">
      <c r="A1" s="1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11</v>
      </c>
      <c r="G1" s="4" t="s">
        <v>9</v>
      </c>
      <c r="H1" s="1" t="s">
        <v>19</v>
      </c>
      <c r="I1" s="1" t="s">
        <v>13</v>
      </c>
      <c r="J1" s="1" t="s">
        <v>12</v>
      </c>
    </row>
    <row r="2" spans="1:10" hidden="1" x14ac:dyDescent="0.25">
      <c r="A2" s="1" t="s">
        <v>38</v>
      </c>
      <c r="B2" s="1">
        <v>1</v>
      </c>
      <c r="C2" s="1">
        <v>1</v>
      </c>
      <c r="E2" s="1" t="s">
        <v>32</v>
      </c>
      <c r="F2" s="1" t="s">
        <v>34</v>
      </c>
      <c r="G2" s="1">
        <v>0.28999999999999998</v>
      </c>
      <c r="I2" s="1" t="s">
        <v>36</v>
      </c>
      <c r="J2" s="1" t="s">
        <v>35</v>
      </c>
    </row>
    <row r="3" spans="1:10" hidden="1" x14ac:dyDescent="0.25">
      <c r="A3" s="1" t="s">
        <v>38</v>
      </c>
      <c r="B3" s="1">
        <v>2</v>
      </c>
      <c r="C3" s="1" t="s">
        <v>39</v>
      </c>
      <c r="D3" s="1" t="s">
        <v>40</v>
      </c>
      <c r="E3" s="1" t="s">
        <v>41</v>
      </c>
      <c r="F3" s="1" t="s">
        <v>34</v>
      </c>
      <c r="G3" s="1">
        <v>0.28999999999999998</v>
      </c>
      <c r="I3" s="1" t="s">
        <v>36</v>
      </c>
      <c r="J3" s="1" t="s">
        <v>35</v>
      </c>
    </row>
    <row r="4" spans="1:10" hidden="1" x14ac:dyDescent="0.25">
      <c r="A4" s="1" t="s">
        <v>38</v>
      </c>
      <c r="B4" s="1">
        <v>6</v>
      </c>
      <c r="C4" s="1" t="s">
        <v>56</v>
      </c>
      <c r="D4" s="1" t="s">
        <v>43</v>
      </c>
      <c r="E4" s="1" t="s">
        <v>57</v>
      </c>
      <c r="F4" s="1" t="s">
        <v>34</v>
      </c>
      <c r="G4" s="1">
        <v>0.77</v>
      </c>
      <c r="I4" s="1" t="s">
        <v>59</v>
      </c>
      <c r="J4" s="1" t="s">
        <v>35</v>
      </c>
    </row>
    <row r="5" spans="1:10" hidden="1" x14ac:dyDescent="0.25">
      <c r="A5" s="1" t="s">
        <v>38</v>
      </c>
      <c r="B5" s="1">
        <v>7</v>
      </c>
      <c r="C5" s="1" t="s">
        <v>60</v>
      </c>
      <c r="D5" s="1" t="s">
        <v>61</v>
      </c>
      <c r="E5" s="1" t="s">
        <v>62</v>
      </c>
      <c r="F5" s="1" t="s">
        <v>64</v>
      </c>
      <c r="G5" s="1">
        <v>0.7</v>
      </c>
      <c r="I5" s="1" t="s">
        <v>59</v>
      </c>
      <c r="J5" s="1" t="s">
        <v>35</v>
      </c>
    </row>
    <row r="6" spans="1:10" hidden="1" x14ac:dyDescent="0.25">
      <c r="A6" s="1" t="s">
        <v>38</v>
      </c>
      <c r="B6" s="1">
        <v>12</v>
      </c>
      <c r="C6" s="1" t="s">
        <v>86</v>
      </c>
      <c r="D6" s="1" t="s">
        <v>61</v>
      </c>
      <c r="E6" s="1" t="s">
        <v>87</v>
      </c>
      <c r="F6" s="1" t="s">
        <v>34</v>
      </c>
      <c r="G6" s="1">
        <v>0.81</v>
      </c>
      <c r="I6" s="1" t="s">
        <v>59</v>
      </c>
      <c r="J6" s="1" t="s">
        <v>47</v>
      </c>
    </row>
    <row r="7" spans="1:10" hidden="1" x14ac:dyDescent="0.25">
      <c r="A7" s="1" t="s">
        <v>38</v>
      </c>
      <c r="B7" s="1">
        <v>15</v>
      </c>
      <c r="C7" s="1" t="s">
        <v>97</v>
      </c>
      <c r="D7" s="1" t="s">
        <v>91</v>
      </c>
      <c r="E7" s="1" t="s">
        <v>77</v>
      </c>
      <c r="F7" s="1" t="s">
        <v>34</v>
      </c>
      <c r="G7" s="1">
        <v>0.5</v>
      </c>
      <c r="I7" s="1" t="s">
        <v>59</v>
      </c>
      <c r="J7" s="1" t="s">
        <v>47</v>
      </c>
    </row>
    <row r="8" spans="1:10" hidden="1" x14ac:dyDescent="0.25">
      <c r="A8" s="1" t="s">
        <v>38</v>
      </c>
      <c r="B8" s="1">
        <v>16</v>
      </c>
      <c r="C8" s="1" t="s">
        <v>100</v>
      </c>
      <c r="D8" s="1" t="s">
        <v>91</v>
      </c>
      <c r="E8" s="1" t="s">
        <v>83</v>
      </c>
      <c r="F8" s="1" t="s">
        <v>34</v>
      </c>
      <c r="G8" s="1">
        <v>0</v>
      </c>
      <c r="I8" s="1" t="s">
        <v>59</v>
      </c>
      <c r="J8" s="1" t="s">
        <v>47</v>
      </c>
    </row>
    <row r="9" spans="1:10" hidden="1" x14ac:dyDescent="0.25">
      <c r="A9" s="1" t="s">
        <v>38</v>
      </c>
      <c r="B9" s="1">
        <v>17</v>
      </c>
      <c r="C9" s="1" t="s">
        <v>102</v>
      </c>
      <c r="D9" s="1" t="s">
        <v>43</v>
      </c>
      <c r="E9" s="1" t="s">
        <v>103</v>
      </c>
      <c r="F9" s="1" t="s">
        <v>34</v>
      </c>
      <c r="G9" s="1">
        <v>0.71</v>
      </c>
      <c r="I9" s="1" t="s">
        <v>105</v>
      </c>
      <c r="J9" s="1" t="s">
        <v>47</v>
      </c>
    </row>
    <row r="10" spans="1:10" hidden="1" x14ac:dyDescent="0.25">
      <c r="A10" s="1" t="s">
        <v>38</v>
      </c>
      <c r="B10" s="1">
        <v>18</v>
      </c>
      <c r="C10" s="1" t="s">
        <v>106</v>
      </c>
      <c r="D10" s="1" t="s">
        <v>107</v>
      </c>
      <c r="E10" s="1" t="s">
        <v>108</v>
      </c>
      <c r="F10" s="1" t="s">
        <v>34</v>
      </c>
      <c r="G10" s="1">
        <v>0.71</v>
      </c>
      <c r="I10" s="1" t="s">
        <v>105</v>
      </c>
      <c r="J10" s="1" t="s">
        <v>47</v>
      </c>
    </row>
    <row r="11" spans="1:10" hidden="1" x14ac:dyDescent="0.25">
      <c r="A11" s="1" t="s">
        <v>38</v>
      </c>
      <c r="B11" s="1">
        <v>21</v>
      </c>
      <c r="C11" s="1" t="s">
        <v>117</v>
      </c>
      <c r="D11" s="1" t="s">
        <v>113</v>
      </c>
      <c r="E11" s="1" t="s">
        <v>77</v>
      </c>
      <c r="F11" s="1" t="s">
        <v>34</v>
      </c>
      <c r="G11" s="1">
        <v>0.5</v>
      </c>
      <c r="I11" s="1" t="s">
        <v>105</v>
      </c>
      <c r="J11" s="1" t="s">
        <v>47</v>
      </c>
    </row>
    <row r="12" spans="1:10" hidden="1" x14ac:dyDescent="0.25">
      <c r="A12" s="1" t="s">
        <v>38</v>
      </c>
      <c r="B12" s="1">
        <v>22</v>
      </c>
      <c r="C12" s="1" t="s">
        <v>119</v>
      </c>
      <c r="D12" s="1" t="s">
        <v>113</v>
      </c>
      <c r="E12" s="1" t="s">
        <v>83</v>
      </c>
      <c r="F12" s="1" t="s">
        <v>34</v>
      </c>
      <c r="G12" s="1">
        <v>0</v>
      </c>
      <c r="I12" s="1" t="s">
        <v>105</v>
      </c>
      <c r="J12" s="1" t="s">
        <v>47</v>
      </c>
    </row>
    <row r="13" spans="1:10" hidden="1" x14ac:dyDescent="0.25">
      <c r="A13" s="1" t="s">
        <v>38</v>
      </c>
      <c r="B13" s="1">
        <v>23</v>
      </c>
      <c r="C13" s="1" t="s">
        <v>121</v>
      </c>
      <c r="D13" s="1" t="s">
        <v>107</v>
      </c>
      <c r="E13" s="1" t="s">
        <v>122</v>
      </c>
      <c r="F13" s="1" t="s">
        <v>64</v>
      </c>
      <c r="G13" s="1">
        <v>0.71</v>
      </c>
      <c r="I13" s="1" t="s">
        <v>105</v>
      </c>
      <c r="J13" s="1" t="s">
        <v>47</v>
      </c>
    </row>
    <row r="14" spans="1:10" hidden="1" x14ac:dyDescent="0.25">
      <c r="A14" s="1" t="s">
        <v>38</v>
      </c>
      <c r="B14" s="1">
        <v>28</v>
      </c>
      <c r="C14" s="1" t="s">
        <v>133</v>
      </c>
      <c r="D14" s="1" t="s">
        <v>43</v>
      </c>
      <c r="E14" s="1" t="s">
        <v>134</v>
      </c>
      <c r="F14" s="1" t="s">
        <v>34</v>
      </c>
      <c r="G14" s="1">
        <v>0.31</v>
      </c>
      <c r="I14" s="1" t="s">
        <v>136</v>
      </c>
      <c r="J14" s="1" t="s">
        <v>47</v>
      </c>
    </row>
    <row r="15" spans="1:10" hidden="1" x14ac:dyDescent="0.25">
      <c r="A15" s="1" t="s">
        <v>38</v>
      </c>
      <c r="B15" s="1">
        <v>29</v>
      </c>
      <c r="C15" s="1" t="s">
        <v>137</v>
      </c>
      <c r="D15" s="1" t="s">
        <v>138</v>
      </c>
      <c r="E15" s="1" t="s">
        <v>139</v>
      </c>
      <c r="F15" s="1" t="s">
        <v>34</v>
      </c>
      <c r="G15" s="1">
        <v>0.28000000000000003</v>
      </c>
      <c r="I15" s="1" t="s">
        <v>136</v>
      </c>
      <c r="J15" s="1" t="s">
        <v>47</v>
      </c>
    </row>
    <row r="16" spans="1:10" x14ac:dyDescent="0.25">
      <c r="A16" s="1" t="s">
        <v>38</v>
      </c>
      <c r="B16" s="1">
        <v>30</v>
      </c>
      <c r="C16" s="1" t="s">
        <v>143</v>
      </c>
      <c r="D16" s="1" t="s">
        <v>144</v>
      </c>
      <c r="E16" s="1" t="s">
        <v>67</v>
      </c>
      <c r="F16" s="1" t="s">
        <v>34</v>
      </c>
      <c r="G16" s="4">
        <v>0.5</v>
      </c>
      <c r="I16" s="1" t="s">
        <v>136</v>
      </c>
      <c r="J16" s="1" t="s">
        <v>47</v>
      </c>
    </row>
    <row r="17" spans="1:10" hidden="1" x14ac:dyDescent="0.25">
      <c r="A17" s="1" t="s">
        <v>38</v>
      </c>
      <c r="B17" s="1">
        <v>31</v>
      </c>
      <c r="C17" s="1" t="s">
        <v>147</v>
      </c>
      <c r="D17" s="1" t="s">
        <v>144</v>
      </c>
      <c r="E17" s="1" t="s">
        <v>72</v>
      </c>
      <c r="F17" s="1" t="s">
        <v>34</v>
      </c>
      <c r="G17" s="1">
        <v>0</v>
      </c>
      <c r="I17" s="1" t="s">
        <v>148</v>
      </c>
      <c r="J17" s="1" t="s">
        <v>47</v>
      </c>
    </row>
    <row r="18" spans="1:10" hidden="1" x14ac:dyDescent="0.25">
      <c r="A18" s="1" t="s">
        <v>38</v>
      </c>
      <c r="B18" s="1">
        <v>32</v>
      </c>
      <c r="C18" s="1" t="s">
        <v>149</v>
      </c>
      <c r="D18" s="1" t="s">
        <v>144</v>
      </c>
      <c r="E18" s="1" t="s">
        <v>77</v>
      </c>
      <c r="F18" s="1" t="s">
        <v>34</v>
      </c>
      <c r="G18" s="1">
        <v>0</v>
      </c>
      <c r="I18" s="1" t="s">
        <v>148</v>
      </c>
      <c r="J18" s="1" t="s">
        <v>47</v>
      </c>
    </row>
    <row r="19" spans="1:10" hidden="1" x14ac:dyDescent="0.25">
      <c r="A19" s="1" t="s">
        <v>38</v>
      </c>
      <c r="B19" s="1">
        <v>33</v>
      </c>
      <c r="C19" s="1" t="s">
        <v>151</v>
      </c>
      <c r="D19" s="1" t="s">
        <v>144</v>
      </c>
      <c r="E19" s="1" t="s">
        <v>83</v>
      </c>
      <c r="F19" s="1" t="s">
        <v>34</v>
      </c>
      <c r="G19" s="1">
        <v>0</v>
      </c>
      <c r="I19" s="1" t="s">
        <v>148</v>
      </c>
      <c r="J19" s="1" t="s">
        <v>47</v>
      </c>
    </row>
    <row r="20" spans="1:10" hidden="1" x14ac:dyDescent="0.25">
      <c r="A20" s="1" t="s">
        <v>38</v>
      </c>
      <c r="B20" s="1">
        <v>39</v>
      </c>
      <c r="C20" s="1" t="s">
        <v>165</v>
      </c>
      <c r="D20" s="1" t="s">
        <v>138</v>
      </c>
      <c r="E20" s="1" t="s">
        <v>166</v>
      </c>
      <c r="F20" s="1" t="s">
        <v>34</v>
      </c>
      <c r="G20" s="1">
        <v>0.63</v>
      </c>
      <c r="I20" s="1" t="s">
        <v>136</v>
      </c>
      <c r="J20" s="1" t="s">
        <v>47</v>
      </c>
    </row>
    <row r="21" spans="1:10" hidden="1" x14ac:dyDescent="0.25">
      <c r="A21" s="1" t="s">
        <v>38</v>
      </c>
      <c r="B21" s="1">
        <v>42</v>
      </c>
      <c r="C21" s="1" t="s">
        <v>174</v>
      </c>
      <c r="D21" s="1" t="s">
        <v>170</v>
      </c>
      <c r="E21" s="1" t="s">
        <v>77</v>
      </c>
      <c r="F21" s="1" t="s">
        <v>34</v>
      </c>
      <c r="G21" s="1">
        <v>0.75</v>
      </c>
      <c r="I21" s="1" t="s">
        <v>136</v>
      </c>
      <c r="J21" s="1" t="s">
        <v>47</v>
      </c>
    </row>
    <row r="22" spans="1:10" hidden="1" x14ac:dyDescent="0.25">
      <c r="A22" s="1" t="s">
        <v>38</v>
      </c>
      <c r="B22" s="1">
        <v>43</v>
      </c>
      <c r="C22" s="1" t="s">
        <v>176</v>
      </c>
      <c r="D22" s="1" t="s">
        <v>170</v>
      </c>
      <c r="E22" s="1" t="s">
        <v>83</v>
      </c>
      <c r="F22" s="1" t="s">
        <v>34</v>
      </c>
      <c r="G22" s="1">
        <v>0</v>
      </c>
      <c r="I22" s="1" t="s">
        <v>136</v>
      </c>
      <c r="J22" s="1" t="s">
        <v>47</v>
      </c>
    </row>
    <row r="23" spans="1:10" hidden="1" x14ac:dyDescent="0.25">
      <c r="A23" s="1" t="s">
        <v>38</v>
      </c>
      <c r="B23" s="1">
        <v>44</v>
      </c>
      <c r="C23" s="1" t="s">
        <v>178</v>
      </c>
      <c r="D23" s="1" t="s">
        <v>138</v>
      </c>
      <c r="E23" s="1" t="s">
        <v>166</v>
      </c>
      <c r="F23" s="1" t="s">
        <v>34</v>
      </c>
      <c r="G23" s="1">
        <v>0.63</v>
      </c>
      <c r="I23" s="1" t="s">
        <v>136</v>
      </c>
      <c r="J23" s="1" t="s">
        <v>47</v>
      </c>
    </row>
    <row r="24" spans="1:10" hidden="1" x14ac:dyDescent="0.25">
      <c r="A24" s="1" t="s">
        <v>38</v>
      </c>
      <c r="B24" s="1">
        <v>47</v>
      </c>
      <c r="C24" s="1" t="s">
        <v>183</v>
      </c>
      <c r="D24" s="1" t="s">
        <v>170</v>
      </c>
      <c r="E24" s="1" t="s">
        <v>77</v>
      </c>
      <c r="F24" s="1" t="s">
        <v>34</v>
      </c>
      <c r="G24" s="1">
        <v>0.75</v>
      </c>
      <c r="I24" s="1" t="s">
        <v>136</v>
      </c>
      <c r="J24" s="1" t="s">
        <v>47</v>
      </c>
    </row>
    <row r="25" spans="1:10" hidden="1" x14ac:dyDescent="0.25">
      <c r="A25" s="1" t="s">
        <v>38</v>
      </c>
      <c r="B25" s="1">
        <v>48</v>
      </c>
      <c r="C25" s="1" t="s">
        <v>184</v>
      </c>
      <c r="D25" s="1" t="s">
        <v>170</v>
      </c>
      <c r="E25" s="1" t="s">
        <v>83</v>
      </c>
      <c r="F25" s="1" t="s">
        <v>34</v>
      </c>
      <c r="G25" s="1">
        <v>0</v>
      </c>
      <c r="I25" s="1" t="s">
        <v>136</v>
      </c>
      <c r="J25" s="1" t="s">
        <v>47</v>
      </c>
    </row>
    <row r="26" spans="1:10" hidden="1" x14ac:dyDescent="0.25">
      <c r="A26" s="1" t="s">
        <v>38</v>
      </c>
      <c r="B26" s="1">
        <v>49</v>
      </c>
      <c r="C26" s="1" t="s">
        <v>185</v>
      </c>
      <c r="D26" s="1" t="s">
        <v>43</v>
      </c>
      <c r="E26" s="1" t="s">
        <v>186</v>
      </c>
      <c r="F26" s="1" t="s">
        <v>34</v>
      </c>
      <c r="G26" s="1">
        <v>0.16</v>
      </c>
      <c r="I26" s="1" t="s">
        <v>188</v>
      </c>
      <c r="J26" s="1" t="s">
        <v>47</v>
      </c>
    </row>
    <row r="27" spans="1:10" hidden="1" x14ac:dyDescent="0.25">
      <c r="A27" s="1" t="s">
        <v>38</v>
      </c>
      <c r="B27" s="1">
        <v>50</v>
      </c>
      <c r="C27" s="1" t="s">
        <v>189</v>
      </c>
      <c r="D27" s="1" t="s">
        <v>190</v>
      </c>
      <c r="E27" s="1" t="s">
        <v>191</v>
      </c>
      <c r="F27" s="1" t="s">
        <v>34</v>
      </c>
      <c r="G27" s="1">
        <v>0.67</v>
      </c>
      <c r="I27" s="1" t="s">
        <v>188</v>
      </c>
      <c r="J27" s="1" t="s">
        <v>47</v>
      </c>
    </row>
    <row r="28" spans="1:10" hidden="1" x14ac:dyDescent="0.25">
      <c r="A28" s="1" t="s">
        <v>38</v>
      </c>
      <c r="B28" s="1">
        <v>53</v>
      </c>
      <c r="C28" s="1" t="s">
        <v>198</v>
      </c>
      <c r="D28" s="1" t="s">
        <v>194</v>
      </c>
      <c r="E28" s="1" t="s">
        <v>77</v>
      </c>
      <c r="F28" s="1" t="s">
        <v>34</v>
      </c>
      <c r="G28" s="1">
        <v>0.5</v>
      </c>
      <c r="I28" s="1" t="s">
        <v>188</v>
      </c>
      <c r="J28" s="1" t="s">
        <v>47</v>
      </c>
    </row>
    <row r="29" spans="1:10" hidden="1" x14ac:dyDescent="0.25">
      <c r="A29" s="1" t="s">
        <v>38</v>
      </c>
      <c r="B29" s="1">
        <v>54</v>
      </c>
      <c r="C29" s="1" t="s">
        <v>199</v>
      </c>
      <c r="D29" s="1" t="s">
        <v>194</v>
      </c>
      <c r="E29" s="1" t="s">
        <v>83</v>
      </c>
      <c r="F29" s="1" t="s">
        <v>34</v>
      </c>
      <c r="G29" s="1">
        <v>0</v>
      </c>
      <c r="I29" s="1" t="s">
        <v>188</v>
      </c>
      <c r="J29" s="1" t="s">
        <v>47</v>
      </c>
    </row>
    <row r="30" spans="1:10" hidden="1" x14ac:dyDescent="0.25">
      <c r="A30" s="1" t="s">
        <v>38</v>
      </c>
      <c r="B30" s="1">
        <v>65</v>
      </c>
      <c r="C30" s="1" t="s">
        <v>221</v>
      </c>
      <c r="D30" s="1" t="s">
        <v>190</v>
      </c>
      <c r="E30" s="1" t="s">
        <v>222</v>
      </c>
      <c r="F30" s="1" t="s">
        <v>64</v>
      </c>
      <c r="G30" s="1">
        <v>0</v>
      </c>
      <c r="I30" s="1" t="s">
        <v>188</v>
      </c>
      <c r="J30" s="1" t="s">
        <v>47</v>
      </c>
    </row>
    <row r="31" spans="1:10" x14ac:dyDescent="0.25">
      <c r="A31" s="1" t="s">
        <v>38</v>
      </c>
      <c r="B31" s="1">
        <v>66</v>
      </c>
      <c r="C31" s="1" t="s">
        <v>223</v>
      </c>
      <c r="D31" s="1" t="s">
        <v>224</v>
      </c>
      <c r="E31" s="1" t="s">
        <v>67</v>
      </c>
      <c r="F31" s="1" t="s">
        <v>64</v>
      </c>
      <c r="G31" s="4">
        <v>0</v>
      </c>
      <c r="I31" s="1" t="s">
        <v>188</v>
      </c>
      <c r="J31" s="1" t="s">
        <v>47</v>
      </c>
    </row>
    <row r="32" spans="1:10" hidden="1" x14ac:dyDescent="0.25">
      <c r="A32" s="1" t="s">
        <v>38</v>
      </c>
      <c r="B32" s="1">
        <v>70</v>
      </c>
      <c r="C32" s="1" t="s">
        <v>228</v>
      </c>
      <c r="D32" s="1" t="s">
        <v>43</v>
      </c>
      <c r="E32" s="1" t="s">
        <v>229</v>
      </c>
      <c r="F32" s="1" t="s">
        <v>64</v>
      </c>
      <c r="G32" s="1">
        <v>0.24</v>
      </c>
      <c r="I32" s="1" t="s">
        <v>231</v>
      </c>
      <c r="J32" s="1" t="s">
        <v>47</v>
      </c>
    </row>
    <row r="33" spans="1:10" hidden="1" x14ac:dyDescent="0.25">
      <c r="A33" s="1" t="s">
        <v>38</v>
      </c>
      <c r="B33" s="1">
        <v>91</v>
      </c>
      <c r="C33" s="1" t="s">
        <v>274</v>
      </c>
      <c r="D33" s="1" t="s">
        <v>233</v>
      </c>
      <c r="E33" s="1" t="s">
        <v>275</v>
      </c>
      <c r="F33" s="1" t="s">
        <v>64</v>
      </c>
      <c r="G33" s="1">
        <v>0</v>
      </c>
      <c r="I33" s="1" t="s">
        <v>231</v>
      </c>
      <c r="J33" s="1" t="s">
        <v>47</v>
      </c>
    </row>
    <row r="34" spans="1:10" x14ac:dyDescent="0.25">
      <c r="A34" s="1" t="s">
        <v>38</v>
      </c>
      <c r="B34" s="1">
        <v>92</v>
      </c>
      <c r="C34" s="1" t="s">
        <v>276</v>
      </c>
      <c r="D34" s="1" t="s">
        <v>277</v>
      </c>
      <c r="E34" s="1" t="s">
        <v>67</v>
      </c>
      <c r="F34" s="1" t="s">
        <v>64</v>
      </c>
      <c r="G34" s="4">
        <v>0</v>
      </c>
      <c r="I34" s="1" t="s">
        <v>231</v>
      </c>
      <c r="J34" s="1" t="s">
        <v>47</v>
      </c>
    </row>
    <row r="35" spans="1:10" hidden="1" x14ac:dyDescent="0.25">
      <c r="A35" s="1" t="s">
        <v>38</v>
      </c>
      <c r="B35" s="1">
        <v>96</v>
      </c>
      <c r="C35" s="1" t="s">
        <v>281</v>
      </c>
      <c r="D35" s="1" t="s">
        <v>43</v>
      </c>
      <c r="E35" s="1" t="s">
        <v>282</v>
      </c>
      <c r="F35" s="1" t="s">
        <v>34</v>
      </c>
      <c r="G35" s="1">
        <v>7.0000000000000007E-2</v>
      </c>
      <c r="I35" s="1" t="s">
        <v>284</v>
      </c>
      <c r="J35" s="1" t="s">
        <v>47</v>
      </c>
    </row>
    <row r="36" spans="1:10" hidden="1" x14ac:dyDescent="0.25">
      <c r="A36" s="1" t="s">
        <v>38</v>
      </c>
      <c r="B36" s="1">
        <v>97</v>
      </c>
      <c r="C36" s="1" t="s">
        <v>286</v>
      </c>
      <c r="D36" s="1" t="s">
        <v>287</v>
      </c>
      <c r="E36" s="1" t="s">
        <v>288</v>
      </c>
      <c r="F36" s="1" t="s">
        <v>34</v>
      </c>
      <c r="G36" s="1">
        <v>0.21</v>
      </c>
      <c r="I36" s="1" t="s">
        <v>284</v>
      </c>
      <c r="J36" s="1" t="s">
        <v>47</v>
      </c>
    </row>
    <row r="37" spans="1:10" x14ac:dyDescent="0.25">
      <c r="A37" s="1" t="s">
        <v>38</v>
      </c>
      <c r="B37" s="1">
        <v>98</v>
      </c>
      <c r="C37" s="1" t="s">
        <v>289</v>
      </c>
      <c r="D37" s="1" t="s">
        <v>290</v>
      </c>
      <c r="E37" s="1" t="s">
        <v>67</v>
      </c>
      <c r="F37" s="1" t="s">
        <v>34</v>
      </c>
      <c r="G37" s="4">
        <v>0.5</v>
      </c>
      <c r="I37" s="1" t="s">
        <v>284</v>
      </c>
      <c r="J37" s="1" t="s">
        <v>47</v>
      </c>
    </row>
    <row r="38" spans="1:10" hidden="1" x14ac:dyDescent="0.25">
      <c r="A38" s="1" t="s">
        <v>38</v>
      </c>
      <c r="B38" s="1">
        <v>99</v>
      </c>
      <c r="C38" s="1" t="s">
        <v>292</v>
      </c>
      <c r="D38" s="1" t="s">
        <v>290</v>
      </c>
      <c r="E38" s="1" t="s">
        <v>72</v>
      </c>
      <c r="F38" s="1" t="s">
        <v>34</v>
      </c>
      <c r="G38" s="1">
        <v>0</v>
      </c>
      <c r="I38" s="1" t="s">
        <v>284</v>
      </c>
      <c r="J38" s="1" t="s">
        <v>47</v>
      </c>
    </row>
    <row r="39" spans="1:10" hidden="1" x14ac:dyDescent="0.25">
      <c r="A39" s="1" t="s">
        <v>38</v>
      </c>
      <c r="B39" s="1">
        <v>100</v>
      </c>
      <c r="C39" s="1" t="s">
        <v>293</v>
      </c>
      <c r="D39" s="1" t="s">
        <v>290</v>
      </c>
      <c r="E39" s="1" t="s">
        <v>77</v>
      </c>
      <c r="F39" s="1" t="s">
        <v>34</v>
      </c>
      <c r="G39" s="1">
        <v>0</v>
      </c>
      <c r="I39" s="1" t="s">
        <v>284</v>
      </c>
      <c r="J39" s="1" t="s">
        <v>47</v>
      </c>
    </row>
    <row r="40" spans="1:10" hidden="1" x14ac:dyDescent="0.25">
      <c r="A40" s="1" t="s">
        <v>38</v>
      </c>
      <c r="B40" s="1">
        <v>101</v>
      </c>
      <c r="C40" s="1" t="s">
        <v>294</v>
      </c>
      <c r="D40" s="1" t="s">
        <v>290</v>
      </c>
      <c r="E40" s="1" t="s">
        <v>83</v>
      </c>
      <c r="F40" s="1" t="s">
        <v>34</v>
      </c>
      <c r="G40" s="1">
        <v>0</v>
      </c>
      <c r="I40" s="1" t="s">
        <v>284</v>
      </c>
      <c r="J40" s="1" t="s">
        <v>47</v>
      </c>
    </row>
    <row r="41" spans="1:10" hidden="1" x14ac:dyDescent="0.25">
      <c r="A41" s="1" t="s">
        <v>38</v>
      </c>
      <c r="B41" s="1">
        <v>107</v>
      </c>
      <c r="C41" s="1" t="s">
        <v>303</v>
      </c>
      <c r="D41" s="1" t="s">
        <v>287</v>
      </c>
      <c r="E41" s="1" t="s">
        <v>304</v>
      </c>
      <c r="F41" s="1" t="s">
        <v>64</v>
      </c>
      <c r="G41" s="1">
        <v>0</v>
      </c>
      <c r="I41" s="1" t="s">
        <v>284</v>
      </c>
      <c r="J41" s="1" t="s">
        <v>47</v>
      </c>
    </row>
    <row r="42" spans="1:10" x14ac:dyDescent="0.25">
      <c r="A42" s="1" t="s">
        <v>38</v>
      </c>
      <c r="B42" s="1">
        <v>108</v>
      </c>
      <c r="C42" s="1" t="s">
        <v>305</v>
      </c>
      <c r="D42" s="1" t="s">
        <v>306</v>
      </c>
      <c r="E42" s="1" t="s">
        <v>67</v>
      </c>
      <c r="F42" s="1" t="s">
        <v>64</v>
      </c>
      <c r="G42" s="4">
        <v>0</v>
      </c>
      <c r="I42" s="1" t="s">
        <v>284</v>
      </c>
      <c r="J42" s="1" t="s">
        <v>47</v>
      </c>
    </row>
    <row r="43" spans="1:10" hidden="1" x14ac:dyDescent="0.25">
      <c r="A43" s="1" t="s">
        <v>38</v>
      </c>
      <c r="B43" s="1">
        <v>112</v>
      </c>
      <c r="C43" s="1" t="s">
        <v>310</v>
      </c>
      <c r="D43" s="1" t="s">
        <v>43</v>
      </c>
      <c r="E43" s="1" t="s">
        <v>311</v>
      </c>
      <c r="F43" s="1" t="s">
        <v>34</v>
      </c>
      <c r="G43" s="1">
        <v>0.28999999999999998</v>
      </c>
      <c r="I43" s="1" t="s">
        <v>313</v>
      </c>
      <c r="J43" s="1" t="s">
        <v>47</v>
      </c>
    </row>
    <row r="44" spans="1:10" hidden="1" x14ac:dyDescent="0.25">
      <c r="A44" s="1" t="s">
        <v>38</v>
      </c>
      <c r="B44" s="1">
        <v>113</v>
      </c>
      <c r="C44" s="1" t="s">
        <v>314</v>
      </c>
      <c r="D44" s="1" t="s">
        <v>315</v>
      </c>
      <c r="E44" s="1" t="s">
        <v>316</v>
      </c>
      <c r="F44" s="1" t="s">
        <v>34</v>
      </c>
      <c r="G44" s="1">
        <v>0.8</v>
      </c>
      <c r="I44" s="1" t="s">
        <v>313</v>
      </c>
      <c r="J44" s="1" t="s">
        <v>47</v>
      </c>
    </row>
    <row r="45" spans="1:10" hidden="1" x14ac:dyDescent="0.25">
      <c r="A45" s="1" t="s">
        <v>38</v>
      </c>
      <c r="B45" s="1">
        <v>116</v>
      </c>
      <c r="C45" s="1" t="s">
        <v>321</v>
      </c>
      <c r="D45" s="1" t="s">
        <v>319</v>
      </c>
      <c r="E45" s="1" t="s">
        <v>77</v>
      </c>
      <c r="F45" s="1" t="s">
        <v>34</v>
      </c>
      <c r="G45" s="1">
        <v>0.5</v>
      </c>
      <c r="I45" s="1" t="s">
        <v>313</v>
      </c>
      <c r="J45" s="1" t="s">
        <v>47</v>
      </c>
    </row>
    <row r="46" spans="1:10" hidden="1" x14ac:dyDescent="0.25">
      <c r="A46" s="1" t="s">
        <v>38</v>
      </c>
      <c r="B46" s="1">
        <v>117</v>
      </c>
      <c r="C46" s="1" t="s">
        <v>322</v>
      </c>
      <c r="D46" s="1" t="s">
        <v>319</v>
      </c>
      <c r="E46" s="1" t="s">
        <v>83</v>
      </c>
      <c r="F46" s="1" t="s">
        <v>34</v>
      </c>
      <c r="G46" s="1">
        <v>0</v>
      </c>
      <c r="I46" s="1" t="s">
        <v>313</v>
      </c>
      <c r="J46" s="1" t="s">
        <v>47</v>
      </c>
    </row>
    <row r="47" spans="1:10" hidden="1" x14ac:dyDescent="0.25">
      <c r="A47" s="1" t="s">
        <v>38</v>
      </c>
      <c r="B47" s="1">
        <v>123</v>
      </c>
      <c r="C47" s="1" t="s">
        <v>333</v>
      </c>
      <c r="D47" s="1" t="s">
        <v>315</v>
      </c>
      <c r="E47" s="1" t="s">
        <v>334</v>
      </c>
      <c r="F47" s="1" t="s">
        <v>64</v>
      </c>
      <c r="G47" s="1">
        <v>0</v>
      </c>
      <c r="I47" s="1" t="s">
        <v>313</v>
      </c>
      <c r="J47" s="1" t="s">
        <v>47</v>
      </c>
    </row>
    <row r="48" spans="1:10" x14ac:dyDescent="0.25">
      <c r="A48" s="1" t="s">
        <v>38</v>
      </c>
      <c r="B48" s="1">
        <v>124</v>
      </c>
      <c r="C48" s="1" t="s">
        <v>335</v>
      </c>
      <c r="D48" s="1" t="s">
        <v>336</v>
      </c>
      <c r="E48" s="1" t="s">
        <v>67</v>
      </c>
      <c r="F48" s="1" t="s">
        <v>64</v>
      </c>
      <c r="G48" s="4">
        <v>0</v>
      </c>
      <c r="I48" s="1" t="s">
        <v>313</v>
      </c>
      <c r="J48" s="1" t="s">
        <v>47</v>
      </c>
    </row>
    <row r="49" spans="1:10" hidden="1" x14ac:dyDescent="0.25">
      <c r="A49" s="1" t="s">
        <v>38</v>
      </c>
      <c r="B49" s="1">
        <v>128</v>
      </c>
      <c r="C49" s="1" t="s">
        <v>340</v>
      </c>
      <c r="D49" s="1" t="s">
        <v>43</v>
      </c>
      <c r="E49" s="1" t="s">
        <v>341</v>
      </c>
      <c r="F49" s="1" t="s">
        <v>34</v>
      </c>
      <c r="G49" s="1">
        <v>0.19</v>
      </c>
      <c r="I49" s="1" t="s">
        <v>343</v>
      </c>
      <c r="J49" s="1" t="s">
        <v>47</v>
      </c>
    </row>
    <row r="50" spans="1:10" hidden="1" x14ac:dyDescent="0.25">
      <c r="A50" s="1" t="s">
        <v>38</v>
      </c>
      <c r="B50" s="1">
        <v>129</v>
      </c>
      <c r="C50" s="1" t="s">
        <v>344</v>
      </c>
      <c r="D50" s="1" t="s">
        <v>345</v>
      </c>
      <c r="E50" s="1" t="s">
        <v>346</v>
      </c>
      <c r="F50" s="1" t="s">
        <v>34</v>
      </c>
      <c r="G50" s="1">
        <v>0.5</v>
      </c>
      <c r="I50" s="1" t="s">
        <v>343</v>
      </c>
      <c r="J50" s="1" t="s">
        <v>47</v>
      </c>
    </row>
    <row r="51" spans="1:10" hidden="1" x14ac:dyDescent="0.25">
      <c r="A51" s="1" t="s">
        <v>38</v>
      </c>
      <c r="B51" s="1">
        <v>132</v>
      </c>
      <c r="C51" s="1" t="s">
        <v>351</v>
      </c>
      <c r="D51" s="1" t="s">
        <v>348</v>
      </c>
      <c r="E51" s="1" t="s">
        <v>77</v>
      </c>
      <c r="F51" s="1" t="s">
        <v>34</v>
      </c>
      <c r="G51" s="1">
        <v>0.5</v>
      </c>
      <c r="I51" s="1" t="s">
        <v>343</v>
      </c>
      <c r="J51" s="1" t="s">
        <v>47</v>
      </c>
    </row>
    <row r="52" spans="1:10" hidden="1" x14ac:dyDescent="0.25">
      <c r="A52" s="1" t="s">
        <v>38</v>
      </c>
      <c r="B52" s="1">
        <v>133</v>
      </c>
      <c r="C52" s="1" t="s">
        <v>352</v>
      </c>
      <c r="D52" s="1" t="s">
        <v>348</v>
      </c>
      <c r="E52" s="1" t="s">
        <v>83</v>
      </c>
      <c r="F52" s="1" t="s">
        <v>34</v>
      </c>
      <c r="G52" s="1">
        <v>0</v>
      </c>
      <c r="I52" s="1" t="s">
        <v>343</v>
      </c>
      <c r="J52" s="1" t="s">
        <v>47</v>
      </c>
    </row>
    <row r="53" spans="1:10" hidden="1" x14ac:dyDescent="0.25">
      <c r="A53" s="1" t="s">
        <v>38</v>
      </c>
      <c r="B53" s="1">
        <v>139</v>
      </c>
      <c r="C53" s="1" t="s">
        <v>364</v>
      </c>
      <c r="D53" s="1" t="s">
        <v>345</v>
      </c>
      <c r="E53" s="1" t="s">
        <v>365</v>
      </c>
      <c r="F53" s="1" t="s">
        <v>64</v>
      </c>
      <c r="G53" s="1">
        <v>0</v>
      </c>
      <c r="I53" s="1" t="s">
        <v>343</v>
      </c>
      <c r="J53" s="1" t="s">
        <v>47</v>
      </c>
    </row>
    <row r="54" spans="1:10" x14ac:dyDescent="0.25">
      <c r="A54" s="1" t="s">
        <v>38</v>
      </c>
      <c r="B54" s="1">
        <v>140</v>
      </c>
      <c r="C54" s="1" t="s">
        <v>366</v>
      </c>
      <c r="D54" s="1" t="s">
        <v>367</v>
      </c>
      <c r="E54" s="1" t="s">
        <v>67</v>
      </c>
      <c r="F54" s="1" t="s">
        <v>64</v>
      </c>
      <c r="G54" s="4">
        <v>0</v>
      </c>
      <c r="I54" s="1" t="s">
        <v>343</v>
      </c>
      <c r="J54" s="1" t="s">
        <v>47</v>
      </c>
    </row>
    <row r="55" spans="1:10" hidden="1" x14ac:dyDescent="0.25">
      <c r="A55" s="1" t="s">
        <v>38</v>
      </c>
      <c r="B55" s="1">
        <v>144</v>
      </c>
      <c r="C55" s="1" t="s">
        <v>371</v>
      </c>
      <c r="D55" s="1" t="s">
        <v>345</v>
      </c>
      <c r="E55" s="1" t="s">
        <v>372</v>
      </c>
      <c r="F55" s="1" t="s">
        <v>64</v>
      </c>
      <c r="G55" s="1">
        <v>0.39</v>
      </c>
      <c r="I55" s="1" t="s">
        <v>343</v>
      </c>
      <c r="J55" s="1" t="s">
        <v>47</v>
      </c>
    </row>
    <row r="56" spans="1:10" x14ac:dyDescent="0.25">
      <c r="A56" s="1" t="s">
        <v>38</v>
      </c>
      <c r="B56" s="1">
        <v>145</v>
      </c>
      <c r="C56" s="1" t="s">
        <v>373</v>
      </c>
      <c r="D56" s="1" t="s">
        <v>374</v>
      </c>
      <c r="E56" s="1" t="s">
        <v>67</v>
      </c>
      <c r="F56" s="1" t="s">
        <v>64</v>
      </c>
      <c r="G56" s="4">
        <v>0.9</v>
      </c>
      <c r="I56" s="1" t="s">
        <v>343</v>
      </c>
      <c r="J56" s="1" t="s">
        <v>47</v>
      </c>
    </row>
    <row r="57" spans="1:10" hidden="1" x14ac:dyDescent="0.25">
      <c r="A57" s="1" t="s">
        <v>38</v>
      </c>
      <c r="B57" s="1">
        <v>146</v>
      </c>
      <c r="C57" s="1" t="s">
        <v>375</v>
      </c>
      <c r="D57" s="1" t="s">
        <v>374</v>
      </c>
      <c r="E57" s="1" t="s">
        <v>72</v>
      </c>
      <c r="F57" s="1" t="s">
        <v>79</v>
      </c>
      <c r="G57" s="1">
        <v>0</v>
      </c>
      <c r="I57" s="1" t="s">
        <v>343</v>
      </c>
      <c r="J57" s="1" t="s">
        <v>47</v>
      </c>
    </row>
    <row r="58" spans="1:10" hidden="1" x14ac:dyDescent="0.25">
      <c r="A58" s="1" t="s">
        <v>38</v>
      </c>
      <c r="B58" s="1">
        <v>147</v>
      </c>
      <c r="C58" s="1" t="s">
        <v>376</v>
      </c>
      <c r="D58" s="1" t="s">
        <v>374</v>
      </c>
      <c r="E58" s="1" t="s">
        <v>77</v>
      </c>
      <c r="F58" s="1" t="s">
        <v>79</v>
      </c>
      <c r="G58" s="1">
        <v>0</v>
      </c>
      <c r="I58" s="1" t="s">
        <v>343</v>
      </c>
      <c r="J58" s="1" t="s">
        <v>47</v>
      </c>
    </row>
    <row r="61" spans="1:10" x14ac:dyDescent="0.25">
      <c r="G61" s="4">
        <v>1</v>
      </c>
    </row>
  </sheetData>
  <conditionalFormatting sqref="G1:G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{A701CE4E-B50B-48D9-A6E7-7A8A9DF41404}</x14:id>
        </ext>
      </extLst>
    </cfRule>
  </conditionalFormatting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01CE4E-B50B-48D9-A6E7-7A8A9DF4140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8"/>
  <sheetViews>
    <sheetView workbookViewId="0">
      <selection activeCell="G20" sqref="G20"/>
    </sheetView>
  </sheetViews>
  <sheetFormatPr defaultRowHeight="15" x14ac:dyDescent="0.25"/>
  <cols>
    <col min="1" max="1" width="14.5703125" style="1" bestFit="1" customWidth="1"/>
    <col min="2" max="2" width="7.28515625" style="1" bestFit="1" customWidth="1"/>
    <col min="3" max="3" width="9.28515625" style="1" bestFit="1" customWidth="1"/>
    <col min="4" max="4" width="30.42578125" style="1" bestFit="1" customWidth="1"/>
    <col min="5" max="5" width="27.28515625" style="1" bestFit="1" customWidth="1"/>
    <col min="6" max="6" width="12.42578125" style="1" bestFit="1" customWidth="1"/>
    <col min="7" max="7" width="16" style="4" bestFit="1" customWidth="1"/>
    <col min="8" max="8" width="23.5703125" style="1" bestFit="1" customWidth="1"/>
    <col min="9" max="9" width="32.140625" style="1" bestFit="1" customWidth="1"/>
    <col min="10" max="10" width="11.140625" style="1" bestFit="1" customWidth="1"/>
    <col min="11" max="16384" width="9.140625" style="1"/>
  </cols>
  <sheetData>
    <row r="1" spans="1:10" x14ac:dyDescent="0.25">
      <c r="A1" s="1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11</v>
      </c>
      <c r="G1" s="4" t="s">
        <v>9</v>
      </c>
      <c r="H1" s="1" t="s">
        <v>19</v>
      </c>
      <c r="I1" s="1" t="s">
        <v>13</v>
      </c>
      <c r="J1" s="1" t="s">
        <v>12</v>
      </c>
    </row>
    <row r="2" spans="1:10" x14ac:dyDescent="0.25">
      <c r="A2" s="1" t="s">
        <v>38</v>
      </c>
      <c r="B2" s="1">
        <v>26</v>
      </c>
      <c r="C2" s="1" t="s">
        <v>128</v>
      </c>
      <c r="D2" s="1" t="s">
        <v>125</v>
      </c>
      <c r="E2" s="1" t="s">
        <v>77</v>
      </c>
      <c r="F2" s="1" t="s">
        <v>79</v>
      </c>
      <c r="G2" s="4">
        <v>0.5</v>
      </c>
      <c r="I2" s="1" t="s">
        <v>105</v>
      </c>
      <c r="J2" s="1" t="s">
        <v>47</v>
      </c>
    </row>
    <row r="3" spans="1:10" x14ac:dyDescent="0.25">
      <c r="A3" s="1" t="s">
        <v>38</v>
      </c>
      <c r="B3" s="1">
        <v>67</v>
      </c>
      <c r="C3" s="1" t="s">
        <v>225</v>
      </c>
      <c r="D3" s="1" t="s">
        <v>224</v>
      </c>
      <c r="E3" s="1" t="s">
        <v>72</v>
      </c>
      <c r="F3" s="1" t="s">
        <v>79</v>
      </c>
      <c r="G3" s="4">
        <v>0</v>
      </c>
      <c r="I3" s="1" t="s">
        <v>188</v>
      </c>
      <c r="J3" s="1" t="s">
        <v>47</v>
      </c>
    </row>
    <row r="4" spans="1:10" x14ac:dyDescent="0.25">
      <c r="A4" s="1" t="s">
        <v>38</v>
      </c>
      <c r="B4" s="1">
        <v>68</v>
      </c>
      <c r="C4" s="1" t="s">
        <v>226</v>
      </c>
      <c r="D4" s="1" t="s">
        <v>224</v>
      </c>
      <c r="E4" s="1" t="s">
        <v>77</v>
      </c>
      <c r="F4" s="1" t="s">
        <v>79</v>
      </c>
      <c r="G4" s="4">
        <v>0</v>
      </c>
      <c r="I4" s="1" t="s">
        <v>188</v>
      </c>
      <c r="J4" s="1" t="s">
        <v>47</v>
      </c>
    </row>
    <row r="5" spans="1:10" x14ac:dyDescent="0.25">
      <c r="A5" s="1" t="s">
        <v>38</v>
      </c>
      <c r="B5" s="1">
        <v>69</v>
      </c>
      <c r="C5" s="1" t="s">
        <v>227</v>
      </c>
      <c r="D5" s="1" t="s">
        <v>224</v>
      </c>
      <c r="E5" s="1" t="s">
        <v>83</v>
      </c>
      <c r="F5" s="1" t="s">
        <v>79</v>
      </c>
      <c r="G5" s="4">
        <v>0</v>
      </c>
      <c r="I5" s="1" t="s">
        <v>188</v>
      </c>
      <c r="J5" s="1" t="s">
        <v>47</v>
      </c>
    </row>
    <row r="6" spans="1:10" x14ac:dyDescent="0.25">
      <c r="A6" s="1" t="s">
        <v>38</v>
      </c>
      <c r="B6" s="1">
        <v>93</v>
      </c>
      <c r="C6" s="1" t="s">
        <v>278</v>
      </c>
      <c r="D6" s="1" t="s">
        <v>277</v>
      </c>
      <c r="E6" s="1" t="s">
        <v>72</v>
      </c>
      <c r="F6" s="1" t="s">
        <v>79</v>
      </c>
      <c r="G6" s="4">
        <v>0</v>
      </c>
      <c r="I6" s="1" t="s">
        <v>231</v>
      </c>
      <c r="J6" s="1" t="s">
        <v>47</v>
      </c>
    </row>
    <row r="7" spans="1:10" x14ac:dyDescent="0.25">
      <c r="A7" s="1" t="s">
        <v>38</v>
      </c>
      <c r="B7" s="1">
        <v>94</v>
      </c>
      <c r="C7" s="1" t="s">
        <v>279</v>
      </c>
      <c r="D7" s="1" t="s">
        <v>277</v>
      </c>
      <c r="E7" s="1" t="s">
        <v>77</v>
      </c>
      <c r="F7" s="1" t="s">
        <v>79</v>
      </c>
      <c r="G7" s="4">
        <v>0</v>
      </c>
      <c r="I7" s="1" t="s">
        <v>231</v>
      </c>
      <c r="J7" s="1" t="s">
        <v>47</v>
      </c>
    </row>
    <row r="8" spans="1:10" x14ac:dyDescent="0.25">
      <c r="A8" s="1" t="s">
        <v>38</v>
      </c>
      <c r="B8" s="1">
        <v>95</v>
      </c>
      <c r="C8" s="1" t="s">
        <v>280</v>
      </c>
      <c r="D8" s="1" t="s">
        <v>277</v>
      </c>
      <c r="E8" s="1" t="s">
        <v>83</v>
      </c>
      <c r="F8" s="1" t="s">
        <v>79</v>
      </c>
      <c r="G8" s="4">
        <v>0</v>
      </c>
      <c r="I8" s="1" t="s">
        <v>231</v>
      </c>
      <c r="J8" s="1" t="s">
        <v>47</v>
      </c>
    </row>
    <row r="9" spans="1:10" x14ac:dyDescent="0.25">
      <c r="A9" s="1" t="s">
        <v>38</v>
      </c>
      <c r="B9" s="1">
        <v>109</v>
      </c>
      <c r="C9" s="1" t="s">
        <v>307</v>
      </c>
      <c r="D9" s="1" t="s">
        <v>306</v>
      </c>
      <c r="E9" s="1" t="s">
        <v>72</v>
      </c>
      <c r="F9" s="1" t="s">
        <v>79</v>
      </c>
      <c r="G9" s="4">
        <v>0</v>
      </c>
      <c r="I9" s="1" t="s">
        <v>284</v>
      </c>
      <c r="J9" s="1" t="s">
        <v>47</v>
      </c>
    </row>
    <row r="10" spans="1:10" x14ac:dyDescent="0.25">
      <c r="A10" s="1" t="s">
        <v>38</v>
      </c>
      <c r="B10" s="1">
        <v>110</v>
      </c>
      <c r="C10" s="1" t="s">
        <v>308</v>
      </c>
      <c r="D10" s="1" t="s">
        <v>306</v>
      </c>
      <c r="E10" s="1" t="s">
        <v>77</v>
      </c>
      <c r="F10" s="1" t="s">
        <v>79</v>
      </c>
      <c r="G10" s="4">
        <v>0</v>
      </c>
      <c r="I10" s="1" t="s">
        <v>284</v>
      </c>
      <c r="J10" s="1" t="s">
        <v>47</v>
      </c>
    </row>
    <row r="11" spans="1:10" x14ac:dyDescent="0.25">
      <c r="A11" s="1" t="s">
        <v>38</v>
      </c>
      <c r="B11" s="1">
        <v>111</v>
      </c>
      <c r="C11" s="1" t="s">
        <v>309</v>
      </c>
      <c r="D11" s="1" t="s">
        <v>306</v>
      </c>
      <c r="E11" s="1" t="s">
        <v>83</v>
      </c>
      <c r="F11" s="1" t="s">
        <v>79</v>
      </c>
      <c r="G11" s="4">
        <v>0</v>
      </c>
      <c r="I11" s="1" t="s">
        <v>284</v>
      </c>
      <c r="J11" s="1" t="s">
        <v>47</v>
      </c>
    </row>
    <row r="12" spans="1:10" x14ac:dyDescent="0.25">
      <c r="A12" s="1" t="s">
        <v>38</v>
      </c>
      <c r="B12" s="1">
        <v>125</v>
      </c>
      <c r="C12" s="1" t="s">
        <v>337</v>
      </c>
      <c r="D12" s="1" t="s">
        <v>336</v>
      </c>
      <c r="E12" s="1" t="s">
        <v>72</v>
      </c>
      <c r="F12" s="1" t="s">
        <v>79</v>
      </c>
      <c r="G12" s="4">
        <v>0</v>
      </c>
      <c r="I12" s="1" t="s">
        <v>313</v>
      </c>
      <c r="J12" s="1" t="s">
        <v>47</v>
      </c>
    </row>
    <row r="13" spans="1:10" x14ac:dyDescent="0.25">
      <c r="A13" s="1" t="s">
        <v>38</v>
      </c>
      <c r="B13" s="1">
        <v>126</v>
      </c>
      <c r="C13" s="1" t="s">
        <v>338</v>
      </c>
      <c r="D13" s="1" t="s">
        <v>336</v>
      </c>
      <c r="E13" s="1" t="s">
        <v>77</v>
      </c>
      <c r="F13" s="1" t="s">
        <v>79</v>
      </c>
      <c r="G13" s="4">
        <v>0</v>
      </c>
      <c r="I13" s="1" t="s">
        <v>313</v>
      </c>
      <c r="J13" s="1" t="s">
        <v>47</v>
      </c>
    </row>
    <row r="14" spans="1:10" x14ac:dyDescent="0.25">
      <c r="A14" s="1" t="s">
        <v>38</v>
      </c>
      <c r="B14" s="1">
        <v>127</v>
      </c>
      <c r="C14" s="1" t="s">
        <v>339</v>
      </c>
      <c r="D14" s="1" t="s">
        <v>336</v>
      </c>
      <c r="E14" s="1" t="s">
        <v>83</v>
      </c>
      <c r="F14" s="1" t="s">
        <v>79</v>
      </c>
      <c r="G14" s="4">
        <v>0</v>
      </c>
      <c r="I14" s="1" t="s">
        <v>313</v>
      </c>
      <c r="J14" s="1" t="s">
        <v>47</v>
      </c>
    </row>
    <row r="15" spans="1:10" x14ac:dyDescent="0.25">
      <c r="A15" s="1" t="s">
        <v>38</v>
      </c>
      <c r="B15" s="1">
        <v>141</v>
      </c>
      <c r="C15" s="1" t="s">
        <v>368</v>
      </c>
      <c r="D15" s="1" t="s">
        <v>367</v>
      </c>
      <c r="E15" s="1" t="s">
        <v>72</v>
      </c>
      <c r="F15" s="1" t="s">
        <v>79</v>
      </c>
      <c r="G15" s="4">
        <v>0</v>
      </c>
      <c r="I15" s="1" t="s">
        <v>343</v>
      </c>
      <c r="J15" s="1" t="s">
        <v>47</v>
      </c>
    </row>
    <row r="16" spans="1:10" x14ac:dyDescent="0.25">
      <c r="A16" s="1" t="s">
        <v>38</v>
      </c>
      <c r="B16" s="1">
        <v>142</v>
      </c>
      <c r="C16" s="1" t="s">
        <v>369</v>
      </c>
      <c r="D16" s="1" t="s">
        <v>367</v>
      </c>
      <c r="E16" s="1" t="s">
        <v>77</v>
      </c>
      <c r="F16" s="1" t="s">
        <v>79</v>
      </c>
      <c r="G16" s="4">
        <v>0</v>
      </c>
      <c r="I16" s="1" t="s">
        <v>343</v>
      </c>
      <c r="J16" s="1" t="s">
        <v>47</v>
      </c>
    </row>
    <row r="17" spans="1:10" x14ac:dyDescent="0.25">
      <c r="A17" s="1" t="s">
        <v>38</v>
      </c>
      <c r="B17" s="1">
        <v>143</v>
      </c>
      <c r="C17" s="1" t="s">
        <v>370</v>
      </c>
      <c r="D17" s="1" t="s">
        <v>367</v>
      </c>
      <c r="E17" s="1" t="s">
        <v>83</v>
      </c>
      <c r="F17" s="1" t="s">
        <v>79</v>
      </c>
      <c r="G17" s="4">
        <v>0</v>
      </c>
      <c r="I17" s="1" t="s">
        <v>343</v>
      </c>
      <c r="J17" s="1" t="s">
        <v>47</v>
      </c>
    </row>
    <row r="18" spans="1:10" x14ac:dyDescent="0.25">
      <c r="A18" s="1" t="s">
        <v>38</v>
      </c>
      <c r="B18" s="1">
        <v>148</v>
      </c>
      <c r="C18" s="1" t="s">
        <v>377</v>
      </c>
      <c r="D18" s="1" t="s">
        <v>374</v>
      </c>
      <c r="E18" s="1" t="s">
        <v>83</v>
      </c>
      <c r="F18" s="1" t="s">
        <v>79</v>
      </c>
      <c r="G18" s="4">
        <v>0</v>
      </c>
      <c r="I18" s="1" t="s">
        <v>343</v>
      </c>
      <c r="J18" s="1" t="s">
        <v>47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1EEF32-6D6F-4E7C-94F7-C037818EBF36}">
  <ds:schemaRefs>
    <ds:schemaRef ds:uri="http://schemas.microsoft.com/office/2006/metadata/properties"/>
    <ds:schemaRef ds:uri="http://schemas.microsoft.com/office/infopath/2007/PartnerControls"/>
    <ds:schemaRef ds:uri="c6385d03-c98b-47a8-b084-660309c480c9"/>
    <ds:schemaRef ds:uri="1dad954f-e29e-48a7-b9b8-f0523de1045f"/>
  </ds:schemaRefs>
</ds:datastoreItem>
</file>

<file path=customXml/itemProps2.xml><?xml version="1.0" encoding="utf-8"?>
<ds:datastoreItem xmlns:ds="http://schemas.openxmlformats.org/officeDocument/2006/customXml" ds:itemID="{8A6E28A1-8333-471D-947E-5FEBA496612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52A57D1-8A2F-435E-9A8E-17980EC144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385d03-c98b-47a8-b084-660309c480c9"/>
    <ds:schemaRef ds:uri="1dad954f-e29e-48a7-b9b8-f0523de104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Base</vt:lpstr>
      <vt:lpstr>Resumo</vt:lpstr>
      <vt:lpstr>Curva S</vt:lpstr>
      <vt:lpstr>Concluídas</vt:lpstr>
      <vt:lpstr>Atrasadas</vt:lpstr>
      <vt:lpstr>Sprint Atual</vt:lpstr>
      <vt:lpstr>Próximo Sprint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Wallace Candido</cp:lastModifiedBy>
  <dcterms:created xsi:type="dcterms:W3CDTF">2026-07-06T19:08:32Z</dcterms:created>
  <dcterms:modified xsi:type="dcterms:W3CDTF">2026-07-06T19:15:45Z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2026-07-06T19:09:10Z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8cba7f06-7895-42cd-92bb-6b609432a52b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10, 3, 0, 1</vt:lpwstr>
  </property>
  <property fmtid="{D5CDD505-2E9C-101B-9397-08002B2CF9AE}" pid="11" name="MediaServiceImageTags">
    <vt:lpwstr/>
  </property>
</Properties>
</file>