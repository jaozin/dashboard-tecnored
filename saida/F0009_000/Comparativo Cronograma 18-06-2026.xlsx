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147" documentId="11_342040D27373D7A12D4F1EE7E426DECF2858EFE7" xr6:coauthVersionLast="47" xr6:coauthVersionMax="47" xr10:uidLastSave="{B0FED3F9-ABCF-4DE7-9271-33AC08C87B11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E32" i="2"/>
  <c r="B15" i="2"/>
  <c r="C15" i="2"/>
  <c r="D15" i="2" s="1"/>
  <c r="E15" i="2"/>
  <c r="F15" i="2"/>
  <c r="G15" i="2"/>
  <c r="H15" i="2" s="1"/>
</calcChain>
</file>

<file path=xl/sharedStrings.xml><?xml version="1.0" encoding="utf-8"?>
<sst xmlns="http://schemas.openxmlformats.org/spreadsheetml/2006/main" count="1773" uniqueCount="323">
  <si>
    <t>Id</t>
  </si>
  <si>
    <t>EDT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</si>
  <si>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</si>
  <si>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</si>
  <si>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</si>
  <si>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</si>
  <si>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</si>
  <si>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</si>
  <si>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</si>
  <si>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</si>
  <si>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</si>
  <si>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</si>
  <si>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</si>
  <si>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</si>
  <si>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</si>
  <si>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</si>
  <si>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</si>
  <si>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</si>
  <si>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 do Resumo da Tarefa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</si>
  <si>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</si>
  <si>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</si>
  <si>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</si>
  <si>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</si>
  <si>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</si>
  <si>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</si>
  <si>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</si>
  <si>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</si>
  <si>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</si>
  <si>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</si>
  <si>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</si>
  <si>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</si>
  <si>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</si>
  <si>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</si>
  <si>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158 dias</t>
  </si>
  <si>
    <t>No Prazo</t>
  </si>
  <si>
    <t>Sim</t>
  </si>
  <si>
    <t>GERAL</t>
  </si>
  <si>
    <t>Seg 27/04/26</t>
  </si>
  <si>
    <t>Nenhum Sprint</t>
  </si>
  <si>
    <t>1.1</t>
  </si>
  <si>
    <t>área 0000 -documento geral</t>
  </si>
  <si>
    <t>1.1.1</t>
  </si>
  <si>
    <t>kom - início de projeto</t>
  </si>
  <si>
    <t>0 dias</t>
  </si>
  <si>
    <t>Concluída</t>
  </si>
  <si>
    <t>Não</t>
  </si>
  <si>
    <t>8TI+10 dias;24TI+10 dias;19TI+45 dias;5</t>
  </si>
  <si>
    <t>1.1.2</t>
  </si>
  <si>
    <t>pendências</t>
  </si>
  <si>
    <t>PENDÊNCIAS</t>
  </si>
  <si>
    <t>Qua 29/04/26</t>
  </si>
  <si>
    <t>1.1.2.1</t>
  </si>
  <si>
    <t>recebimento de dados de entrada</t>
  </si>
  <si>
    <t>1.1.3</t>
  </si>
  <si>
    <t>planejamento</t>
  </si>
  <si>
    <t>148 dias</t>
  </si>
  <si>
    <t>Tarefa futura</t>
  </si>
  <si>
    <t xml:space="preserve">PLANEJAMENTO </t>
  </si>
  <si>
    <t>1.1.3.1</t>
  </si>
  <si>
    <t>ld-f0009-0000-mb-f-00001</t>
  </si>
  <si>
    <t>Lista de documentos</t>
  </si>
  <si>
    <t>1.1.3.1.1</t>
  </si>
  <si>
    <t>emissão inicial</t>
  </si>
  <si>
    <t>2 dias</t>
  </si>
  <si>
    <t>3TI+10 dias</t>
  </si>
  <si>
    <t>9;13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</si>
  <si>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</si>
  <si>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</si>
  <si>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</si>
  <si>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</si>
  <si>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</si>
  <si>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</si>
  <si>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</si>
  <si>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</si>
  <si>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</si>
  <si>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</si>
  <si>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</si>
  <si>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</si>
  <si>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</si>
  <si>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</si>
  <si>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</si>
  <si>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cr-f0009-0000-mb-f-00001</t>
  </si>
  <si>
    <t>Cronograma</t>
  </si>
  <si>
    <t>16 dias</t>
  </si>
  <si>
    <t>1.1.3.2.1</t>
  </si>
  <si>
    <t>3 dias</t>
  </si>
  <si>
    <t>14;30</t>
  </si>
  <si>
    <t>1.1.3.2.2</t>
  </si>
  <si>
    <t>Ter 05/05/26</t>
  </si>
  <si>
    <t>15TI+8 dias</t>
  </si>
  <si>
    <t>1.1.3.2.3</t>
  </si>
  <si>
    <t>14TI+8 dias</t>
  </si>
  <si>
    <t>Qua 13/05/26</t>
  </si>
  <si>
    <t>1.1.3.2.4</t>
  </si>
  <si>
    <t>Seg 18/05/26</t>
  </si>
  <si>
    <t>1.1.4</t>
  </si>
  <si>
    <t>coordenação</t>
  </si>
  <si>
    <t>42 dias</t>
  </si>
  <si>
    <t xml:space="preserve">COORDENAÇÃO </t>
  </si>
  <si>
    <t>1.1.4.1</t>
  </si>
  <si>
    <t>lf-f0009-0000-mb-f-00001</t>
  </si>
  <si>
    <t>Vendor List</t>
  </si>
  <si>
    <t>7 dias</t>
  </si>
  <si>
    <t>Seg 20/07/26</t>
  </si>
  <si>
    <t>1.1.4.1.1</t>
  </si>
  <si>
    <t>3TI+45 dias</t>
  </si>
  <si>
    <t>1.1.4.1.2</t>
  </si>
  <si>
    <t>Qui 23/07/26</t>
  </si>
  <si>
    <t>1.1.4.1.3</t>
  </si>
  <si>
    <t>Sex 24/07/26</t>
  </si>
  <si>
    <t>1.1.4.1.4</t>
  </si>
  <si>
    <t>Ter 28/07/26</t>
  </si>
  <si>
    <t>1.1.4.2</t>
  </si>
  <si>
    <t>lp-f0009-0000-mb-g-00001</t>
  </si>
  <si>
    <t>Lista de pendências</t>
  </si>
  <si>
    <t>37 dias</t>
  </si>
  <si>
    <t>1.1.4.2.1</t>
  </si>
  <si>
    <t>1.1.4.2.2</t>
  </si>
  <si>
    <t>26TI+30 dias</t>
  </si>
  <si>
    <t>1.1.4.2.3</t>
  </si>
  <si>
    <t>25TI+30 dias</t>
  </si>
  <si>
    <t>Sex 12/06/26</t>
  </si>
  <si>
    <t>1.1.4.2.4</t>
  </si>
  <si>
    <t>Ter 16/06/26</t>
  </si>
  <si>
    <t>1.1.5</t>
  </si>
  <si>
    <t>processo</t>
  </si>
  <si>
    <t>139 dias</t>
  </si>
  <si>
    <t>PROCESSO</t>
  </si>
  <si>
    <t>1.1.5.1</t>
  </si>
  <si>
    <t>cp-f0009-0000-mb-p-00001</t>
  </si>
  <si>
    <t>Critério de Projetos</t>
  </si>
  <si>
    <t>9 dias</t>
  </si>
  <si>
    <t>Ter 09/06/26</t>
  </si>
  <si>
    <t>1.1.5.1.1</t>
  </si>
  <si>
    <t>5 dias</t>
  </si>
  <si>
    <t>31;40TI+8 dias;45TI+8 dias;35TI+120 dias;51TT;62TT;83TT;94TT;105TT;115TI+60 dias</t>
  </si>
  <si>
    <t>1.1.5.1.2</t>
  </si>
  <si>
    <t>1.1.5.1.3</t>
  </si>
  <si>
    <t>Qua 17/06/26</t>
  </si>
  <si>
    <t>1.1.5.1.4</t>
  </si>
  <si>
    <t>Sex 19/06/26</t>
  </si>
  <si>
    <t>1.1.5.2</t>
  </si>
  <si>
    <t>md-f0009-0000-mb-p-00001</t>
  </si>
  <si>
    <t>Memorial descritivo</t>
  </si>
  <si>
    <t>1.1.5.2.1</t>
  </si>
  <si>
    <t>30TI+120 dias</t>
  </si>
  <si>
    <t>1.1.5.2.2</t>
  </si>
  <si>
    <t>Seg 22/06/26</t>
  </si>
  <si>
    <t>1.1.5.2.3</t>
  </si>
  <si>
    <t>Ter 23/06/26</t>
  </si>
  <si>
    <t>1.1.5.2.4</t>
  </si>
  <si>
    <t>Qui 25/06/26</t>
  </si>
  <si>
    <t>1.1.5.3</t>
  </si>
  <si>
    <t>fg-f0009-0000-mb-p-00001</t>
  </si>
  <si>
    <t>Diagrama de blocos de processo</t>
  </si>
  <si>
    <t>4 dias</t>
  </si>
  <si>
    <t>1.1.5.3.1</t>
  </si>
  <si>
    <t>30TI+8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</si>
  <si>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</si>
  <si>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</si>
  <si>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</si>
  <si>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</si>
  <si>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</si>
  <si>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</si>
  <si>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</si>
  <si>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Fluxograma geral de processo</t>
  </si>
  <si>
    <t>25 dias</t>
  </si>
  <si>
    <t>1.1.5.4.1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</si>
  <si>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</si>
  <si>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</si>
  <si>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</si>
  <si>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</si>
  <si>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</si>
  <si>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</si>
  <si>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</si>
  <si>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</si>
  <si>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cp-f0009-0000-mb-m-00001</t>
  </si>
  <si>
    <t>6 dias</t>
  </si>
  <si>
    <t>1.1.6.1.1</t>
  </si>
  <si>
    <t>30TT</t>
  </si>
  <si>
    <t>52;56TI+120 dias</t>
  </si>
  <si>
    <t>1.1.6.1.2</t>
  </si>
  <si>
    <t>1.1.6.1.3</t>
  </si>
  <si>
    <t>1.1.6.1.4</t>
  </si>
  <si>
    <t>1.1.6.2</t>
  </si>
  <si>
    <t>md-f0009-0000-mb-m-00001</t>
  </si>
  <si>
    <t>Ter 26/05/26</t>
  </si>
  <si>
    <t>1.1.6.2.1</t>
  </si>
  <si>
    <t>51TI+120 dias</t>
  </si>
  <si>
    <t>1.1.6.2.2</t>
  </si>
  <si>
    <t>Qui 28/05/26</t>
  </si>
  <si>
    <t>1.1.6.2.3</t>
  </si>
  <si>
    <t>Sex 29/05/26</t>
  </si>
  <si>
    <t>1.1.6.2.4</t>
  </si>
  <si>
    <t>Ter 02/06/26</t>
  </si>
  <si>
    <t>1.1.7</t>
  </si>
  <si>
    <t>tubulação/utilidades</t>
  </si>
  <si>
    <t>135 dias</t>
  </si>
  <si>
    <t>TUBULAÇÃO/UTILIDADES</t>
  </si>
  <si>
    <t>1.1.7.1</t>
  </si>
  <si>
    <t>cp-f0009-0000-mb-t-00001</t>
  </si>
  <si>
    <t>Qui 11/06/26</t>
  </si>
  <si>
    <t>1.1.7.1.1</t>
  </si>
  <si>
    <t>63;67TI+120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</si>
  <si>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</si>
  <si>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</si>
  <si>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</si>
  <si>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</si>
  <si>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</si>
  <si>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</si>
  <si>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</si>
  <si>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62TI+120 dias</t>
  </si>
  <si>
    <t>68;72;77</t>
  </si>
  <si>
    <t>1.1.7.2.2</t>
  </si>
  <si>
    <t>1.1.7.2.3</t>
  </si>
  <si>
    <t>Qua 24/06/26</t>
  </si>
  <si>
    <t>1.1.7.2.4</t>
  </si>
  <si>
    <t>Sex 26/06/26</t>
  </si>
  <si>
    <t>1.1.7.3</t>
  </si>
  <si>
    <t>ml-f0009-0000-mb-t-00001</t>
  </si>
  <si>
    <t>Modelo geral</t>
  </si>
  <si>
    <t>1.1.7.3.1</t>
  </si>
  <si>
    <t>1.1.7.3.2</t>
  </si>
  <si>
    <t>1.1.7.3.3</t>
  </si>
  <si>
    <t>Qua 03/06/26</t>
  </si>
  <si>
    <t>1.1.7.3.4</t>
  </si>
  <si>
    <t>Sex 05/06/26</t>
  </si>
  <si>
    <t>1.1.7.4</t>
  </si>
  <si>
    <t>lk-f0009-0000-mb-t-00001</t>
  </si>
  <si>
    <t>Lista de Tie-ins</t>
  </si>
  <si>
    <t>1.1.7.4.1</t>
  </si>
  <si>
    <t>1.1.7.4.2</t>
  </si>
  <si>
    <t>1.1.7.4.3</t>
  </si>
  <si>
    <t>Seg 08/06/26</t>
  </si>
  <si>
    <t>1.1.7.4.4</t>
  </si>
  <si>
    <t>Qua 10/06/26</t>
  </si>
  <si>
    <t>1.1.8</t>
  </si>
  <si>
    <t>estrutura metálica</t>
  </si>
  <si>
    <t>130 dias</t>
  </si>
  <si>
    <t>ESTRUTURA METÁLICA</t>
  </si>
  <si>
    <t>Seg 15/06/26</t>
  </si>
  <si>
    <t>1.1.8.1</t>
  </si>
  <si>
    <t>cp-f0009-0000-mb-s-00001</t>
  </si>
  <si>
    <t>1.1.8.1.1</t>
  </si>
  <si>
    <t>84;88TI+120 dias</t>
  </si>
  <si>
    <t>1.1.8.1.2</t>
  </si>
  <si>
    <t>1.1.8.1.3</t>
  </si>
  <si>
    <t>1.1.8.1.4</t>
  </si>
  <si>
    <t>1.1.8.2</t>
  </si>
  <si>
    <t>md-f0009-0000-mb-s-00001</t>
  </si>
  <si>
    <t>1.1.8.2.1</t>
  </si>
  <si>
    <t>83TI+120 dias</t>
  </si>
  <si>
    <t>1.1.8.2.2</t>
  </si>
  <si>
    <t>1.1.8.2.3</t>
  </si>
  <si>
    <t>1.1.8.2.4</t>
  </si>
  <si>
    <t>1.1.9</t>
  </si>
  <si>
    <t>elétrica</t>
  </si>
  <si>
    <t>140 dias</t>
  </si>
  <si>
    <t>ELÉTRICA</t>
  </si>
  <si>
    <t>1.1.9.1</t>
  </si>
  <si>
    <t>cp-f0009-0000-mb-e-00001</t>
  </si>
  <si>
    <t>99TI+120 dias</t>
  </si>
  <si>
    <t>1.1.9.1.1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</si>
  <si>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</si>
  <si>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</si>
  <si>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</si>
  <si>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</si>
  <si>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</si>
  <si>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</si>
  <si>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</si>
  <si>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93TI+120 dias</t>
  </si>
  <si>
    <t>1.1.9.2.2</t>
  </si>
  <si>
    <t>1.1.9.2.3</t>
  </si>
  <si>
    <t>1.1.9.2.4</t>
  </si>
  <si>
    <t>Seg 29/06/26</t>
  </si>
  <si>
    <t>1.1.10</t>
  </si>
  <si>
    <t>automação e instrumentação</t>
  </si>
  <si>
    <t>127 dias</t>
  </si>
  <si>
    <t>AUTOMAÇÃO E INSTRUMENTAÇÃO</t>
  </si>
  <si>
    <t>1.1.10.1</t>
  </si>
  <si>
    <t>cp-f0009-0000-mb-j-00001</t>
  </si>
  <si>
    <t>1.1.10.1.1</t>
  </si>
  <si>
    <t>106;110TI+120 dias</t>
  </si>
  <si>
    <t>1.1.10.1.2</t>
  </si>
  <si>
    <t>1.1.10.1.3</t>
  </si>
  <si>
    <t>1.1.10.1.4</t>
  </si>
  <si>
    <t>1.1.10.2</t>
  </si>
  <si>
    <t>md-f0009-0000-mb-j-00001</t>
  </si>
  <si>
    <t>Sex 22/05/26</t>
  </si>
  <si>
    <t>1.1.10.2.1</t>
  </si>
  <si>
    <t>105TI+120 dias</t>
  </si>
  <si>
    <t>1.1.10.2.2</t>
  </si>
  <si>
    <t>Qua 27/05/26</t>
  </si>
  <si>
    <t>1.1.10.2.3</t>
  </si>
  <si>
    <t>1.1.10.2.4</t>
  </si>
  <si>
    <t>Seg 01/06/26</t>
  </si>
  <si>
    <t>1.1.11</t>
  </si>
  <si>
    <t>civil</t>
  </si>
  <si>
    <t>CIVIL</t>
  </si>
  <si>
    <t>1.1.11.1</t>
  </si>
  <si>
    <t>avaliações gerais</t>
  </si>
  <si>
    <t>30TI+60 dias</t>
  </si>
  <si>
    <t>Seg 07/09/26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</si>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</sst>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9" fontId="0" fillId="0" borderId="0" xfId="1" applyFont="1" applyFill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Porcentagem" xfId="1" builtinId="5"/>
  </cellStyles>
  <dxfs count="17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6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  <alignment horizontal="general" vertical="bottom" textRotation="0" wrapText="0" indent="0" justifyLastLine="0" shrinkToFit="0" readingOrder="0"/>
    </dxf>
    <dxf>
      <font>
        <b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0.0%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65" formatCode="0.0%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7-4105-B703-D176EFF8E67F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7-4105-B703-D176EFF8E67F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  <c:pt idx="8">
                  <c:v>1</c:v>
                </c:pt>
                <c:pt idx="9">
                  <c:v>0.5</c:v>
                </c:pt>
                <c:pt idx="1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7-4105-B703-D176EFF8E67F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A7-4105-B703-D176EFF8E67F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A7-4105-B703-D176EFF8E67F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A7-4105-B703-D176EFF8E67F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A7-4105-B703-D176EFF8E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E-4373-99FA-B4F1C69188EE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E-4373-99FA-B4F1C69188EE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E-4373-99FA-B4F1C69188EE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BE-4373-99FA-B4F1C6918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C-44AC-93EE-2DE00DA0E573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3C-44AC-93EE-2DE00DA0E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3449648"/>
        <c:axId val="1023449288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18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C-44AC-93EE-2DE00DA0E573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C-44AC-93EE-2DE00DA0E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1023449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3449648"/>
        <c:crosses val="max"/>
        <c:crossBetween val="between"/>
      </c:valAx>
      <c:dateAx>
        <c:axId val="10234496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23449288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18/06/2026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5-4388-A394-B2507101E3D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5-4388-A394-B2507101E3D6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S'!$F$2:$F$173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C5-4388-A394-B2507101E3D6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S'!$G$2:$G$173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C5-4388-A394-B2507101E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18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C5-4388-A394-B2507101E3D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C5-4388-A394-B2507101E3D6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S'!$H$2:$H$173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17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C5-4388-A394-B2507101E3D6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S'!$I$2:$I$173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C5-4388-A394-B2507101E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19</xdr:col>
      <xdr:colOff>227250</xdr:colOff>
      <xdr:row>27</xdr:row>
      <xdr:rowOff>66000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E2B4EE0-B28B-4E6E-8C84-990CDBEA6B03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19</xdr:col>
      <xdr:colOff>227250</xdr:colOff>
      <xdr:row>57</xdr:row>
      <xdr:rowOff>66000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3DD1310-0CA3-439D-A87B-771880C58490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27</xdr:col>
      <xdr:colOff>438150</xdr:colOff>
      <xdr:row>30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77863A-FD0B-43ED-8066-8D12AC9C8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27</xdr:col>
      <xdr:colOff>390525</xdr:colOff>
      <xdr:row>61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92BF03-EBB9-4DEA-A75A-2822AF2872BF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3FDC82-953E-4C59-950D-2569794BA725}" name="Tabela3" displayName="Tabela3" ref="A1:AF116" totalsRowShown="0" headerRowDxfId="174" dataDxfId="173">
  <autoFilter ref="A1:AF116" xr:uid="{AE3FDC82-953E-4C59-950D-2569794BA725}"/>
  <tableColumns count="32">
    <tableColumn id="1" xr3:uid="{26962669-32B6-4B0A-83DA-FB53BE02D863}" name="Id" dataDxfId="172"/>
    <tableColumn id="2" xr3:uid="{78FDD3C4-7F78-4C6B-9888-C6A077EB2DC1}" name="EDT" dataDxfId="171"/>
    <tableColumn id="3" xr3:uid="{03662521-1D7D-4A2B-842E-601B4B0AE5F4}" name="Nome da Tarefa" dataDxfId="170"/>
    <tableColumn id="4" xr3:uid="{93FAEB97-CA93-408D-A71F-B47E6537134B}" name="Título" dataDxfId="169"/>
    <tableColumn id="5" xr3:uid="{37C83467-E5DB-464C-9A85-81FE36C1178A}" name="Duração" dataDxfId="168"/>
    <tableColumn id="6" xr3:uid="{FBED34B9-3C37-4B2A-B27E-2D68F9A8E0FC}" name="Início" dataDxfId="167"/>
    <tableColumn id="7" xr3:uid="{8D86F870-AF7E-43B5-BEC8-DB2EF1F19D60}" name="Término" dataDxfId="166"/>
    <tableColumn id="8" xr3:uid="{2342CF50-EDB9-489C-8BAB-B1B270309E8B}" name="Predecessoras" dataDxfId="165"/>
    <tableColumn id="9" xr3:uid="{A01CEB7F-2D7A-43DB-A1BA-489166804C95}" name="% concluída" dataDxfId="164" dataCellStyle="Porcentagem"/>
    <tableColumn id="10" xr3:uid="{474ED3DA-E354-45BC-BC1C-2596DC752136}" name="Término real" dataDxfId="163"/>
    <tableColumn id="11" xr3:uid="{8F29F78D-3037-48B5-BB4D-903C53E846C7}" name="Status" dataDxfId="162"/>
    <tableColumn id="12" xr3:uid="{9A289708-6D15-4BB1-BF8D-2134AE9E4BF5}" name="Crítica" dataDxfId="161"/>
    <tableColumn id="13" xr3:uid="{2DE0991F-8EBE-43D2-83A5-AC61D348A7CB}" name="Disciplina" dataDxfId="160"/>
    <tableColumn id="14" xr3:uid="{3D48978B-068B-4C0E-AED6-B5F0DD0C4AF2}" name="Inicio_LB_R0" dataDxfId="159"/>
    <tableColumn id="15" xr3:uid="{163E0575-7594-458A-BE09-09124CC80917}" name="Término_LB_R0" dataDxfId="158"/>
    <tableColumn id="16" xr3:uid="{175C1D36-7486-4DFB-AA5B-BC3BE8909D57}" name="Sprint" dataDxfId="157"/>
    <tableColumn id="17" xr3:uid="{57563DEE-1807-40F6-91AB-1A744437ACDE}" name="Sucessoras" dataDxfId="156"/>
    <tableColumn id="18" xr3:uid="{EBFB848D-BA3E-4A26-9D8D-1BBFE72247E3}" name="Comparação" dataDxfId="155"/>
    <tableColumn id="19" xr3:uid="{83899D4A-3338-474C-8F6F-F6C1F17299FA}" name="Nome do Resumo da Tarefa" dataDxfId="154"/>
    <tableColumn id="20" xr3:uid="{104EC2AD-7E57-4B45-AE88-9140BE495031}" name="Nomes dos recursos" dataDxfId="153"/>
    <tableColumn id="21" xr3:uid="{9CA5F496-EA7A-43DC-8A30-19C4EFEF88E5}" name="pct_val" dataDxfId="152"/>
    <tableColumn id="22" xr3:uid="{29F6885D-729C-41DA-835B-FD39CC9BBB27}" name="Emissão inicial total" dataDxfId="151"/>
    <tableColumn id="23" xr3:uid="{1B0D2EBC-DDE6-46A3-8086-AC4BB72623E6}" name="Emissão inicial concluída" dataDxfId="150"/>
    <tableColumn id="24" xr3:uid="{08088238-BDA5-45BF-A757-94C86F2544D6}" name="Emissão Inicial Atrasada" dataDxfId="149"/>
    <tableColumn id="25" xr3:uid="{9D8AC817-BA74-46C2-AA47-758240ABB627}" name="Aprovação total" dataDxfId="148"/>
    <tableColumn id="26" xr3:uid="{2D112031-7E37-4488-93DA-3F36CA73445B}" name="Avaliação do cliente concluída" dataDxfId="147"/>
    <tableColumn id="27" xr3:uid="{A7AD9074-57DC-45E0-A986-1277D6DFDC5E}" name="Avaliação Cliente Atrasada" dataDxfId="146"/>
    <tableColumn id="28" xr3:uid="{3EDDC492-A4CC-4E4D-84DF-471386A5B9E5}" name="Atendimento de comentário concluído" dataDxfId="145"/>
    <tableColumn id="29" xr3:uid="{B2D1AFB5-9069-44E7-AB23-66E7C74DDF03}" name="Atendimento Atrasado" dataDxfId="144"/>
    <tableColumn id="30" xr3:uid="{14B8E0B7-001E-4B49-A285-A79D3591B7D2}" name="Aprovação concluída" dataDxfId="143"/>
    <tableColumn id="31" xr3:uid="{912FC2AF-4FE2-4AD2-92E7-D40297D5D823}" name="Aprovação Atrasada" dataDxfId="142"/>
    <tableColumn id="32" xr3:uid="{496ECFB6-D76B-43B0-B257-8BBA0D69B858}" name="Aderência" dataDxfId="14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95F15-91A5-4B8E-95E4-E9CA9747F42A}" name="Tabela1" displayName="Tabela1" ref="A3:H15" totalsRowCount="1" headerRowDxfId="140" dataDxfId="139" totalsRowDxfId="138">
  <autoFilter ref="A3:H14" xr:uid="{49495F15-91A5-4B8E-95E4-E9CA9747F42A}"/>
  <tableColumns count="8">
    <tableColumn id="1" xr3:uid="{4D9F5CBE-A18C-4CDE-A4A4-1DEDB89B82D9}" name="Disciplina" totalsRowLabel="TOTAL" dataDxfId="136" totalsRowDxfId="137"/>
    <tableColumn id="2" xr3:uid="{571FF33C-914A-4C7A-9E5D-61358183EE65}" name="Emissão inicial total" totalsRowFunction="sum" dataDxfId="134" totalsRowDxfId="135"/>
    <tableColumn id="3" xr3:uid="{3390228D-9B67-459F-AF8B-E39200BC9078}" name="Emissão inicial concluída" totalsRowFunction="sum" dataDxfId="132" totalsRowDxfId="133"/>
    <tableColumn id="4" xr3:uid="{633E4100-AD74-4713-8185-A9B60C216A14}" name="%EI" totalsRowFunction="custom" dataDxfId="130" totalsRowDxfId="131">
      <totalsRowFormula>+Tabela1[[#Totals],[Emissão inicial concluída]]/Tabela1[[#Totals],[Emissão inicial total]]</totalsRowFormula>
    </tableColumn>
    <tableColumn id="5" xr3:uid="{0D66C783-F111-467E-8F63-1E9ECE00551B}" name="Avaliação do cliente concluída" totalsRowFunction="sum" dataDxfId="128" totalsRowDxfId="129"/>
    <tableColumn id="6" xr3:uid="{13C5BEF1-7E60-42E0-AC70-519431EDB749}" name="Atendimento de comentário concluído" totalsRowFunction="sum" dataDxfId="126" totalsRowDxfId="127"/>
    <tableColumn id="7" xr3:uid="{132A266C-4E77-4CFE-BDA2-90AEC921A33C}" name="Aprovação concluída" totalsRowFunction="sum" dataDxfId="124" totalsRowDxfId="125"/>
    <tableColumn id="8" xr3:uid="{9A5A674D-5383-4804-805A-260038C696B2}" name="%AP" totalsRowFunction="custom" dataDxfId="122" totalsRowDxfId="123">
      <totalsRowFormula>+Tabela1[[#Totals],[Aprovação concluída]]/Tabela1[[#Totals],[Emissão inicial total]]</totalsRow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36BE6-069C-4764-A0F0-4F7020E9ACEF}" name="Tabela2" displayName="Tabela2" ref="A20:E32" totalsRowCount="1" headerRowDxfId="121" dataDxfId="120" totalsRowDxfId="119">
  <autoFilter ref="A20:E31" xr:uid="{BD436BE6-069C-4764-A0F0-4F7020E9ACEF}"/>
  <tableColumns count="5">
    <tableColumn id="1" xr3:uid="{15677D10-5C56-44F9-8E64-B2FD2AB0DE6F}" name="Disciplina" totalsRowLabel="TOTAL" dataDxfId="117" totalsRowDxfId="118"/>
    <tableColumn id="2" xr3:uid="{1E08A1F1-97D7-4171-AFBA-5A44609DAD13}" name="Emissão Inicial Atrasada" totalsRowFunction="sum" dataDxfId="115" totalsRowDxfId="116"/>
    <tableColumn id="3" xr3:uid="{8D23EB77-E810-43AA-B053-77EB290E9A4D}" name="Avaliação Cliente Atrasada" totalsRowFunction="sum" dataDxfId="113" totalsRowDxfId="114"/>
    <tableColumn id="4" xr3:uid="{815E6066-5748-402C-A1D6-3A5E27435A0F}" name="Atendimento Atrasado" totalsRowFunction="sum" dataDxfId="111" totalsRowDxfId="112"/>
    <tableColumn id="5" xr3:uid="{4BFB3D3A-0208-44DE-A290-44E5A402FF9C}" name="Aprovação Atrasada" totalsRowFunction="sum" dataDxfId="109" totalsRowDxfId="11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3858B2-2578-4EEB-8467-AB97B943DE24}" name="Tabela4" displayName="Tabela4" ref="A1:O173" totalsRowShown="0" headerRowDxfId="108" dataDxfId="107">
  <autoFilter ref="A1:O173" xr:uid="{F73858B2-2578-4EEB-8467-AB97B943DE24}"/>
  <tableColumns count="15">
    <tableColumn id="1" xr3:uid="{F65A46D8-5644-47E8-B1DA-D97934EDEB7E}" name="Data" dataDxfId="106"/>
    <tableColumn id="2" xr3:uid="{0AFC9E03-2D4A-41FD-83BF-D10037207A3F}" name="Emissão prevista na LB" dataDxfId="105"/>
    <tableColumn id="3" xr3:uid="{5CED942F-913C-4552-9569-50F29FF086DB}" name="Emissão prevista na LB acumulada" dataDxfId="104"/>
    <tableColumn id="4" xr3:uid="{2B65CEE0-AABF-4F71-9031-F9B56D285BC5}" name="Emissão realizada por dia" dataDxfId="103"/>
    <tableColumn id="5" xr3:uid="{901AE324-6FD2-4E12-A60A-2A3511B52BD5}" name="Emissão realizada acumulada" dataDxfId="102"/>
    <tableColumn id="6" xr3:uid="{C3B212F5-F307-404E-B1F7-01071C0684E0}" name="Aprovação prevista na LB" dataDxfId="101"/>
    <tableColumn id="7" xr3:uid="{39E395A8-7D6B-423B-8337-2E00936C3F34}" name="Aprovação realizada por dia" dataDxfId="100"/>
    <tableColumn id="8" xr3:uid="{3032432E-7236-437E-B36D-3F24757E521C}" name="Aprovação prevista na LB acumulada" dataDxfId="99"/>
    <tableColumn id="9" xr3:uid="{6AFB2D50-065F-45C9-985B-CFAC8E4E2537}" name="Aprovação realizada acumulada" dataDxfId="98"/>
    <tableColumn id="10" xr3:uid="{D1868896-CB38-4135-9213-A14012BDE949}" name="Avanço da EI previsto na LB" dataDxfId="97" dataCellStyle="Porcentagem"/>
    <tableColumn id="11" xr3:uid="{BFD4F7F5-3F05-4EE3-AB32-AD5165849580}" name="Avanço real da EI na LB" dataDxfId="96" dataCellStyle="Porcentagem"/>
    <tableColumn id="12" xr3:uid="{54F4E76D-7775-4603-A4FC-38D90622E930}" name="COMP_EI" dataDxfId="95"/>
    <tableColumn id="13" xr3:uid="{F658DFE5-E6DF-40FA-A3A1-DE7817E5F85D}" name="Avanço da AP previsto na LB" dataDxfId="94" dataCellStyle="Porcentagem"/>
    <tableColumn id="14" xr3:uid="{8DC7F838-143B-440B-B4CA-5BC592182484}" name="Avanço da AP real na LB" dataDxfId="93" dataCellStyle="Porcentagem"/>
    <tableColumn id="15" xr3:uid="{8B20630F-656B-452A-91D7-6AA75309618F}" name="COMP_AP" dataDxfId="92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292741-D2A5-4713-9CC8-F37390CB30CF}" name="Tabela5" displayName="Tabela5" ref="A1:AF24" totalsRowShown="0" headerRowDxfId="91" dataDxfId="90">
  <autoFilter ref="A1:AF24" xr:uid="{43292741-D2A5-4713-9CC8-F37390CB30CF}"/>
  <tableColumns count="32">
    <tableColumn id="1" xr3:uid="{47A32AC5-D955-46EC-835B-8BD4B3381E00}" name="Id" dataDxfId="89"/>
    <tableColumn id="2" xr3:uid="{0E288DB8-A96A-4448-BB0A-1AB7C933918D}" name="EDT" dataDxfId="88"/>
    <tableColumn id="3" xr3:uid="{A2A79B5D-6A01-4BD4-BB41-74E627C0043B}" name="Nome da Tarefa" dataDxfId="87"/>
    <tableColumn id="4" xr3:uid="{7B564D2F-59AB-470C-8F80-2365AE920211}" name="Título" dataDxfId="86"/>
    <tableColumn id="5" xr3:uid="{BE084DBB-EBA0-484D-B182-0917BDBD1085}" name="Duração" dataDxfId="85"/>
    <tableColumn id="6" xr3:uid="{2A40BF6C-40D7-481D-8855-1380A9C4F59A}" name="Início" dataDxfId="84"/>
    <tableColumn id="7" xr3:uid="{9D10DADB-6C8F-4240-B62F-DCC9780136AC}" name="Término" dataDxfId="83"/>
    <tableColumn id="8" xr3:uid="{71510EC7-A68F-4B0D-A8A1-4A1FD28702FF}" name="Predecessoras" dataDxfId="82"/>
    <tableColumn id="9" xr3:uid="{E9C32FF8-1E32-4B4E-9EAE-8C82CEE0B1EA}" name="% concluída" dataDxfId="81"/>
    <tableColumn id="10" xr3:uid="{00BBED05-DD70-4147-9C85-9A33C68A16AE}" name="Término real" dataDxfId="80"/>
    <tableColumn id="11" xr3:uid="{C78E1203-3C9D-4719-9237-2DAA4F7CA1DC}" name="Status" dataDxfId="79"/>
    <tableColumn id="12" xr3:uid="{2328776C-A5A3-41CA-88D3-91CD41B9AF1B}" name="Crítica" dataDxfId="78"/>
    <tableColumn id="13" xr3:uid="{E0609272-8D0F-4969-AD30-CDF061F28D22}" name="Disciplina" dataDxfId="77"/>
    <tableColumn id="14" xr3:uid="{786AFA0D-CB4D-4855-BF9B-2C4D45E5AA30}" name="Inicio_LB_R0" dataDxfId="76"/>
    <tableColumn id="15" xr3:uid="{2C7F94C6-68B8-4F5D-BAC8-22942EC44505}" name="Término_LB_R0" dataDxfId="75"/>
    <tableColumn id="16" xr3:uid="{561071BF-3E96-4EA6-A6AB-AF02A0E948D4}" name="Sprint" dataDxfId="74"/>
    <tableColumn id="17" xr3:uid="{2E5AF66E-71F5-4C2F-82A5-2DAF00A79EDA}" name="Sucessoras" dataDxfId="73"/>
    <tableColumn id="18" xr3:uid="{993CA289-FB3F-4C92-AD3D-0BC93F285B85}" name="Comparação" dataDxfId="72"/>
    <tableColumn id="19" xr3:uid="{5360E745-E0C3-4503-B469-347015085455}" name="Nome do Resumo da Tarefa" dataDxfId="71"/>
    <tableColumn id="20" xr3:uid="{1E4168D5-E8A4-48DD-913E-0BCBD78F0E98}" name="Nomes dos recursos" dataDxfId="70"/>
    <tableColumn id="21" xr3:uid="{EB421202-1BA2-45D1-B978-2384F05AB127}" name="pct_val" dataDxfId="69"/>
    <tableColumn id="22" xr3:uid="{38B2AC74-6707-4FA1-950D-8A00C94145A1}" name="Emissão inicial total" dataDxfId="68"/>
    <tableColumn id="23" xr3:uid="{9361087F-53A0-4866-8FEC-6A05F17D81FE}" name="Emissão inicial concluída" dataDxfId="67"/>
    <tableColumn id="24" xr3:uid="{03ADBFBC-7E7E-4092-88E3-96BE449470D4}" name="Emissão Inicial Atrasada" dataDxfId="66"/>
    <tableColumn id="25" xr3:uid="{2C3EACFA-1655-4B2D-83DB-C4E4A7AAC61A}" name="Aprovação total" dataDxfId="65"/>
    <tableColumn id="26" xr3:uid="{32FBA643-6DB0-42DE-BC75-3AB9C5AF6FF6}" name="Avaliação do cliente concluída" dataDxfId="64"/>
    <tableColumn id="27" xr3:uid="{C5E30959-A614-41ED-B843-1A3FB6BED245}" name="Avaliação Cliente Atrasada" dataDxfId="63"/>
    <tableColumn id="28" xr3:uid="{8A47B205-100C-4CD6-8C88-C6985CC0BECB}" name="Atendimento de comentário concluído" dataDxfId="62"/>
    <tableColumn id="29" xr3:uid="{40897135-AFB2-4BED-ADFD-12D3BE49CF2B}" name="Atendimento Atrasado" dataDxfId="61"/>
    <tableColumn id="30" xr3:uid="{59E9CE63-047F-4A55-88D7-F3C128310B63}" name="Aprovação concluída" dataDxfId="60"/>
    <tableColumn id="31" xr3:uid="{1224586A-EAE0-4025-A7B0-FAC989185A83}" name="Aprovação Atrasada" dataDxfId="59"/>
    <tableColumn id="32" xr3:uid="{559F0CF5-CB45-4491-8308-A3E82CFBB9C8}" name="Aderência" dataDxfId="58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F7F031-7AB7-41D5-B309-93A6CF423003}" name="Tabela6" displayName="Tabela6" ref="A1:AF24" totalsRowShown="0" headerRowDxfId="57" dataDxfId="56">
  <autoFilter ref="A1:AF24" xr:uid="{8EF7F031-7AB7-41D5-B309-93A6CF423003}"/>
  <tableColumns count="32">
    <tableColumn id="1" xr3:uid="{A3B5A058-85AF-4BC7-ACF4-9422A426D596}" name="Id" dataDxfId="55"/>
    <tableColumn id="2" xr3:uid="{C05FCE7B-2B74-4B04-B27E-CADF05944F99}" name="EDT" dataDxfId="54"/>
    <tableColumn id="3" xr3:uid="{B25F93D4-BFB5-4B9E-AC02-896F28699633}" name="Nome da Tarefa" dataDxfId="53"/>
    <tableColumn id="4" xr3:uid="{7103A9F1-5DD3-48E4-A310-E53ED3258F95}" name="Título" dataDxfId="52"/>
    <tableColumn id="5" xr3:uid="{81E6A64E-61F9-4429-B846-5CA49595996F}" name="Duração" dataDxfId="51"/>
    <tableColumn id="6" xr3:uid="{562C2674-9608-4CC6-9A78-6A7FD972648E}" name="Início" dataDxfId="50"/>
    <tableColumn id="7" xr3:uid="{1A3BFA6F-C906-4EC5-A54B-90C80445BDBB}" name="Término" dataDxfId="49"/>
    <tableColumn id="8" xr3:uid="{F05D5F99-C294-48AC-BF40-260AE0B03253}" name="Predecessoras" dataDxfId="48"/>
    <tableColumn id="9" xr3:uid="{7164A3BA-17B2-4D1A-8096-C2C307852F0C}" name="% concluída" dataDxfId="47" dataCellStyle="Porcentagem"/>
    <tableColumn id="10" xr3:uid="{CA19C35C-05DF-47A4-8B7E-F1048A18DF32}" name="Término real" dataDxfId="46"/>
    <tableColumn id="11" xr3:uid="{4BFBC5E0-8FB3-4664-8800-D8D474C4FDEE}" name="Status" dataDxfId="45"/>
    <tableColumn id="12" xr3:uid="{41B2C11B-721C-4240-8820-D3A6BFFFB2AE}" name="Crítica" dataDxfId="44"/>
    <tableColumn id="13" xr3:uid="{EC14A709-A4CC-4548-B10D-D82367A65970}" name="Disciplina" dataDxfId="43"/>
    <tableColumn id="14" xr3:uid="{1BF4E8D0-4DDF-4562-ACAC-BF591D04EBBE}" name="Inicio_LB_R0" dataDxfId="42"/>
    <tableColumn id="15" xr3:uid="{1B67CDAD-089B-4EE8-8AFA-86120F0A4423}" name="Término_LB_R0" dataDxfId="41"/>
    <tableColumn id="16" xr3:uid="{085CDBCF-02DD-4787-8793-A56AB77E939A}" name="Sprint" dataDxfId="40"/>
    <tableColumn id="17" xr3:uid="{5DF7229F-D471-41E4-975A-FD1D3821781A}" name="Sucessoras" dataDxfId="39"/>
    <tableColumn id="18" xr3:uid="{6A215F6D-7DD8-4674-B6B5-DA89B6EDD3FC}" name="Comparação" dataDxfId="38"/>
    <tableColumn id="19" xr3:uid="{8C1C8190-883F-418B-8E7E-7E76E26C46DF}" name="Nome do Resumo da Tarefa" dataDxfId="37"/>
    <tableColumn id="20" xr3:uid="{68181417-5B4F-4B4D-8C1E-D75883C25C49}" name="Nomes dos recursos" dataDxfId="36"/>
    <tableColumn id="21" xr3:uid="{C20C7828-9862-4635-B81E-B806C868A73C}" name="pct_val" dataDxfId="35"/>
    <tableColumn id="22" xr3:uid="{9FDAA4F2-8464-4BBC-B12D-09A061524D19}" name="Emissão inicial total" dataDxfId="34"/>
    <tableColumn id="23" xr3:uid="{CEACA21D-008C-40EB-ADDA-ECF23F03F3B6}" name="Emissão inicial concluída" dataDxfId="33"/>
    <tableColumn id="24" xr3:uid="{98CA3559-2A0B-405B-B6B9-40C420C4C1B1}" name="Emissão Inicial Atrasada" dataDxfId="32"/>
    <tableColumn id="25" xr3:uid="{E3BE88AA-232F-4453-9963-8FA4AF622419}" name="Aprovação total" dataDxfId="31"/>
    <tableColumn id="26" xr3:uid="{B0819CBF-A487-4E0B-A770-8C362CC1BEFD}" name="Avaliação do cliente concluída" dataDxfId="30"/>
    <tableColumn id="27" xr3:uid="{CB91000E-5E47-4E77-A14D-34A1DE109CD9}" name="Avaliação Cliente Atrasada" dataDxfId="29"/>
    <tableColumn id="28" xr3:uid="{ACACB39C-8149-43E9-9BE8-B9A51782D3E7}" name="Atendimento de comentário concluído" dataDxfId="28"/>
    <tableColumn id="29" xr3:uid="{8479F22C-71CE-432D-9EB5-0582C743D414}" name="Atendimento Atrasado" dataDxfId="27"/>
    <tableColumn id="30" xr3:uid="{F2BE941B-E85E-4438-BF01-0B9737B1CB66}" name="Aprovação concluída" dataDxfId="26"/>
    <tableColumn id="31" xr3:uid="{8D016E0C-6455-46B0-8BF6-6ED6B3027FE2}" name="Aprovação Atrasada" dataDxfId="25"/>
    <tableColumn id="32" xr3:uid="{4AA0E583-C16E-4E04-8BEF-ACDB6B451F84}" name="Aderência" dataDxfId="24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A21F0C-4269-468C-B1E8-17EB519EDC97}" name="Tabela7" displayName="Tabela7" ref="A1:J38" totalsRowShown="0" headerRowDxfId="23" dataDxfId="22">
  <autoFilter ref="A1:J38" xr:uid="{90A21F0C-4269-468C-B1E8-17EB519EDC97}"/>
  <tableColumns count="10">
    <tableColumn id="1" xr3:uid="{C52ECE65-6426-47BF-90EC-1F6EC35241FC}" name="Sprint" dataDxfId="21"/>
    <tableColumn id="2" xr3:uid="{23AC18A2-B9BC-4807-82BD-DDA202A5B6B3}" name="Id" dataDxfId="20"/>
    <tableColumn id="3" xr3:uid="{FBA57DD0-1B68-43D8-A50A-7FA62B728983}" name="EDT" dataDxfId="19"/>
    <tableColumn id="4" xr3:uid="{62D19579-C311-4C21-B13A-48A032CE854C}" name="Nome do Resumo da Tarefa" dataDxfId="18"/>
    <tableColumn id="5" xr3:uid="{9333DF68-1B2D-4B98-B231-04804BDFEE2A}" name="Nome da Tarefa" dataDxfId="17"/>
    <tableColumn id="6" xr3:uid="{3D6E13A0-FB5D-4950-9176-D41A1C06FAD7}" name="Status" dataDxfId="16"/>
    <tableColumn id="7" xr3:uid="{64A38757-B7AC-4D39-A825-E13AA8086080}" name="% concluída" dataDxfId="15" dataCellStyle="Porcentagem"/>
    <tableColumn id="8" xr3:uid="{5962C6C8-2931-46AF-9C96-D8D3D051DC35}" name="Nomes dos recursos" dataDxfId="14"/>
    <tableColumn id="9" xr3:uid="{4BE7C6E3-6B2F-4B2E-A88A-4800FE6A3C8B}" name="Disciplina" dataDxfId="13"/>
    <tableColumn id="10" xr3:uid="{E7AB145B-D349-4FAA-820E-AFCC68395CF2}" name="Crítica" dataDxfId="1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DA349B-7853-4925-90C4-98DD2F8062AB}" name="Tabela8" displayName="Tabela8" ref="A1:J3" totalsRowShown="0" headerRowDxfId="11" dataDxfId="10">
  <autoFilter ref="A1:J3" xr:uid="{ACDA349B-7853-4925-90C4-98DD2F8062AB}"/>
  <tableColumns count="10">
    <tableColumn id="1" xr3:uid="{3A956728-9104-4026-90AD-E942D3C694E9}" name="Sprint" dataDxfId="9"/>
    <tableColumn id="2" xr3:uid="{1A4D4CF7-C9FF-4154-AAB7-FA555FE477AC}" name="Id" dataDxfId="8"/>
    <tableColumn id="3" xr3:uid="{62327410-E418-48D8-AECF-5BC1ED2C36CA}" name="EDT" dataDxfId="7"/>
    <tableColumn id="4" xr3:uid="{CE921892-4962-497F-A8DA-78E2CCD2B9C6}" name="Nome do Resumo da Tarefa" dataDxfId="6"/>
    <tableColumn id="5" xr3:uid="{C55C481B-AF94-487E-8382-66A0EAEA1FC8}" name="Nome da Tarefa" dataDxfId="5"/>
    <tableColumn id="6" xr3:uid="{72A86D7E-0210-4AFA-987E-FE91B595738B}" name="Status" dataDxfId="4"/>
    <tableColumn id="7" xr3:uid="{7EC31EA1-C4EE-4943-A782-D16E192430DC}" name="% concluída" dataDxfId="3" dataCellStyle="Porcentagem"/>
    <tableColumn id="8" xr3:uid="{3109BA79-691D-4490-9855-04BE4674A6B5}" name="Nomes dos recursos" dataDxfId="2"/>
    <tableColumn id="9" xr3:uid="{1F67FFD6-5DB9-4210-8B01-74D0398E96B7}" name="Disciplina" dataDxfId="1"/>
    <tableColumn id="10" xr3:uid="{4DEFD879-F41E-4441-AE22-F3A428B75AF4}" name="Crític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6"/>
  <sheetViews>
    <sheetView topLeftCell="A16" workbookViewId="0">
      <selection activeCell="J11" sqref="J11"/>
    </sheetView>
  </sheetViews>
  <sheetFormatPr defaultRowHeight="15"/>
  <cols>
    <col min="1" max="1" width="5" style="7" bestFit="1" customWidth="1"/>
    <col min="2" max="2" width="9.28515625" style="7" bestFit="1" customWidth="1"/>
    <col min="3" max="3" width="31.5703125" style="7" bestFit="1" customWidth="1"/>
    <col min="4" max="4" width="29.85546875" style="7" bestFit="1" customWidth="1"/>
    <col min="5" max="5" width="10.42578125" style="7" bestFit="1" customWidth="1"/>
    <col min="6" max="7" width="10.7109375" style="9" bestFit="1" customWidth="1"/>
    <col min="8" max="8" width="16.140625" style="7" bestFit="1" customWidth="1"/>
    <col min="9" max="9" width="13.7109375" style="7" bestFit="1" customWidth="1"/>
    <col min="10" max="10" width="18.28515625" style="7" bestFit="1" customWidth="1"/>
    <col min="11" max="11" width="12.42578125" style="7" bestFit="1" customWidth="1"/>
    <col min="12" max="12" width="8.85546875" style="7" bestFit="1" customWidth="1"/>
    <col min="13" max="13" width="32.140625" style="7" bestFit="1" customWidth="1"/>
    <col min="14" max="14" width="14.28515625" style="7" bestFit="1" customWidth="1"/>
    <col min="15" max="15" width="17" style="9" bestFit="1" customWidth="1"/>
    <col min="16" max="16" width="14.5703125" style="7" bestFit="1" customWidth="1"/>
    <col min="17" max="17" width="73.5703125" style="7" bestFit="1" customWidth="1"/>
    <col min="18" max="18" width="14.140625" style="7" bestFit="1" customWidth="1"/>
    <col min="19" max="19" width="28.140625" style="7" bestFit="1" customWidth="1"/>
    <col min="20" max="20" width="21.28515625" style="7" bestFit="1" customWidth="1"/>
    <col min="21" max="21" width="9.5703125" style="7" bestFit="1" customWidth="1"/>
    <col min="22" max="22" width="21" style="7" bestFit="1" customWidth="1"/>
    <col min="23" max="23" width="25.42578125" style="7" bestFit="1" customWidth="1"/>
    <col min="24" max="24" width="24.7109375" style="7" bestFit="1" customWidth="1"/>
    <col min="25" max="25" width="17.28515625" style="7" bestFit="1" customWidth="1"/>
    <col min="26" max="26" width="30.42578125" style="7" bestFit="1" customWidth="1"/>
    <col min="27" max="27" width="27.140625" style="7" bestFit="1" customWidth="1"/>
    <col min="28" max="28" width="38.28515625" style="7" bestFit="1" customWidth="1"/>
    <col min="29" max="29" width="23.85546875" style="7" bestFit="1" customWidth="1"/>
    <col min="30" max="30" width="21.7109375" style="7" bestFit="1" customWidth="1"/>
    <col min="31" max="31" width="21" style="7" bestFit="1" customWidth="1"/>
    <col min="32" max="32" width="12.28515625" style="7" bestFit="1" customWidth="1"/>
    <col min="33" max="16384" width="9.140625" style="7"/>
  </cols>
  <sheetData>
    <row r="1" spans="1:3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>
      <c r="A2" s="7">
        <v>1</v>
      </c>
      <c r="B2" s="7">
        <v>1</v>
      </c>
      <c r="C2" s="7" t="s">
        <v>32</v>
      </c>
      <c r="E2" s="7" t="s">
        <v>33</v>
      </c>
      <c r="F2" s="9">
        <v>46160</v>
      </c>
      <c r="G2" s="9">
        <v>46379</v>
      </c>
      <c r="I2" s="15">
        <v>0.3</v>
      </c>
      <c r="K2" s="7" t="s">
        <v>34</v>
      </c>
      <c r="L2" s="7" t="s">
        <v>35</v>
      </c>
      <c r="M2" s="7" t="s">
        <v>36</v>
      </c>
      <c r="N2" s="7" t="s">
        <v>37</v>
      </c>
      <c r="O2" s="9">
        <v>46211</v>
      </c>
      <c r="P2" s="7" t="s">
        <v>38</v>
      </c>
      <c r="U2" s="7">
        <v>0.3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</row>
    <row r="3" spans="1:32">
      <c r="A3" s="7">
        <v>2</v>
      </c>
      <c r="B3" s="7" t="s">
        <v>39</v>
      </c>
      <c r="C3" s="7" t="s">
        <v>40</v>
      </c>
      <c r="E3" s="7" t="s">
        <v>33</v>
      </c>
      <c r="F3" s="9">
        <v>46160</v>
      </c>
      <c r="G3" s="9">
        <v>46379</v>
      </c>
      <c r="I3" s="15">
        <v>0.3</v>
      </c>
      <c r="K3" s="7" t="s">
        <v>34</v>
      </c>
      <c r="L3" s="7" t="s">
        <v>35</v>
      </c>
      <c r="M3" s="7" t="s">
        <v>36</v>
      </c>
      <c r="N3" s="7" t="s">
        <v>37</v>
      </c>
      <c r="O3" s="9">
        <v>46211</v>
      </c>
      <c r="P3" s="7" t="s">
        <v>38</v>
      </c>
      <c r="U3" s="7">
        <v>0.3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</row>
    <row r="4" spans="1:32">
      <c r="A4" s="7">
        <v>3</v>
      </c>
      <c r="B4" s="7" t="s">
        <v>41</v>
      </c>
      <c r="C4" s="7" t="s">
        <v>42</v>
      </c>
      <c r="E4" s="7" t="s">
        <v>43</v>
      </c>
      <c r="F4" s="9">
        <v>46160</v>
      </c>
      <c r="G4" s="9">
        <v>46160</v>
      </c>
      <c r="I4" s="15">
        <v>1</v>
      </c>
      <c r="J4" s="16">
        <v>46160</v>
      </c>
      <c r="K4" s="7" t="s">
        <v>44</v>
      </c>
      <c r="L4" s="7" t="s">
        <v>45</v>
      </c>
      <c r="M4" s="7" t="s">
        <v>36</v>
      </c>
      <c r="N4" s="7" t="s">
        <v>37</v>
      </c>
      <c r="O4" s="9">
        <v>46139</v>
      </c>
      <c r="P4" s="7" t="s">
        <v>38</v>
      </c>
      <c r="Q4" s="7" t="s">
        <v>46</v>
      </c>
      <c r="U4" s="7">
        <v>1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</row>
    <row r="5" spans="1:32">
      <c r="A5" s="7">
        <v>4</v>
      </c>
      <c r="B5" s="7" t="s">
        <v>47</v>
      </c>
      <c r="C5" s="7" t="s">
        <v>48</v>
      </c>
      <c r="E5" s="7" t="s">
        <v>43</v>
      </c>
      <c r="F5" s="9">
        <v>46160</v>
      </c>
      <c r="G5" s="9">
        <v>46160</v>
      </c>
      <c r="I5" s="15">
        <v>1</v>
      </c>
      <c r="J5" s="16">
        <v>46160</v>
      </c>
      <c r="K5" s="7" t="s">
        <v>44</v>
      </c>
      <c r="L5" s="7" t="s">
        <v>45</v>
      </c>
      <c r="M5" s="7" t="s">
        <v>49</v>
      </c>
      <c r="N5" s="7" t="s">
        <v>50</v>
      </c>
      <c r="O5" s="9">
        <v>46141</v>
      </c>
      <c r="P5" s="7" t="s">
        <v>38</v>
      </c>
      <c r="U5" s="7">
        <v>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</row>
    <row r="6" spans="1:32">
      <c r="A6" s="7">
        <v>5</v>
      </c>
      <c r="B6" s="7" t="s">
        <v>51</v>
      </c>
      <c r="C6" s="7" t="s">
        <v>52</v>
      </c>
      <c r="E6" s="7" t="s">
        <v>43</v>
      </c>
      <c r="F6" s="9">
        <v>46160</v>
      </c>
      <c r="G6" s="9">
        <v>46160</v>
      </c>
      <c r="H6" s="7">
        <v>3</v>
      </c>
      <c r="I6" s="15">
        <v>1</v>
      </c>
      <c r="J6" s="16">
        <v>46160</v>
      </c>
      <c r="K6" s="7" t="s">
        <v>44</v>
      </c>
      <c r="L6" s="7" t="s">
        <v>45</v>
      </c>
      <c r="M6" s="7" t="s">
        <v>49</v>
      </c>
      <c r="N6" s="7" t="s">
        <v>50</v>
      </c>
      <c r="O6" s="9">
        <v>46141</v>
      </c>
      <c r="P6" s="7" t="s">
        <v>38</v>
      </c>
      <c r="U6" s="7">
        <v>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>
      <c r="A7" s="7">
        <v>6</v>
      </c>
      <c r="B7" s="7" t="s">
        <v>53</v>
      </c>
      <c r="C7" s="7" t="s">
        <v>54</v>
      </c>
      <c r="E7" s="7" t="s">
        <v>55</v>
      </c>
      <c r="F7" s="9">
        <v>46174</v>
      </c>
      <c r="G7" s="9">
        <v>46379</v>
      </c>
      <c r="I7" s="15">
        <v>0.77</v>
      </c>
      <c r="K7" s="7" t="s">
        <v>56</v>
      </c>
      <c r="L7" s="7" t="s">
        <v>35</v>
      </c>
      <c r="M7" s="7" t="s">
        <v>57</v>
      </c>
      <c r="N7" s="7" t="s">
        <v>37</v>
      </c>
      <c r="O7" s="9">
        <v>46161</v>
      </c>
      <c r="P7" s="7" t="s">
        <v>38</v>
      </c>
      <c r="U7" s="7">
        <v>0.77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</row>
    <row r="8" spans="1:32">
      <c r="A8" s="7">
        <v>7</v>
      </c>
      <c r="B8" s="7" t="s">
        <v>58</v>
      </c>
      <c r="C8" s="7" t="s">
        <v>59</v>
      </c>
      <c r="D8" s="7" t="s">
        <v>60</v>
      </c>
      <c r="E8" s="7" t="s">
        <v>55</v>
      </c>
      <c r="F8" s="9">
        <v>46174</v>
      </c>
      <c r="G8" s="9">
        <v>46379</v>
      </c>
      <c r="I8" s="15">
        <v>0.7</v>
      </c>
      <c r="K8" s="7" t="s">
        <v>56</v>
      </c>
      <c r="L8" s="7" t="s">
        <v>35</v>
      </c>
      <c r="M8" s="7" t="s">
        <v>57</v>
      </c>
      <c r="N8" s="7" t="s">
        <v>37</v>
      </c>
      <c r="O8" s="9">
        <v>46161</v>
      </c>
      <c r="P8" s="7" t="s">
        <v>38</v>
      </c>
      <c r="U8" s="7">
        <v>0.7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>
      <c r="A9" s="7">
        <v>8</v>
      </c>
      <c r="B9" s="7" t="s">
        <v>61</v>
      </c>
      <c r="C9" s="7" t="s">
        <v>62</v>
      </c>
      <c r="E9" s="7" t="s">
        <v>63</v>
      </c>
      <c r="F9" s="9">
        <v>46174</v>
      </c>
      <c r="G9" s="9">
        <v>46175</v>
      </c>
      <c r="H9" s="7" t="s">
        <v>64</v>
      </c>
      <c r="I9" s="15">
        <v>1</v>
      </c>
      <c r="J9" s="16">
        <v>46175</v>
      </c>
      <c r="K9" s="7" t="s">
        <v>44</v>
      </c>
      <c r="L9" s="7" t="s">
        <v>45</v>
      </c>
      <c r="M9" s="7" t="s">
        <v>57</v>
      </c>
      <c r="N9" s="7" t="s">
        <v>37</v>
      </c>
      <c r="O9" s="9">
        <v>46141</v>
      </c>
      <c r="P9" s="7" t="s">
        <v>38</v>
      </c>
      <c r="Q9" s="7" t="s">
        <v>65</v>
      </c>
      <c r="U9" s="7">
        <v>1</v>
      </c>
      <c r="V9" s="7">
        <v>1</v>
      </c>
      <c r="W9" s="7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1</v>
      </c>
    </row>
    <row r="10" spans="1:32">
      <c r="A10" s="7">
        <v>9</v>
      </c>
      <c r="B10" s="7" t="s">
        <v>66</v>
      </c>
      <c r="C10" s="7" t="s">
        <v>67</v>
      </c>
      <c r="E10" s="7" t="s">
        <v>68</v>
      </c>
      <c r="F10" s="9">
        <v>46176</v>
      </c>
      <c r="G10" s="9">
        <v>46176</v>
      </c>
      <c r="H10" s="7">
        <v>8</v>
      </c>
      <c r="I10" s="15">
        <v>1</v>
      </c>
      <c r="J10" s="16">
        <v>46176</v>
      </c>
      <c r="K10" s="7" t="s">
        <v>44</v>
      </c>
      <c r="L10" s="7" t="s">
        <v>45</v>
      </c>
      <c r="M10" s="7" t="s">
        <v>57</v>
      </c>
      <c r="N10" s="7" t="s">
        <v>69</v>
      </c>
      <c r="O10" s="9">
        <v>46142</v>
      </c>
      <c r="P10" s="7" t="s">
        <v>38</v>
      </c>
      <c r="Q10" s="7" t="s">
        <v>70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</row>
    <row r="11" spans="1:32">
      <c r="A11" s="7">
        <v>10</v>
      </c>
      <c r="B11" s="7" t="s">
        <v>71</v>
      </c>
      <c r="C11" s="7" t="s">
        <v>72</v>
      </c>
      <c r="E11" s="7" t="s">
        <v>68</v>
      </c>
      <c r="F11" s="9">
        <v>46373</v>
      </c>
      <c r="G11" s="9">
        <v>46373</v>
      </c>
      <c r="H11" s="7" t="s">
        <v>73</v>
      </c>
      <c r="I11" s="15">
        <v>0.5</v>
      </c>
      <c r="K11" s="7" t="s">
        <v>56</v>
      </c>
      <c r="L11" s="7" t="s">
        <v>35</v>
      </c>
      <c r="M11" s="7" t="s">
        <v>57</v>
      </c>
      <c r="N11" s="7" t="s">
        <v>74</v>
      </c>
      <c r="O11" s="9">
        <v>46155</v>
      </c>
      <c r="P11" s="7" t="s">
        <v>38</v>
      </c>
      <c r="Q11" s="7" t="s">
        <v>75</v>
      </c>
      <c r="U11" s="7">
        <v>0.5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</row>
    <row r="12" spans="1:32">
      <c r="A12" s="7">
        <v>11</v>
      </c>
      <c r="B12" s="7" t="s">
        <v>76</v>
      </c>
      <c r="C12" s="7" t="s">
        <v>77</v>
      </c>
      <c r="E12" s="7" t="s">
        <v>68</v>
      </c>
      <c r="F12" s="9">
        <v>46379</v>
      </c>
      <c r="G12" s="9">
        <v>46379</v>
      </c>
      <c r="H12" s="7" t="s">
        <v>78</v>
      </c>
      <c r="I12" s="15">
        <v>0</v>
      </c>
      <c r="K12" s="7" t="s">
        <v>56</v>
      </c>
      <c r="L12" s="7" t="s">
        <v>35</v>
      </c>
      <c r="M12" s="7" t="s">
        <v>57</v>
      </c>
      <c r="N12" s="7" t="s">
        <v>79</v>
      </c>
      <c r="O12" s="9">
        <v>46161</v>
      </c>
      <c r="P12" s="7" t="s">
        <v>38</v>
      </c>
      <c r="U12" s="7">
        <v>0</v>
      </c>
      <c r="V12" s="7">
        <v>0</v>
      </c>
      <c r="W12" s="7">
        <v>0</v>
      </c>
      <c r="X12" s="7">
        <v>0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</row>
    <row r="13" spans="1:32">
      <c r="A13" s="7">
        <v>12</v>
      </c>
      <c r="B13" s="7" t="s">
        <v>80</v>
      </c>
      <c r="C13" s="7" t="s">
        <v>81</v>
      </c>
      <c r="D13" s="7" t="s">
        <v>82</v>
      </c>
      <c r="E13" s="7" t="s">
        <v>83</v>
      </c>
      <c r="F13" s="9">
        <v>46176</v>
      </c>
      <c r="G13" s="9">
        <v>46197</v>
      </c>
      <c r="I13" s="15">
        <v>0.81</v>
      </c>
      <c r="K13" s="7" t="s">
        <v>56</v>
      </c>
      <c r="L13" s="7" t="s">
        <v>45</v>
      </c>
      <c r="M13" s="7" t="s">
        <v>57</v>
      </c>
      <c r="N13" s="7" t="s">
        <v>69</v>
      </c>
      <c r="O13" s="9">
        <v>46161</v>
      </c>
      <c r="P13" s="7" t="s">
        <v>38</v>
      </c>
      <c r="U13" s="7">
        <v>0.81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</row>
    <row r="14" spans="1:32">
      <c r="A14" s="7">
        <v>13</v>
      </c>
      <c r="B14" s="7" t="s">
        <v>84</v>
      </c>
      <c r="C14" s="7" t="s">
        <v>62</v>
      </c>
      <c r="E14" s="7" t="s">
        <v>85</v>
      </c>
      <c r="F14" s="9">
        <v>46176</v>
      </c>
      <c r="G14" s="9">
        <v>46178</v>
      </c>
      <c r="H14" s="7">
        <v>8</v>
      </c>
      <c r="I14" s="15">
        <v>1</v>
      </c>
      <c r="J14" s="16">
        <v>46178</v>
      </c>
      <c r="K14" s="7" t="s">
        <v>44</v>
      </c>
      <c r="L14" s="7" t="s">
        <v>45</v>
      </c>
      <c r="M14" s="7" t="s">
        <v>57</v>
      </c>
      <c r="N14" s="7" t="s">
        <v>69</v>
      </c>
      <c r="O14" s="9">
        <v>46146</v>
      </c>
      <c r="P14" s="7" t="s">
        <v>38</v>
      </c>
      <c r="Q14" s="7" t="s">
        <v>86</v>
      </c>
      <c r="U14" s="7">
        <v>1</v>
      </c>
      <c r="V14" s="7">
        <v>1</v>
      </c>
      <c r="W14" s="7">
        <v>1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1</v>
      </c>
    </row>
    <row r="15" spans="1:32">
      <c r="A15" s="7">
        <v>14</v>
      </c>
      <c r="B15" s="7" t="s">
        <v>87</v>
      </c>
      <c r="C15" s="7" t="s">
        <v>67</v>
      </c>
      <c r="E15" s="7" t="s">
        <v>85</v>
      </c>
      <c r="F15" s="9">
        <v>46181</v>
      </c>
      <c r="G15" s="9">
        <v>46183</v>
      </c>
      <c r="H15" s="7">
        <v>13</v>
      </c>
      <c r="I15" s="15">
        <v>1</v>
      </c>
      <c r="J15" s="16">
        <v>46183</v>
      </c>
      <c r="K15" s="7" t="s">
        <v>44</v>
      </c>
      <c r="L15" s="7" t="s">
        <v>45</v>
      </c>
      <c r="M15" s="7" t="s">
        <v>57</v>
      </c>
      <c r="N15" s="7" t="s">
        <v>88</v>
      </c>
      <c r="O15" s="9">
        <v>46147</v>
      </c>
      <c r="P15" s="7" t="s">
        <v>38</v>
      </c>
      <c r="Q15" s="7" t="s">
        <v>89</v>
      </c>
      <c r="U15" s="7">
        <v>1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</row>
    <row r="16" spans="1:32">
      <c r="A16" s="7">
        <v>15</v>
      </c>
      <c r="B16" s="7" t="s">
        <v>90</v>
      </c>
      <c r="C16" s="7" t="s">
        <v>72</v>
      </c>
      <c r="E16" s="7" t="s">
        <v>68</v>
      </c>
      <c r="F16" s="9">
        <v>46196</v>
      </c>
      <c r="G16" s="9">
        <v>46196</v>
      </c>
      <c r="H16" s="7" t="s">
        <v>91</v>
      </c>
      <c r="I16" s="15">
        <v>0.5</v>
      </c>
      <c r="K16" s="7" t="s">
        <v>56</v>
      </c>
      <c r="L16" s="7" t="s">
        <v>45</v>
      </c>
      <c r="M16" s="7" t="s">
        <v>57</v>
      </c>
      <c r="N16" s="7" t="s">
        <v>92</v>
      </c>
      <c r="O16" s="9">
        <v>46160</v>
      </c>
      <c r="P16" s="7" t="s">
        <v>38</v>
      </c>
      <c r="Q16" s="7">
        <v>16</v>
      </c>
      <c r="U16" s="7">
        <v>0.5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</row>
    <row r="17" spans="1:32">
      <c r="A17" s="7">
        <v>16</v>
      </c>
      <c r="B17" s="7" t="s">
        <v>93</v>
      </c>
      <c r="C17" s="7" t="s">
        <v>77</v>
      </c>
      <c r="E17" s="7" t="s">
        <v>68</v>
      </c>
      <c r="F17" s="9">
        <v>46197</v>
      </c>
      <c r="G17" s="9">
        <v>46197</v>
      </c>
      <c r="H17" s="7">
        <v>15</v>
      </c>
      <c r="I17" s="15">
        <v>0</v>
      </c>
      <c r="K17" s="7" t="s">
        <v>56</v>
      </c>
      <c r="L17" s="7" t="s">
        <v>45</v>
      </c>
      <c r="M17" s="7" t="s">
        <v>57</v>
      </c>
      <c r="N17" s="7" t="s">
        <v>94</v>
      </c>
      <c r="O17" s="9">
        <v>46161</v>
      </c>
      <c r="P17" s="7" t="s">
        <v>38</v>
      </c>
      <c r="U17" s="7">
        <v>0</v>
      </c>
      <c r="V17" s="7">
        <v>0</v>
      </c>
      <c r="W17" s="7">
        <v>0</v>
      </c>
      <c r="X17" s="7">
        <v>0</v>
      </c>
      <c r="Y17" s="7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</row>
    <row r="18" spans="1:32">
      <c r="A18" s="7">
        <v>17</v>
      </c>
      <c r="B18" s="7" t="s">
        <v>95</v>
      </c>
      <c r="C18" s="7" t="s">
        <v>96</v>
      </c>
      <c r="E18" s="7" t="s">
        <v>97</v>
      </c>
      <c r="F18" s="9">
        <v>46174</v>
      </c>
      <c r="G18" s="9">
        <v>46231</v>
      </c>
      <c r="I18" s="15">
        <v>0.36</v>
      </c>
      <c r="K18" s="7" t="s">
        <v>56</v>
      </c>
      <c r="L18" s="7" t="s">
        <v>45</v>
      </c>
      <c r="M18" s="7" t="s">
        <v>98</v>
      </c>
      <c r="N18" s="7" t="s">
        <v>37</v>
      </c>
      <c r="O18" s="9">
        <v>46211</v>
      </c>
      <c r="P18" s="7" t="s">
        <v>38</v>
      </c>
      <c r="U18" s="7">
        <v>0.36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</row>
    <row r="19" spans="1:32">
      <c r="A19" s="7">
        <v>18</v>
      </c>
      <c r="B19" s="7" t="s">
        <v>99</v>
      </c>
      <c r="C19" s="7" t="s">
        <v>100</v>
      </c>
      <c r="D19" s="7" t="s">
        <v>101</v>
      </c>
      <c r="E19" s="7" t="s">
        <v>102</v>
      </c>
      <c r="F19" s="9">
        <v>46223</v>
      </c>
      <c r="G19" s="9">
        <v>46231</v>
      </c>
      <c r="I19" s="15">
        <v>0</v>
      </c>
      <c r="K19" s="7" t="s">
        <v>56</v>
      </c>
      <c r="L19" s="7" t="s">
        <v>45</v>
      </c>
      <c r="M19" s="7" t="s">
        <v>98</v>
      </c>
      <c r="N19" s="7" t="s">
        <v>103</v>
      </c>
      <c r="O19" s="9">
        <v>46231</v>
      </c>
      <c r="P19" s="7" t="s">
        <v>38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</row>
    <row r="20" spans="1:32">
      <c r="A20" s="7">
        <v>19</v>
      </c>
      <c r="B20" s="7" t="s">
        <v>104</v>
      </c>
      <c r="C20" s="7" t="s">
        <v>62</v>
      </c>
      <c r="E20" s="7" t="s">
        <v>85</v>
      </c>
      <c r="F20" s="9">
        <v>46223</v>
      </c>
      <c r="G20" s="9">
        <v>46225</v>
      </c>
      <c r="H20" s="7" t="s">
        <v>105</v>
      </c>
      <c r="I20" s="15">
        <v>0</v>
      </c>
      <c r="K20" s="7" t="s">
        <v>56</v>
      </c>
      <c r="L20" s="7" t="s">
        <v>45</v>
      </c>
      <c r="M20" s="7" t="s">
        <v>98</v>
      </c>
      <c r="N20" s="7" t="s">
        <v>103</v>
      </c>
      <c r="O20" s="9">
        <v>46225</v>
      </c>
      <c r="P20" s="7" t="s">
        <v>38</v>
      </c>
      <c r="Q20" s="7">
        <v>20</v>
      </c>
      <c r="U20" s="7">
        <v>0</v>
      </c>
      <c r="V20" s="7">
        <v>1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</row>
    <row r="21" spans="1:32">
      <c r="A21" s="7">
        <v>20</v>
      </c>
      <c r="B21" s="7" t="s">
        <v>106</v>
      </c>
      <c r="C21" s="7" t="s">
        <v>67</v>
      </c>
      <c r="E21" s="7" t="s">
        <v>68</v>
      </c>
      <c r="F21" s="9">
        <v>46226</v>
      </c>
      <c r="G21" s="9">
        <v>46226</v>
      </c>
      <c r="H21" s="7">
        <v>19</v>
      </c>
      <c r="I21" s="15">
        <v>0</v>
      </c>
      <c r="K21" s="7" t="s">
        <v>56</v>
      </c>
      <c r="L21" s="7" t="s">
        <v>45</v>
      </c>
      <c r="M21" s="7" t="s">
        <v>98</v>
      </c>
      <c r="N21" s="7" t="s">
        <v>107</v>
      </c>
      <c r="O21" s="9">
        <v>46226</v>
      </c>
      <c r="P21" s="7" t="s">
        <v>38</v>
      </c>
      <c r="Q21" s="7">
        <v>21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</row>
    <row r="22" spans="1:32">
      <c r="A22" s="7">
        <v>21</v>
      </c>
      <c r="B22" s="7" t="s">
        <v>108</v>
      </c>
      <c r="C22" s="7" t="s">
        <v>72</v>
      </c>
      <c r="E22" s="7" t="s">
        <v>63</v>
      </c>
      <c r="F22" s="9">
        <v>46227</v>
      </c>
      <c r="G22" s="9">
        <v>46230</v>
      </c>
      <c r="H22" s="7">
        <v>20</v>
      </c>
      <c r="I22" s="15">
        <v>0</v>
      </c>
      <c r="K22" s="7" t="s">
        <v>56</v>
      </c>
      <c r="L22" s="7" t="s">
        <v>45</v>
      </c>
      <c r="M22" s="7" t="s">
        <v>98</v>
      </c>
      <c r="N22" s="7" t="s">
        <v>109</v>
      </c>
      <c r="O22" s="9">
        <v>46230</v>
      </c>
      <c r="P22" s="7" t="s">
        <v>38</v>
      </c>
      <c r="Q22" s="7">
        <v>22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</row>
    <row r="23" spans="1:32">
      <c r="A23" s="7">
        <v>22</v>
      </c>
      <c r="B23" s="7" t="s">
        <v>110</v>
      </c>
      <c r="C23" s="7" t="s">
        <v>77</v>
      </c>
      <c r="E23" s="7" t="s">
        <v>68</v>
      </c>
      <c r="F23" s="9">
        <v>46231</v>
      </c>
      <c r="G23" s="9">
        <v>46231</v>
      </c>
      <c r="H23" s="7">
        <v>21</v>
      </c>
      <c r="I23" s="15">
        <v>0</v>
      </c>
      <c r="K23" s="7" t="s">
        <v>56</v>
      </c>
      <c r="L23" s="7" t="s">
        <v>45</v>
      </c>
      <c r="M23" s="7" t="s">
        <v>98</v>
      </c>
      <c r="N23" s="7" t="s">
        <v>111</v>
      </c>
      <c r="O23" s="9">
        <v>46231</v>
      </c>
      <c r="P23" s="7" t="s">
        <v>38</v>
      </c>
      <c r="U23" s="7">
        <v>0</v>
      </c>
      <c r="V23" s="7">
        <v>0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</row>
    <row r="24" spans="1:32">
      <c r="A24" s="7">
        <v>23</v>
      </c>
      <c r="B24" s="7" t="s">
        <v>112</v>
      </c>
      <c r="C24" s="7" t="s">
        <v>113</v>
      </c>
      <c r="D24" s="7" t="s">
        <v>114</v>
      </c>
      <c r="E24" s="7" t="s">
        <v>115</v>
      </c>
      <c r="F24" s="9">
        <v>46174</v>
      </c>
      <c r="G24" s="9">
        <v>46224</v>
      </c>
      <c r="I24" s="15">
        <v>0.71</v>
      </c>
      <c r="K24" s="7" t="s">
        <v>56</v>
      </c>
      <c r="L24" s="7" t="s">
        <v>45</v>
      </c>
      <c r="M24" s="7" t="s">
        <v>98</v>
      </c>
      <c r="N24" s="7" t="s">
        <v>37</v>
      </c>
      <c r="O24" s="9">
        <v>46189</v>
      </c>
      <c r="P24" s="7" t="s">
        <v>38</v>
      </c>
      <c r="U24" s="7">
        <v>0.71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</row>
    <row r="25" spans="1:32">
      <c r="A25" s="7">
        <v>24</v>
      </c>
      <c r="B25" s="7" t="s">
        <v>116</v>
      </c>
      <c r="C25" s="7" t="s">
        <v>62</v>
      </c>
      <c r="E25" s="7" t="s">
        <v>85</v>
      </c>
      <c r="F25" s="9">
        <v>46174</v>
      </c>
      <c r="G25" s="9">
        <v>46176</v>
      </c>
      <c r="H25" s="7" t="s">
        <v>64</v>
      </c>
      <c r="I25" s="15">
        <v>1</v>
      </c>
      <c r="J25" s="16">
        <v>46176</v>
      </c>
      <c r="K25" s="7" t="s">
        <v>44</v>
      </c>
      <c r="L25" s="7" t="s">
        <v>45</v>
      </c>
      <c r="M25" s="7" t="s">
        <v>98</v>
      </c>
      <c r="N25" s="7" t="s">
        <v>37</v>
      </c>
      <c r="O25" s="9">
        <v>46141</v>
      </c>
      <c r="P25" s="7" t="s">
        <v>38</v>
      </c>
      <c r="Q25" s="7">
        <v>25</v>
      </c>
      <c r="U25" s="7">
        <v>1</v>
      </c>
      <c r="V25" s="7">
        <v>1</v>
      </c>
      <c r="W25" s="7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</v>
      </c>
    </row>
    <row r="26" spans="1:32">
      <c r="A26" s="7">
        <v>25</v>
      </c>
      <c r="B26" s="7" t="s">
        <v>117</v>
      </c>
      <c r="C26" s="7" t="s">
        <v>67</v>
      </c>
      <c r="E26" s="7" t="s">
        <v>68</v>
      </c>
      <c r="F26" s="9">
        <v>46177</v>
      </c>
      <c r="G26" s="9">
        <v>46177</v>
      </c>
      <c r="H26" s="7">
        <v>24</v>
      </c>
      <c r="I26" s="15">
        <v>1</v>
      </c>
      <c r="J26" s="16">
        <v>46177</v>
      </c>
      <c r="K26" s="7" t="s">
        <v>44</v>
      </c>
      <c r="L26" s="7" t="s">
        <v>45</v>
      </c>
      <c r="M26" s="7" t="s">
        <v>98</v>
      </c>
      <c r="N26" s="7" t="s">
        <v>69</v>
      </c>
      <c r="O26" s="9">
        <v>46142</v>
      </c>
      <c r="P26" s="7" t="s">
        <v>38</v>
      </c>
      <c r="Q26" s="7" t="s">
        <v>118</v>
      </c>
      <c r="U26" s="7">
        <v>1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</row>
    <row r="27" spans="1:32">
      <c r="A27" s="7">
        <v>26</v>
      </c>
      <c r="B27" s="7" t="s">
        <v>119</v>
      </c>
      <c r="C27" s="7" t="s">
        <v>72</v>
      </c>
      <c r="E27" s="7" t="s">
        <v>63</v>
      </c>
      <c r="F27" s="9">
        <v>46220</v>
      </c>
      <c r="G27" s="9">
        <v>46223</v>
      </c>
      <c r="H27" s="7" t="s">
        <v>120</v>
      </c>
      <c r="I27" s="15">
        <v>0.5</v>
      </c>
      <c r="K27" s="7" t="s">
        <v>56</v>
      </c>
      <c r="L27" s="7" t="s">
        <v>45</v>
      </c>
      <c r="M27" s="7" t="s">
        <v>98</v>
      </c>
      <c r="N27" s="7" t="s">
        <v>121</v>
      </c>
      <c r="O27" s="9">
        <v>46188</v>
      </c>
      <c r="P27" s="7" t="s">
        <v>38</v>
      </c>
      <c r="Q27" s="7">
        <v>27</v>
      </c>
      <c r="U27" s="7">
        <v>0.5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</row>
    <row r="28" spans="1:32">
      <c r="A28" s="7">
        <v>27</v>
      </c>
      <c r="B28" s="7" t="s">
        <v>122</v>
      </c>
      <c r="C28" s="7" t="s">
        <v>77</v>
      </c>
      <c r="E28" s="7" t="s">
        <v>68</v>
      </c>
      <c r="F28" s="9">
        <v>46224</v>
      </c>
      <c r="G28" s="9">
        <v>46224</v>
      </c>
      <c r="H28" s="7">
        <v>26</v>
      </c>
      <c r="I28" s="15">
        <v>0</v>
      </c>
      <c r="K28" s="7" t="s">
        <v>56</v>
      </c>
      <c r="L28" s="7" t="s">
        <v>45</v>
      </c>
      <c r="M28" s="7" t="s">
        <v>98</v>
      </c>
      <c r="N28" s="7" t="s">
        <v>123</v>
      </c>
      <c r="O28" s="9">
        <v>46189</v>
      </c>
      <c r="P28" s="7" t="s">
        <v>38</v>
      </c>
      <c r="U28" s="7">
        <v>0</v>
      </c>
      <c r="V28" s="7">
        <v>0</v>
      </c>
      <c r="W28" s="7">
        <v>0</v>
      </c>
      <c r="X28" s="7">
        <v>0</v>
      </c>
      <c r="Y28" s="7">
        <v>1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</row>
    <row r="29" spans="1:32">
      <c r="A29" s="7">
        <v>28</v>
      </c>
      <c r="B29" s="7" t="s">
        <v>124</v>
      </c>
      <c r="C29" s="7" t="s">
        <v>125</v>
      </c>
      <c r="E29" s="7" t="s">
        <v>126</v>
      </c>
      <c r="F29" s="9">
        <v>46170</v>
      </c>
      <c r="G29" s="9">
        <v>46364</v>
      </c>
      <c r="I29" s="15">
        <v>0.21</v>
      </c>
      <c r="K29" s="7" t="s">
        <v>56</v>
      </c>
      <c r="L29" s="7" t="s">
        <v>45</v>
      </c>
      <c r="M29" s="7" t="s">
        <v>127</v>
      </c>
      <c r="N29" s="7" t="s">
        <v>79</v>
      </c>
      <c r="O29" s="9">
        <v>46198</v>
      </c>
      <c r="P29" s="7" t="s">
        <v>38</v>
      </c>
      <c r="U29" s="7">
        <v>0.21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</row>
    <row r="30" spans="1:32">
      <c r="A30" s="7">
        <v>29</v>
      </c>
      <c r="B30" s="7" t="s">
        <v>128</v>
      </c>
      <c r="C30" s="7" t="s">
        <v>129</v>
      </c>
      <c r="D30" s="7" t="s">
        <v>130</v>
      </c>
      <c r="E30" s="7" t="s">
        <v>131</v>
      </c>
      <c r="F30" s="9">
        <v>46181</v>
      </c>
      <c r="G30" s="9">
        <v>46191</v>
      </c>
      <c r="I30" s="15">
        <v>0</v>
      </c>
      <c r="K30" s="7" t="s">
        <v>56</v>
      </c>
      <c r="L30" s="7" t="s">
        <v>45</v>
      </c>
      <c r="M30" s="7" t="s">
        <v>127</v>
      </c>
      <c r="N30" s="7" t="s">
        <v>132</v>
      </c>
      <c r="O30" s="9">
        <v>46192</v>
      </c>
      <c r="P30" s="7" t="s">
        <v>38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</row>
    <row r="31" spans="1:32">
      <c r="A31" s="7">
        <v>30</v>
      </c>
      <c r="B31" s="7" t="s">
        <v>133</v>
      </c>
      <c r="C31" s="7" t="s">
        <v>62</v>
      </c>
      <c r="E31" s="7" t="s">
        <v>134</v>
      </c>
      <c r="F31" s="9">
        <v>46181</v>
      </c>
      <c r="G31" s="9">
        <v>46185</v>
      </c>
      <c r="H31" s="7">
        <v>13</v>
      </c>
      <c r="I31" s="15">
        <v>0</v>
      </c>
      <c r="K31" s="7" t="s">
        <v>56</v>
      </c>
      <c r="L31" s="7" t="s">
        <v>45</v>
      </c>
      <c r="M31" s="7" t="s">
        <v>127</v>
      </c>
      <c r="N31" s="7" t="s">
        <v>132</v>
      </c>
      <c r="O31" s="9">
        <v>46188</v>
      </c>
      <c r="P31" s="7" t="s">
        <v>38</v>
      </c>
      <c r="Q31" s="7" t="s">
        <v>135</v>
      </c>
      <c r="U31" s="7">
        <v>0</v>
      </c>
      <c r="V31" s="7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</row>
    <row r="32" spans="1:32">
      <c r="A32" s="7">
        <v>31</v>
      </c>
      <c r="B32" s="7" t="s">
        <v>136</v>
      </c>
      <c r="C32" s="7" t="s">
        <v>67</v>
      </c>
      <c r="E32" s="7" t="s">
        <v>68</v>
      </c>
      <c r="F32" s="9">
        <v>46188</v>
      </c>
      <c r="G32" s="9">
        <v>46188</v>
      </c>
      <c r="H32" s="7">
        <v>30</v>
      </c>
      <c r="I32" s="15">
        <v>0</v>
      </c>
      <c r="K32" s="7" t="s">
        <v>56</v>
      </c>
      <c r="L32" s="7" t="s">
        <v>45</v>
      </c>
      <c r="M32" s="7" t="s">
        <v>127</v>
      </c>
      <c r="N32" s="7" t="s">
        <v>123</v>
      </c>
      <c r="O32" s="9">
        <v>46189</v>
      </c>
      <c r="P32" s="7" t="s">
        <v>38</v>
      </c>
      <c r="Q32" s="7">
        <v>32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</row>
    <row r="33" spans="1:32">
      <c r="A33" s="7">
        <v>32</v>
      </c>
      <c r="B33" s="7" t="s">
        <v>137</v>
      </c>
      <c r="C33" s="7" t="s">
        <v>72</v>
      </c>
      <c r="E33" s="7" t="s">
        <v>63</v>
      </c>
      <c r="F33" s="9">
        <v>46189</v>
      </c>
      <c r="G33" s="9">
        <v>46190</v>
      </c>
      <c r="H33" s="7">
        <v>31</v>
      </c>
      <c r="I33" s="15">
        <v>0</v>
      </c>
      <c r="K33" s="7" t="s">
        <v>56</v>
      </c>
      <c r="L33" s="7" t="s">
        <v>45</v>
      </c>
      <c r="M33" s="7" t="s">
        <v>127</v>
      </c>
      <c r="N33" s="7" t="s">
        <v>138</v>
      </c>
      <c r="O33" s="9">
        <v>46191</v>
      </c>
      <c r="P33" s="7" t="s">
        <v>38</v>
      </c>
      <c r="Q33" s="7">
        <v>33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</row>
    <row r="34" spans="1:32">
      <c r="A34" s="7">
        <v>33</v>
      </c>
      <c r="B34" s="7" t="s">
        <v>139</v>
      </c>
      <c r="C34" s="7" t="s">
        <v>77</v>
      </c>
      <c r="E34" s="7" t="s">
        <v>68</v>
      </c>
      <c r="F34" s="9">
        <v>46191</v>
      </c>
      <c r="G34" s="9">
        <v>46191</v>
      </c>
      <c r="H34" s="7">
        <v>32</v>
      </c>
      <c r="I34" s="15">
        <v>0</v>
      </c>
      <c r="K34" s="7" t="s">
        <v>56</v>
      </c>
      <c r="L34" s="7" t="s">
        <v>45</v>
      </c>
      <c r="M34" s="7" t="s">
        <v>127</v>
      </c>
      <c r="N34" s="7" t="s">
        <v>140</v>
      </c>
      <c r="O34" s="9">
        <v>46192</v>
      </c>
      <c r="P34" s="7" t="s">
        <v>38</v>
      </c>
      <c r="U34" s="7">
        <v>0</v>
      </c>
      <c r="V34" s="7">
        <v>0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</row>
    <row r="35" spans="1:32">
      <c r="A35" s="7">
        <v>34</v>
      </c>
      <c r="B35" s="7" t="s">
        <v>141</v>
      </c>
      <c r="C35" s="7" t="s">
        <v>142</v>
      </c>
      <c r="D35" s="7" t="s">
        <v>143</v>
      </c>
      <c r="E35" s="7" t="s">
        <v>102</v>
      </c>
      <c r="F35" s="9">
        <v>46356</v>
      </c>
      <c r="G35" s="9">
        <v>46364</v>
      </c>
      <c r="I35" s="15">
        <v>0</v>
      </c>
      <c r="K35" s="7" t="s">
        <v>56</v>
      </c>
      <c r="L35" s="7" t="s">
        <v>45</v>
      </c>
      <c r="M35" s="7" t="s">
        <v>127</v>
      </c>
      <c r="N35" s="7" t="s">
        <v>138</v>
      </c>
      <c r="O35" s="9">
        <v>46198</v>
      </c>
      <c r="P35" s="7" t="s">
        <v>38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</row>
    <row r="36" spans="1:32">
      <c r="A36" s="7">
        <v>35</v>
      </c>
      <c r="B36" s="7" t="s">
        <v>144</v>
      </c>
      <c r="C36" s="7" t="s">
        <v>62</v>
      </c>
      <c r="E36" s="7" t="s">
        <v>85</v>
      </c>
      <c r="F36" s="9">
        <v>46356</v>
      </c>
      <c r="G36" s="9">
        <v>46358</v>
      </c>
      <c r="H36" s="7" t="s">
        <v>145</v>
      </c>
      <c r="I36" s="15">
        <v>0</v>
      </c>
      <c r="K36" s="7" t="s">
        <v>56</v>
      </c>
      <c r="L36" s="7" t="s">
        <v>45</v>
      </c>
      <c r="M36" s="7" t="s">
        <v>127</v>
      </c>
      <c r="N36" s="7" t="s">
        <v>138</v>
      </c>
      <c r="O36" s="9">
        <v>46192</v>
      </c>
      <c r="P36" s="7" t="s">
        <v>38</v>
      </c>
      <c r="Q36" s="7">
        <v>36</v>
      </c>
      <c r="U36" s="7">
        <v>0</v>
      </c>
      <c r="V36" s="7">
        <v>1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</row>
    <row r="37" spans="1:32">
      <c r="A37" s="7">
        <v>36</v>
      </c>
      <c r="B37" s="7" t="s">
        <v>146</v>
      </c>
      <c r="C37" s="7" t="s">
        <v>67</v>
      </c>
      <c r="E37" s="7" t="s">
        <v>68</v>
      </c>
      <c r="F37" s="9">
        <v>46359</v>
      </c>
      <c r="G37" s="9">
        <v>46359</v>
      </c>
      <c r="H37" s="7">
        <v>35</v>
      </c>
      <c r="I37" s="15">
        <v>0</v>
      </c>
      <c r="K37" s="7" t="s">
        <v>56</v>
      </c>
      <c r="L37" s="7" t="s">
        <v>45</v>
      </c>
      <c r="M37" s="7" t="s">
        <v>127</v>
      </c>
      <c r="N37" s="7" t="s">
        <v>147</v>
      </c>
      <c r="O37" s="9">
        <v>46195</v>
      </c>
      <c r="P37" s="7" t="s">
        <v>38</v>
      </c>
      <c r="Q37" s="7">
        <v>37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</row>
    <row r="38" spans="1:32">
      <c r="A38" s="7">
        <v>37</v>
      </c>
      <c r="B38" s="7" t="s">
        <v>148</v>
      </c>
      <c r="C38" s="7" t="s">
        <v>72</v>
      </c>
      <c r="E38" s="7" t="s">
        <v>63</v>
      </c>
      <c r="F38" s="9">
        <v>46360</v>
      </c>
      <c r="G38" s="9">
        <v>46363</v>
      </c>
      <c r="H38" s="7">
        <v>36</v>
      </c>
      <c r="I38" s="15">
        <v>0</v>
      </c>
      <c r="K38" s="7" t="s">
        <v>56</v>
      </c>
      <c r="L38" s="7" t="s">
        <v>45</v>
      </c>
      <c r="M38" s="7" t="s">
        <v>127</v>
      </c>
      <c r="N38" s="7" t="s">
        <v>149</v>
      </c>
      <c r="O38" s="9">
        <v>46197</v>
      </c>
      <c r="P38" s="7" t="s">
        <v>38</v>
      </c>
      <c r="Q38" s="7">
        <v>38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</row>
    <row r="39" spans="1:32">
      <c r="A39" s="7">
        <v>38</v>
      </c>
      <c r="B39" s="7" t="s">
        <v>150</v>
      </c>
      <c r="C39" s="7" t="s">
        <v>77</v>
      </c>
      <c r="E39" s="7" t="s">
        <v>68</v>
      </c>
      <c r="F39" s="9">
        <v>46364</v>
      </c>
      <c r="G39" s="9">
        <v>46364</v>
      </c>
      <c r="H39" s="7">
        <v>37</v>
      </c>
      <c r="I39" s="15">
        <v>0</v>
      </c>
      <c r="K39" s="7" t="s">
        <v>56</v>
      </c>
      <c r="L39" s="7" t="s">
        <v>45</v>
      </c>
      <c r="M39" s="7" t="s">
        <v>127</v>
      </c>
      <c r="N39" s="7" t="s">
        <v>151</v>
      </c>
      <c r="O39" s="9">
        <v>46198</v>
      </c>
      <c r="P39" s="7" t="s">
        <v>38</v>
      </c>
      <c r="U39" s="7">
        <v>0</v>
      </c>
      <c r="V39" s="7">
        <v>0</v>
      </c>
      <c r="W39" s="7">
        <v>0</v>
      </c>
      <c r="X39" s="7">
        <v>0</v>
      </c>
      <c r="Y39" s="7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</row>
    <row r="40" spans="1:32">
      <c r="A40" s="7">
        <v>39</v>
      </c>
      <c r="B40" s="7" t="s">
        <v>152</v>
      </c>
      <c r="C40" s="7" t="s">
        <v>153</v>
      </c>
      <c r="D40" s="7" t="s">
        <v>154</v>
      </c>
      <c r="E40" s="7" t="s">
        <v>155</v>
      </c>
      <c r="F40" s="9">
        <v>46170</v>
      </c>
      <c r="G40" s="9">
        <v>46176</v>
      </c>
      <c r="I40" s="15">
        <v>0.63</v>
      </c>
      <c r="K40" s="7" t="s">
        <v>56</v>
      </c>
      <c r="L40" s="7" t="s">
        <v>45</v>
      </c>
      <c r="M40" s="7" t="s">
        <v>127</v>
      </c>
      <c r="N40" s="7" t="s">
        <v>79</v>
      </c>
      <c r="O40" s="9">
        <v>46167</v>
      </c>
      <c r="P40" s="7" t="s">
        <v>38</v>
      </c>
      <c r="U40" s="7">
        <v>0.63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</row>
    <row r="41" spans="1:32">
      <c r="A41" s="7">
        <v>40</v>
      </c>
      <c r="B41" s="7" t="s">
        <v>156</v>
      </c>
      <c r="C41" s="7" t="s">
        <v>62</v>
      </c>
      <c r="E41" s="7" t="s">
        <v>43</v>
      </c>
      <c r="F41" s="9">
        <v>46170</v>
      </c>
      <c r="G41" s="9">
        <v>46170</v>
      </c>
      <c r="H41" s="7" t="s">
        <v>157</v>
      </c>
      <c r="I41" s="15">
        <v>1</v>
      </c>
      <c r="J41" s="16">
        <v>46170</v>
      </c>
      <c r="K41" s="7" t="s">
        <v>44</v>
      </c>
      <c r="L41" s="7" t="s">
        <v>45</v>
      </c>
      <c r="M41" s="7" t="s">
        <v>127</v>
      </c>
      <c r="N41" s="7" t="s">
        <v>79</v>
      </c>
      <c r="O41" s="9">
        <v>46161</v>
      </c>
      <c r="P41" s="7" t="s">
        <v>38</v>
      </c>
      <c r="Q41" s="7">
        <v>41</v>
      </c>
      <c r="U41" s="7">
        <v>1</v>
      </c>
      <c r="V41" s="7">
        <v>1</v>
      </c>
      <c r="W41" s="7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1</v>
      </c>
    </row>
    <row r="42" spans="1:32">
      <c r="A42" s="7">
        <v>41</v>
      </c>
      <c r="B42" s="7" t="s">
        <v>158</v>
      </c>
      <c r="C42" s="7" t="s">
        <v>67</v>
      </c>
      <c r="E42" s="7" t="s">
        <v>68</v>
      </c>
      <c r="F42" s="9">
        <v>46171</v>
      </c>
      <c r="G42" s="9">
        <v>46171</v>
      </c>
      <c r="H42" s="7">
        <v>40</v>
      </c>
      <c r="I42" s="15">
        <v>1</v>
      </c>
      <c r="J42" s="16">
        <v>46171</v>
      </c>
      <c r="K42" s="7" t="s">
        <v>44</v>
      </c>
      <c r="L42" s="7" t="s">
        <v>45</v>
      </c>
      <c r="M42" s="7" t="s">
        <v>127</v>
      </c>
      <c r="N42" s="7" t="s">
        <v>159</v>
      </c>
      <c r="O42" s="9">
        <v>46162</v>
      </c>
      <c r="P42" s="7" t="s">
        <v>38</v>
      </c>
      <c r="Q42" s="7">
        <v>42</v>
      </c>
      <c r="U42" s="7">
        <v>1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</row>
    <row r="43" spans="1:32">
      <c r="A43" s="7">
        <v>42</v>
      </c>
      <c r="B43" s="7" t="s">
        <v>160</v>
      </c>
      <c r="C43" s="7" t="s">
        <v>72</v>
      </c>
      <c r="E43" s="7" t="s">
        <v>63</v>
      </c>
      <c r="F43" s="9">
        <v>46174</v>
      </c>
      <c r="G43" s="9">
        <v>46175</v>
      </c>
      <c r="H43" s="7">
        <v>41</v>
      </c>
      <c r="I43" s="15">
        <v>0.75</v>
      </c>
      <c r="K43" s="7" t="s">
        <v>56</v>
      </c>
      <c r="L43" s="7" t="s">
        <v>45</v>
      </c>
      <c r="M43" s="7" t="s">
        <v>127</v>
      </c>
      <c r="N43" s="7" t="s">
        <v>161</v>
      </c>
      <c r="O43" s="9">
        <v>46164</v>
      </c>
      <c r="P43" s="7" t="s">
        <v>38</v>
      </c>
      <c r="Q43" s="7">
        <v>43</v>
      </c>
      <c r="U43" s="7">
        <v>0.75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</row>
    <row r="44" spans="1:32">
      <c r="A44" s="7">
        <v>43</v>
      </c>
      <c r="B44" s="7" t="s">
        <v>162</v>
      </c>
      <c r="C44" s="7" t="s">
        <v>77</v>
      </c>
      <c r="E44" s="7" t="s">
        <v>68</v>
      </c>
      <c r="F44" s="9">
        <v>46176</v>
      </c>
      <c r="G44" s="9">
        <v>46176</v>
      </c>
      <c r="H44" s="7">
        <v>42</v>
      </c>
      <c r="I44" s="15">
        <v>0</v>
      </c>
      <c r="K44" s="7" t="s">
        <v>56</v>
      </c>
      <c r="L44" s="7" t="s">
        <v>45</v>
      </c>
      <c r="M44" s="7" t="s">
        <v>127</v>
      </c>
      <c r="N44" s="7" t="s">
        <v>163</v>
      </c>
      <c r="O44" s="9">
        <v>46167</v>
      </c>
      <c r="P44" s="7" t="s">
        <v>38</v>
      </c>
      <c r="U44" s="7">
        <v>0</v>
      </c>
      <c r="V44" s="7">
        <v>0</v>
      </c>
      <c r="W44" s="7">
        <v>0</v>
      </c>
      <c r="X44" s="7">
        <v>0</v>
      </c>
      <c r="Y44" s="7">
        <v>1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</row>
    <row r="45" spans="1:32">
      <c r="A45" s="7">
        <v>44</v>
      </c>
      <c r="B45" s="7" t="s">
        <v>164</v>
      </c>
      <c r="C45" s="7" t="s">
        <v>153</v>
      </c>
      <c r="D45" s="7" t="s">
        <v>165</v>
      </c>
      <c r="E45" s="7" t="s">
        <v>166</v>
      </c>
      <c r="F45" s="9">
        <v>46170</v>
      </c>
      <c r="G45" s="9">
        <v>46204</v>
      </c>
      <c r="I45" s="15">
        <v>0.63</v>
      </c>
      <c r="K45" s="7" t="s">
        <v>56</v>
      </c>
      <c r="L45" s="7" t="s">
        <v>45</v>
      </c>
      <c r="M45" s="7" t="s">
        <v>127</v>
      </c>
      <c r="N45" s="7" t="s">
        <v>79</v>
      </c>
      <c r="O45" s="9">
        <v>46167</v>
      </c>
      <c r="P45" s="7" t="s">
        <v>38</v>
      </c>
      <c r="U45" s="7">
        <v>0.63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</row>
    <row r="46" spans="1:32">
      <c r="A46" s="7">
        <v>45</v>
      </c>
      <c r="B46" s="7" t="s">
        <v>167</v>
      </c>
      <c r="C46" s="7" t="s">
        <v>62</v>
      </c>
      <c r="E46" s="7" t="s">
        <v>43</v>
      </c>
      <c r="F46" s="9">
        <v>46170</v>
      </c>
      <c r="G46" s="9">
        <v>46170</v>
      </c>
      <c r="H46" s="7" t="s">
        <v>157</v>
      </c>
      <c r="I46" s="15">
        <v>1</v>
      </c>
      <c r="J46" s="16">
        <v>46170</v>
      </c>
      <c r="K46" s="7" t="s">
        <v>44</v>
      </c>
      <c r="L46" s="7" t="s">
        <v>45</v>
      </c>
      <c r="M46" s="7" t="s">
        <v>127</v>
      </c>
      <c r="N46" s="7" t="s">
        <v>79</v>
      </c>
      <c r="O46" s="9">
        <v>46161</v>
      </c>
      <c r="P46" s="7" t="s">
        <v>38</v>
      </c>
      <c r="Q46" s="7">
        <v>46</v>
      </c>
      <c r="U46" s="7">
        <v>1</v>
      </c>
      <c r="V46" s="7">
        <v>1</v>
      </c>
      <c r="W46" s="7">
        <v>1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1</v>
      </c>
    </row>
    <row r="47" spans="1:32">
      <c r="A47" s="7">
        <v>46</v>
      </c>
      <c r="B47" s="7" t="s">
        <v>168</v>
      </c>
      <c r="C47" s="7" t="s">
        <v>67</v>
      </c>
      <c r="E47" s="7" t="s">
        <v>68</v>
      </c>
      <c r="F47" s="9">
        <v>46199</v>
      </c>
      <c r="G47" s="9">
        <v>46199</v>
      </c>
      <c r="H47" s="7">
        <v>45</v>
      </c>
      <c r="I47" s="15">
        <v>1</v>
      </c>
      <c r="J47" s="16">
        <v>46199</v>
      </c>
      <c r="K47" s="7" t="s">
        <v>44</v>
      </c>
      <c r="L47" s="7" t="s">
        <v>45</v>
      </c>
      <c r="M47" s="7" t="s">
        <v>127</v>
      </c>
      <c r="N47" s="7" t="s">
        <v>159</v>
      </c>
      <c r="O47" s="9">
        <v>46162</v>
      </c>
      <c r="P47" s="7" t="s">
        <v>38</v>
      </c>
      <c r="Q47" s="7">
        <v>47</v>
      </c>
      <c r="U47" s="7">
        <v>1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</row>
    <row r="48" spans="1:32">
      <c r="A48" s="7">
        <v>47</v>
      </c>
      <c r="B48" s="7" t="s">
        <v>169</v>
      </c>
      <c r="C48" s="7" t="s">
        <v>72</v>
      </c>
      <c r="E48" s="7" t="s">
        <v>63</v>
      </c>
      <c r="F48" s="9">
        <v>46202</v>
      </c>
      <c r="G48" s="9">
        <v>46203</v>
      </c>
      <c r="H48" s="7">
        <v>46</v>
      </c>
      <c r="I48" s="15">
        <v>0.75</v>
      </c>
      <c r="K48" s="7" t="s">
        <v>56</v>
      </c>
      <c r="L48" s="7" t="s">
        <v>45</v>
      </c>
      <c r="M48" s="7" t="s">
        <v>127</v>
      </c>
      <c r="N48" s="7" t="s">
        <v>161</v>
      </c>
      <c r="O48" s="9">
        <v>46164</v>
      </c>
      <c r="P48" s="7" t="s">
        <v>38</v>
      </c>
      <c r="Q48" s="7">
        <v>48</v>
      </c>
      <c r="U48" s="7">
        <v>0.75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</row>
    <row r="49" spans="1:32">
      <c r="A49" s="7">
        <v>48</v>
      </c>
      <c r="B49" s="7" t="s">
        <v>170</v>
      </c>
      <c r="C49" s="7" t="s">
        <v>77</v>
      </c>
      <c r="E49" s="7" t="s">
        <v>68</v>
      </c>
      <c r="F49" s="9">
        <v>46204</v>
      </c>
      <c r="G49" s="9">
        <v>46204</v>
      </c>
      <c r="H49" s="7">
        <v>47</v>
      </c>
      <c r="I49" s="15">
        <v>0</v>
      </c>
      <c r="K49" s="7" t="s">
        <v>56</v>
      </c>
      <c r="L49" s="7" t="s">
        <v>45</v>
      </c>
      <c r="M49" s="7" t="s">
        <v>127</v>
      </c>
      <c r="N49" s="7" t="s">
        <v>163</v>
      </c>
      <c r="O49" s="9">
        <v>46167</v>
      </c>
      <c r="P49" s="7" t="s">
        <v>38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</row>
    <row r="50" spans="1:32">
      <c r="A50" s="7">
        <v>49</v>
      </c>
      <c r="B50" s="7" t="s">
        <v>171</v>
      </c>
      <c r="C50" s="7" t="s">
        <v>172</v>
      </c>
      <c r="E50" s="7" t="s">
        <v>173</v>
      </c>
      <c r="F50" s="9">
        <v>46160</v>
      </c>
      <c r="G50" s="9">
        <v>46337</v>
      </c>
      <c r="I50" s="15">
        <v>0.23</v>
      </c>
      <c r="K50" s="7" t="s">
        <v>34</v>
      </c>
      <c r="L50" s="7" t="s">
        <v>45</v>
      </c>
      <c r="M50" s="7" t="s">
        <v>174</v>
      </c>
      <c r="N50" s="7" t="s">
        <v>79</v>
      </c>
      <c r="O50" s="9">
        <v>46211</v>
      </c>
      <c r="P50" s="7" t="s">
        <v>38</v>
      </c>
      <c r="U50" s="7">
        <v>0.23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</row>
    <row r="51" spans="1:32">
      <c r="A51" s="7">
        <v>50</v>
      </c>
      <c r="B51" s="7" t="s">
        <v>175</v>
      </c>
      <c r="C51" s="7" t="s">
        <v>176</v>
      </c>
      <c r="D51" s="7" t="s">
        <v>130</v>
      </c>
      <c r="E51" s="7" t="s">
        <v>177</v>
      </c>
      <c r="F51" s="9">
        <v>46160</v>
      </c>
      <c r="G51" s="9">
        <v>46167</v>
      </c>
      <c r="I51" s="15">
        <v>0.46</v>
      </c>
      <c r="K51" s="7" t="s">
        <v>34</v>
      </c>
      <c r="L51" s="7" t="s">
        <v>45</v>
      </c>
      <c r="M51" s="7" t="s">
        <v>174</v>
      </c>
      <c r="N51" s="7" t="s">
        <v>132</v>
      </c>
      <c r="O51" s="9">
        <v>46192</v>
      </c>
      <c r="P51" s="7" t="s">
        <v>38</v>
      </c>
      <c r="U51" s="7">
        <v>0.46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</row>
    <row r="52" spans="1:32">
      <c r="A52" s="7">
        <v>51</v>
      </c>
      <c r="B52" s="7" t="s">
        <v>178</v>
      </c>
      <c r="C52" s="7" t="s">
        <v>62</v>
      </c>
      <c r="E52" s="7" t="s">
        <v>63</v>
      </c>
      <c r="F52" s="9">
        <v>46160</v>
      </c>
      <c r="G52" s="9">
        <v>46161</v>
      </c>
      <c r="H52" s="7" t="s">
        <v>179</v>
      </c>
      <c r="I52" s="15">
        <v>1</v>
      </c>
      <c r="J52" s="16">
        <v>46161</v>
      </c>
      <c r="K52" s="7" t="s">
        <v>44</v>
      </c>
      <c r="L52" s="7" t="s">
        <v>45</v>
      </c>
      <c r="M52" s="7" t="s">
        <v>174</v>
      </c>
      <c r="N52" s="7" t="s">
        <v>132</v>
      </c>
      <c r="O52" s="9">
        <v>46188</v>
      </c>
      <c r="P52" s="7" t="s">
        <v>38</v>
      </c>
      <c r="Q52" s="7" t="s">
        <v>180</v>
      </c>
      <c r="U52" s="7">
        <v>1</v>
      </c>
      <c r="V52" s="7">
        <v>1</v>
      </c>
      <c r="W52" s="7">
        <v>1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1</v>
      </c>
    </row>
    <row r="53" spans="1:32">
      <c r="A53" s="7">
        <v>52</v>
      </c>
      <c r="B53" s="7" t="s">
        <v>181</v>
      </c>
      <c r="C53" s="7" t="s">
        <v>67</v>
      </c>
      <c r="E53" s="7" t="s">
        <v>68</v>
      </c>
      <c r="F53" s="9">
        <v>46162</v>
      </c>
      <c r="G53" s="9">
        <v>46162</v>
      </c>
      <c r="H53" s="7">
        <v>51</v>
      </c>
      <c r="I53" s="15">
        <v>0.75</v>
      </c>
      <c r="K53" s="7" t="s">
        <v>56</v>
      </c>
      <c r="L53" s="7" t="s">
        <v>45</v>
      </c>
      <c r="M53" s="7" t="s">
        <v>174</v>
      </c>
      <c r="N53" s="7" t="s">
        <v>123</v>
      </c>
      <c r="O53" s="9">
        <v>46189</v>
      </c>
      <c r="P53" s="7" t="s">
        <v>38</v>
      </c>
      <c r="Q53" s="7">
        <v>53</v>
      </c>
      <c r="U53" s="7">
        <v>0.75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</row>
    <row r="54" spans="1:32">
      <c r="A54" s="7">
        <v>53</v>
      </c>
      <c r="B54" s="7" t="s">
        <v>182</v>
      </c>
      <c r="C54" s="7" t="s">
        <v>72</v>
      </c>
      <c r="E54" s="7" t="s">
        <v>63</v>
      </c>
      <c r="F54" s="9">
        <v>46163</v>
      </c>
      <c r="G54" s="9">
        <v>46164</v>
      </c>
      <c r="H54" s="7">
        <v>52</v>
      </c>
      <c r="I54" s="15">
        <v>0</v>
      </c>
      <c r="K54" s="7" t="s">
        <v>56</v>
      </c>
      <c r="L54" s="7" t="s">
        <v>45</v>
      </c>
      <c r="M54" s="7" t="s">
        <v>174</v>
      </c>
      <c r="N54" s="7" t="s">
        <v>138</v>
      </c>
      <c r="O54" s="9">
        <v>46191</v>
      </c>
      <c r="P54" s="7" t="s">
        <v>38</v>
      </c>
      <c r="Q54" s="7">
        <v>54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</row>
    <row r="55" spans="1:32">
      <c r="A55" s="7">
        <v>54</v>
      </c>
      <c r="B55" s="7" t="s">
        <v>183</v>
      </c>
      <c r="C55" s="7" t="s">
        <v>77</v>
      </c>
      <c r="E55" s="7" t="s">
        <v>68</v>
      </c>
      <c r="F55" s="9">
        <v>46167</v>
      </c>
      <c r="G55" s="9">
        <v>46167</v>
      </c>
      <c r="H55" s="7">
        <v>53</v>
      </c>
      <c r="I55" s="15">
        <v>0</v>
      </c>
      <c r="K55" s="7" t="s">
        <v>56</v>
      </c>
      <c r="L55" s="7" t="s">
        <v>45</v>
      </c>
      <c r="M55" s="7" t="s">
        <v>174</v>
      </c>
      <c r="N55" s="7" t="s">
        <v>140</v>
      </c>
      <c r="O55" s="9">
        <v>46192</v>
      </c>
      <c r="P55" s="7" t="s">
        <v>38</v>
      </c>
      <c r="U55" s="7">
        <v>0</v>
      </c>
      <c r="V55" s="7">
        <v>0</v>
      </c>
      <c r="W55" s="7">
        <v>0</v>
      </c>
      <c r="X55" s="7">
        <v>0</v>
      </c>
      <c r="Y55" s="7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</row>
    <row r="56" spans="1:32">
      <c r="A56" s="7">
        <v>55</v>
      </c>
      <c r="B56" s="7" t="s">
        <v>184</v>
      </c>
      <c r="C56" s="7" t="s">
        <v>185</v>
      </c>
      <c r="D56" s="7" t="s">
        <v>143</v>
      </c>
      <c r="E56" s="7" t="s">
        <v>177</v>
      </c>
      <c r="F56" s="9">
        <v>46330</v>
      </c>
      <c r="G56" s="9">
        <v>46337</v>
      </c>
      <c r="I56" s="15">
        <v>0</v>
      </c>
      <c r="K56" s="7" t="s">
        <v>56</v>
      </c>
      <c r="L56" s="7" t="s">
        <v>45</v>
      </c>
      <c r="M56" s="7" t="s">
        <v>174</v>
      </c>
      <c r="N56" s="7" t="s">
        <v>186</v>
      </c>
      <c r="O56" s="9">
        <v>46175</v>
      </c>
      <c r="P56" s="7" t="s">
        <v>38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</row>
    <row r="57" spans="1:32">
      <c r="A57" s="7">
        <v>56</v>
      </c>
      <c r="B57" s="7" t="s">
        <v>187</v>
      </c>
      <c r="C57" s="7" t="s">
        <v>62</v>
      </c>
      <c r="E57" s="7" t="s">
        <v>63</v>
      </c>
      <c r="F57" s="9">
        <v>46330</v>
      </c>
      <c r="G57" s="9">
        <v>46331</v>
      </c>
      <c r="H57" s="7" t="s">
        <v>188</v>
      </c>
      <c r="I57" s="15">
        <v>0</v>
      </c>
      <c r="K57" s="7" t="s">
        <v>56</v>
      </c>
      <c r="L57" s="7" t="s">
        <v>45</v>
      </c>
      <c r="M57" s="7" t="s">
        <v>174</v>
      </c>
      <c r="N57" s="7" t="s">
        <v>186</v>
      </c>
      <c r="O57" s="9">
        <v>46169</v>
      </c>
      <c r="P57" s="7" t="s">
        <v>38</v>
      </c>
      <c r="Q57" s="7">
        <v>57</v>
      </c>
      <c r="U57" s="7">
        <v>0</v>
      </c>
      <c r="V57" s="7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</row>
    <row r="58" spans="1:32">
      <c r="A58" s="7">
        <v>57</v>
      </c>
      <c r="B58" s="7" t="s">
        <v>189</v>
      </c>
      <c r="C58" s="7" t="s">
        <v>67</v>
      </c>
      <c r="E58" s="7" t="s">
        <v>68</v>
      </c>
      <c r="F58" s="9">
        <v>46332</v>
      </c>
      <c r="G58" s="9">
        <v>46332</v>
      </c>
      <c r="H58" s="7">
        <v>56</v>
      </c>
      <c r="I58" s="15">
        <v>0</v>
      </c>
      <c r="K58" s="7" t="s">
        <v>56</v>
      </c>
      <c r="L58" s="7" t="s">
        <v>45</v>
      </c>
      <c r="M58" s="7" t="s">
        <v>174</v>
      </c>
      <c r="N58" s="7" t="s">
        <v>190</v>
      </c>
      <c r="O58" s="9">
        <v>46170</v>
      </c>
      <c r="P58" s="7" t="s">
        <v>38</v>
      </c>
      <c r="Q58" s="7">
        <v>58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</row>
    <row r="59" spans="1:32">
      <c r="A59" s="7">
        <v>58</v>
      </c>
      <c r="B59" s="7" t="s">
        <v>191</v>
      </c>
      <c r="C59" s="7" t="s">
        <v>72</v>
      </c>
      <c r="E59" s="7" t="s">
        <v>63</v>
      </c>
      <c r="F59" s="9">
        <v>46335</v>
      </c>
      <c r="G59" s="9">
        <v>46336</v>
      </c>
      <c r="H59" s="7">
        <v>57</v>
      </c>
      <c r="I59" s="15">
        <v>0</v>
      </c>
      <c r="K59" s="7" t="s">
        <v>56</v>
      </c>
      <c r="L59" s="7" t="s">
        <v>45</v>
      </c>
      <c r="M59" s="7" t="s">
        <v>174</v>
      </c>
      <c r="N59" s="7" t="s">
        <v>192</v>
      </c>
      <c r="O59" s="9">
        <v>46174</v>
      </c>
      <c r="P59" s="7" t="s">
        <v>38</v>
      </c>
      <c r="Q59" s="7">
        <v>59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</row>
    <row r="60" spans="1:32">
      <c r="A60" s="7">
        <v>59</v>
      </c>
      <c r="B60" s="7" t="s">
        <v>193</v>
      </c>
      <c r="C60" s="7" t="s">
        <v>77</v>
      </c>
      <c r="E60" s="7" t="s">
        <v>68</v>
      </c>
      <c r="F60" s="9">
        <v>46337</v>
      </c>
      <c r="G60" s="9">
        <v>46337</v>
      </c>
      <c r="H60" s="7">
        <v>58</v>
      </c>
      <c r="I60" s="15">
        <v>0</v>
      </c>
      <c r="K60" s="7" t="s">
        <v>56</v>
      </c>
      <c r="L60" s="7" t="s">
        <v>45</v>
      </c>
      <c r="M60" s="7" t="s">
        <v>174</v>
      </c>
      <c r="N60" s="7" t="s">
        <v>194</v>
      </c>
      <c r="O60" s="9">
        <v>46175</v>
      </c>
      <c r="P60" s="7" t="s">
        <v>38</v>
      </c>
      <c r="U60" s="7">
        <v>0</v>
      </c>
      <c r="V60" s="7">
        <v>0</v>
      </c>
      <c r="W60" s="7">
        <v>0</v>
      </c>
      <c r="X60" s="7">
        <v>0</v>
      </c>
      <c r="Y60" s="7">
        <v>1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</row>
    <row r="61" spans="1:32">
      <c r="A61" s="7">
        <v>60</v>
      </c>
      <c r="B61" s="7" t="s">
        <v>195</v>
      </c>
      <c r="C61" s="7" t="s">
        <v>196</v>
      </c>
      <c r="E61" s="7" t="s">
        <v>197</v>
      </c>
      <c r="F61" s="9">
        <v>46181</v>
      </c>
      <c r="G61" s="9">
        <v>46367</v>
      </c>
      <c r="I61" s="15">
        <v>0.3</v>
      </c>
      <c r="K61" s="7" t="s">
        <v>56</v>
      </c>
      <c r="L61" s="7" t="s">
        <v>45</v>
      </c>
      <c r="M61" s="7" t="s">
        <v>198</v>
      </c>
      <c r="N61" s="7" t="s">
        <v>159</v>
      </c>
      <c r="O61" s="9">
        <v>46211</v>
      </c>
      <c r="P61" s="7" t="s">
        <v>38</v>
      </c>
      <c r="U61" s="7">
        <v>0.3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</row>
    <row r="62" spans="1:32">
      <c r="A62" s="7">
        <v>61</v>
      </c>
      <c r="B62" s="7" t="s">
        <v>199</v>
      </c>
      <c r="C62" s="7" t="s">
        <v>200</v>
      </c>
      <c r="D62" s="7" t="s">
        <v>130</v>
      </c>
      <c r="E62" s="7" t="s">
        <v>131</v>
      </c>
      <c r="F62" s="9">
        <v>46181</v>
      </c>
      <c r="G62" s="9">
        <v>46191</v>
      </c>
      <c r="I62" s="15">
        <v>1</v>
      </c>
      <c r="J62" s="16">
        <v>46191</v>
      </c>
      <c r="K62" s="7" t="s">
        <v>44</v>
      </c>
      <c r="L62" s="7" t="s">
        <v>45</v>
      </c>
      <c r="M62" s="7" t="s">
        <v>198</v>
      </c>
      <c r="N62" s="7" t="s">
        <v>201</v>
      </c>
      <c r="O62" s="9">
        <v>46192</v>
      </c>
      <c r="P62" s="7" t="s">
        <v>38</v>
      </c>
      <c r="U62" s="7">
        <v>1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</row>
    <row r="63" spans="1:32">
      <c r="A63" s="7">
        <v>62</v>
      </c>
      <c r="B63" s="7" t="s">
        <v>202</v>
      </c>
      <c r="C63" s="7" t="s">
        <v>62</v>
      </c>
      <c r="E63" s="7" t="s">
        <v>134</v>
      </c>
      <c r="F63" s="9">
        <v>46181</v>
      </c>
      <c r="G63" s="9">
        <v>46185</v>
      </c>
      <c r="H63" s="7" t="s">
        <v>179</v>
      </c>
      <c r="I63" s="15">
        <v>1</v>
      </c>
      <c r="J63" s="16">
        <v>46185</v>
      </c>
      <c r="K63" s="7" t="s">
        <v>44</v>
      </c>
      <c r="L63" s="7" t="s">
        <v>45</v>
      </c>
      <c r="M63" s="7" t="s">
        <v>198</v>
      </c>
      <c r="N63" s="7" t="s">
        <v>201</v>
      </c>
      <c r="O63" s="9">
        <v>46188</v>
      </c>
      <c r="P63" s="7" t="s">
        <v>38</v>
      </c>
      <c r="Q63" s="7" t="s">
        <v>203</v>
      </c>
      <c r="U63" s="7">
        <v>1</v>
      </c>
      <c r="V63" s="7">
        <v>1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1</v>
      </c>
    </row>
    <row r="64" spans="1:32">
      <c r="A64" s="7">
        <v>63</v>
      </c>
      <c r="B64" s="7" t="s">
        <v>204</v>
      </c>
      <c r="C64" s="7" t="s">
        <v>67</v>
      </c>
      <c r="E64" s="7" t="s">
        <v>68</v>
      </c>
      <c r="F64" s="9">
        <v>46188</v>
      </c>
      <c r="G64" s="9">
        <v>46188</v>
      </c>
      <c r="H64" s="7">
        <v>62</v>
      </c>
      <c r="I64" s="15">
        <v>1</v>
      </c>
      <c r="J64" s="16">
        <v>46188</v>
      </c>
      <c r="K64" s="7" t="s">
        <v>44</v>
      </c>
      <c r="L64" s="7" t="s">
        <v>45</v>
      </c>
      <c r="M64" s="7" t="s">
        <v>198</v>
      </c>
      <c r="N64" s="7" t="s">
        <v>123</v>
      </c>
      <c r="O64" s="9">
        <v>46189</v>
      </c>
      <c r="P64" s="7" t="s">
        <v>38</v>
      </c>
      <c r="Q64" s="7">
        <v>64</v>
      </c>
      <c r="U64" s="7">
        <v>1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</row>
    <row r="65" spans="1:32">
      <c r="A65" s="7">
        <v>64</v>
      </c>
      <c r="B65" s="7" t="s">
        <v>205</v>
      </c>
      <c r="C65" s="7" t="s">
        <v>72</v>
      </c>
      <c r="E65" s="7" t="s">
        <v>63</v>
      </c>
      <c r="F65" s="9">
        <v>46189</v>
      </c>
      <c r="G65" s="9">
        <v>46190</v>
      </c>
      <c r="H65" s="7">
        <v>63</v>
      </c>
      <c r="I65" s="15">
        <v>1</v>
      </c>
      <c r="J65" s="16">
        <v>46190</v>
      </c>
      <c r="K65" s="7" t="s">
        <v>44</v>
      </c>
      <c r="L65" s="7" t="s">
        <v>45</v>
      </c>
      <c r="M65" s="7" t="s">
        <v>198</v>
      </c>
      <c r="N65" s="7" t="s">
        <v>138</v>
      </c>
      <c r="O65" s="9">
        <v>46191</v>
      </c>
      <c r="P65" s="7" t="s">
        <v>38</v>
      </c>
      <c r="Q65" s="7">
        <v>65</v>
      </c>
      <c r="U65" s="7">
        <v>1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</row>
    <row r="66" spans="1:32">
      <c r="A66" s="7">
        <v>65</v>
      </c>
      <c r="B66" s="7" t="s">
        <v>206</v>
      </c>
      <c r="C66" s="7" t="s">
        <v>77</v>
      </c>
      <c r="E66" s="7" t="s">
        <v>68</v>
      </c>
      <c r="F66" s="9">
        <v>46191</v>
      </c>
      <c r="G66" s="9">
        <v>46191</v>
      </c>
      <c r="H66" s="7">
        <v>64</v>
      </c>
      <c r="I66" s="15">
        <v>1</v>
      </c>
      <c r="J66" s="16">
        <v>46191</v>
      </c>
      <c r="K66" s="7" t="s">
        <v>44</v>
      </c>
      <c r="L66" s="7" t="s">
        <v>45</v>
      </c>
      <c r="M66" s="7" t="s">
        <v>198</v>
      </c>
      <c r="N66" s="7" t="s">
        <v>140</v>
      </c>
      <c r="O66" s="9">
        <v>46192</v>
      </c>
      <c r="P66" s="7" t="s">
        <v>38</v>
      </c>
      <c r="U66" s="7">
        <v>1</v>
      </c>
      <c r="V66" s="7">
        <v>0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0</v>
      </c>
      <c r="AC66" s="7">
        <v>0</v>
      </c>
      <c r="AD66" s="7">
        <v>1</v>
      </c>
      <c r="AE66" s="7">
        <v>0</v>
      </c>
      <c r="AF66" s="7">
        <v>0</v>
      </c>
    </row>
    <row r="67" spans="1:32">
      <c r="A67" s="7">
        <v>66</v>
      </c>
      <c r="B67" s="7" t="s">
        <v>207</v>
      </c>
      <c r="C67" s="7" t="s">
        <v>208</v>
      </c>
      <c r="D67" s="7" t="s">
        <v>143</v>
      </c>
      <c r="E67" s="7" t="s">
        <v>102</v>
      </c>
      <c r="F67" s="9">
        <v>46356</v>
      </c>
      <c r="G67" s="9">
        <v>46364</v>
      </c>
      <c r="I67" s="15">
        <v>0</v>
      </c>
      <c r="K67" s="7" t="s">
        <v>56</v>
      </c>
      <c r="L67" s="7" t="s">
        <v>45</v>
      </c>
      <c r="M67" s="7" t="s">
        <v>198</v>
      </c>
      <c r="N67" s="7" t="s">
        <v>209</v>
      </c>
      <c r="O67" s="9">
        <v>46199</v>
      </c>
      <c r="P67" s="7" t="s">
        <v>38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</row>
    <row r="68" spans="1:32">
      <c r="A68" s="7">
        <v>67</v>
      </c>
      <c r="B68" s="7" t="s">
        <v>210</v>
      </c>
      <c r="C68" s="7" t="s">
        <v>62</v>
      </c>
      <c r="E68" s="7" t="s">
        <v>85</v>
      </c>
      <c r="F68" s="9">
        <v>46356</v>
      </c>
      <c r="G68" s="9">
        <v>46358</v>
      </c>
      <c r="H68" s="7" t="s">
        <v>211</v>
      </c>
      <c r="I68" s="15">
        <v>0</v>
      </c>
      <c r="K68" s="7" t="s">
        <v>56</v>
      </c>
      <c r="L68" s="7" t="s">
        <v>45</v>
      </c>
      <c r="M68" s="7" t="s">
        <v>198</v>
      </c>
      <c r="N68" s="7" t="s">
        <v>209</v>
      </c>
      <c r="O68" s="9">
        <v>46195</v>
      </c>
      <c r="P68" s="7" t="s">
        <v>38</v>
      </c>
      <c r="Q68" s="7" t="s">
        <v>212</v>
      </c>
      <c r="U68" s="7">
        <v>0</v>
      </c>
      <c r="V68" s="7">
        <v>1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</row>
    <row r="69" spans="1:32">
      <c r="A69" s="7">
        <v>68</v>
      </c>
      <c r="B69" s="7" t="s">
        <v>213</v>
      </c>
      <c r="C69" s="7" t="s">
        <v>67</v>
      </c>
      <c r="E69" s="7" t="s">
        <v>68</v>
      </c>
      <c r="F69" s="9">
        <v>46359</v>
      </c>
      <c r="G69" s="9">
        <v>46359</v>
      </c>
      <c r="H69" s="7">
        <v>67</v>
      </c>
      <c r="I69" s="15">
        <v>0</v>
      </c>
      <c r="K69" s="7" t="s">
        <v>56</v>
      </c>
      <c r="L69" s="7" t="s">
        <v>45</v>
      </c>
      <c r="M69" s="7" t="s">
        <v>198</v>
      </c>
      <c r="N69" s="7" t="s">
        <v>149</v>
      </c>
      <c r="O69" s="9">
        <v>46196</v>
      </c>
      <c r="P69" s="7" t="s">
        <v>38</v>
      </c>
      <c r="Q69" s="7">
        <v>69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</row>
    <row r="70" spans="1:32">
      <c r="A70" s="7">
        <v>69</v>
      </c>
      <c r="B70" s="7" t="s">
        <v>214</v>
      </c>
      <c r="C70" s="7" t="s">
        <v>72</v>
      </c>
      <c r="E70" s="7" t="s">
        <v>63</v>
      </c>
      <c r="F70" s="9">
        <v>46360</v>
      </c>
      <c r="G70" s="9">
        <v>46363</v>
      </c>
      <c r="H70" s="7">
        <v>68</v>
      </c>
      <c r="I70" s="15">
        <v>0</v>
      </c>
      <c r="K70" s="7" t="s">
        <v>56</v>
      </c>
      <c r="L70" s="7" t="s">
        <v>45</v>
      </c>
      <c r="M70" s="7" t="s">
        <v>198</v>
      </c>
      <c r="N70" s="7" t="s">
        <v>215</v>
      </c>
      <c r="O70" s="9">
        <v>46198</v>
      </c>
      <c r="P70" s="7" t="s">
        <v>38</v>
      </c>
      <c r="Q70" s="7">
        <v>70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</row>
    <row r="71" spans="1:32">
      <c r="A71" s="7">
        <v>70</v>
      </c>
      <c r="B71" s="7" t="s">
        <v>216</v>
      </c>
      <c r="C71" s="7" t="s">
        <v>77</v>
      </c>
      <c r="E71" s="7" t="s">
        <v>68</v>
      </c>
      <c r="F71" s="9">
        <v>46364</v>
      </c>
      <c r="G71" s="9">
        <v>46364</v>
      </c>
      <c r="H71" s="7">
        <v>69</v>
      </c>
      <c r="I71" s="15">
        <v>0</v>
      </c>
      <c r="K71" s="7" t="s">
        <v>56</v>
      </c>
      <c r="L71" s="7" t="s">
        <v>45</v>
      </c>
      <c r="M71" s="7" t="s">
        <v>198</v>
      </c>
      <c r="N71" s="7" t="s">
        <v>217</v>
      </c>
      <c r="O71" s="9">
        <v>46199</v>
      </c>
      <c r="P71" s="7" t="s">
        <v>38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</row>
    <row r="72" spans="1:32">
      <c r="A72" s="7">
        <v>71</v>
      </c>
      <c r="B72" s="7" t="s">
        <v>218</v>
      </c>
      <c r="C72" s="7" t="s">
        <v>219</v>
      </c>
      <c r="D72" s="7" t="s">
        <v>220</v>
      </c>
      <c r="E72" s="7" t="s">
        <v>102</v>
      </c>
      <c r="F72" s="9">
        <v>46359</v>
      </c>
      <c r="G72" s="9">
        <v>46367</v>
      </c>
      <c r="I72" s="15">
        <v>0</v>
      </c>
      <c r="K72" s="7" t="s">
        <v>56</v>
      </c>
      <c r="L72" s="7" t="s">
        <v>45</v>
      </c>
      <c r="M72" s="7" t="s">
        <v>198</v>
      </c>
      <c r="N72" s="7" t="s">
        <v>190</v>
      </c>
      <c r="O72" s="9">
        <v>46178</v>
      </c>
      <c r="P72" s="7" t="s">
        <v>38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</row>
    <row r="73" spans="1:32">
      <c r="A73" s="7">
        <v>72</v>
      </c>
      <c r="B73" s="7" t="s">
        <v>221</v>
      </c>
      <c r="C73" s="7" t="s">
        <v>62</v>
      </c>
      <c r="E73" s="7" t="s">
        <v>85</v>
      </c>
      <c r="F73" s="9">
        <v>46359</v>
      </c>
      <c r="G73" s="9">
        <v>46363</v>
      </c>
      <c r="H73" s="7">
        <v>67</v>
      </c>
      <c r="I73" s="15">
        <v>0</v>
      </c>
      <c r="K73" s="7" t="s">
        <v>56</v>
      </c>
      <c r="L73" s="7" t="s">
        <v>45</v>
      </c>
      <c r="M73" s="7" t="s">
        <v>198</v>
      </c>
      <c r="N73" s="7" t="s">
        <v>190</v>
      </c>
      <c r="O73" s="9">
        <v>46174</v>
      </c>
      <c r="P73" s="7" t="s">
        <v>38</v>
      </c>
      <c r="Q73" s="7">
        <v>73</v>
      </c>
      <c r="U73" s="7">
        <v>0</v>
      </c>
      <c r="V73" s="7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</row>
    <row r="74" spans="1:32">
      <c r="A74" s="7">
        <v>73</v>
      </c>
      <c r="B74" s="7" t="s">
        <v>222</v>
      </c>
      <c r="C74" s="7" t="s">
        <v>67</v>
      </c>
      <c r="E74" s="7" t="s">
        <v>68</v>
      </c>
      <c r="F74" s="9">
        <v>46364</v>
      </c>
      <c r="G74" s="9">
        <v>46364</v>
      </c>
      <c r="H74" s="7">
        <v>72</v>
      </c>
      <c r="I74" s="15">
        <v>0</v>
      </c>
      <c r="K74" s="7" t="s">
        <v>56</v>
      </c>
      <c r="L74" s="7" t="s">
        <v>45</v>
      </c>
      <c r="M74" s="7" t="s">
        <v>198</v>
      </c>
      <c r="N74" s="7" t="s">
        <v>194</v>
      </c>
      <c r="O74" s="9">
        <v>46175</v>
      </c>
      <c r="P74" s="7" t="s">
        <v>38</v>
      </c>
      <c r="Q74" s="7">
        <v>74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</row>
    <row r="75" spans="1:32">
      <c r="A75" s="7">
        <v>74</v>
      </c>
      <c r="B75" s="7" t="s">
        <v>223</v>
      </c>
      <c r="C75" s="7" t="s">
        <v>72</v>
      </c>
      <c r="E75" s="7" t="s">
        <v>63</v>
      </c>
      <c r="F75" s="9">
        <v>46365</v>
      </c>
      <c r="G75" s="9">
        <v>46366</v>
      </c>
      <c r="H75" s="7">
        <v>73</v>
      </c>
      <c r="I75" s="15">
        <v>0</v>
      </c>
      <c r="K75" s="7" t="s">
        <v>56</v>
      </c>
      <c r="L75" s="7" t="s">
        <v>45</v>
      </c>
      <c r="M75" s="7" t="s">
        <v>198</v>
      </c>
      <c r="N75" s="7" t="s">
        <v>224</v>
      </c>
      <c r="O75" s="9">
        <v>46177</v>
      </c>
      <c r="P75" s="7" t="s">
        <v>38</v>
      </c>
      <c r="Q75" s="7">
        <v>75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</row>
    <row r="76" spans="1:32">
      <c r="A76" s="7">
        <v>75</v>
      </c>
      <c r="B76" s="7" t="s">
        <v>225</v>
      </c>
      <c r="C76" s="7" t="s">
        <v>77</v>
      </c>
      <c r="E76" s="7" t="s">
        <v>68</v>
      </c>
      <c r="F76" s="9">
        <v>46367</v>
      </c>
      <c r="G76" s="9">
        <v>46367</v>
      </c>
      <c r="H76" s="7">
        <v>74</v>
      </c>
      <c r="I76" s="15">
        <v>0</v>
      </c>
      <c r="K76" s="7" t="s">
        <v>56</v>
      </c>
      <c r="L76" s="7" t="s">
        <v>45</v>
      </c>
      <c r="M76" s="7" t="s">
        <v>198</v>
      </c>
      <c r="N76" s="7" t="s">
        <v>226</v>
      </c>
      <c r="O76" s="9">
        <v>46178</v>
      </c>
      <c r="P76" s="7" t="s">
        <v>38</v>
      </c>
      <c r="U76" s="7">
        <v>0</v>
      </c>
      <c r="V76" s="7">
        <v>0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</row>
    <row r="77" spans="1:32">
      <c r="A77" s="7">
        <v>76</v>
      </c>
      <c r="B77" s="7" t="s">
        <v>227</v>
      </c>
      <c r="C77" s="7" t="s">
        <v>228</v>
      </c>
      <c r="D77" s="7" t="s">
        <v>229</v>
      </c>
      <c r="E77" s="7" t="s">
        <v>102</v>
      </c>
      <c r="F77" s="9">
        <v>46359</v>
      </c>
      <c r="G77" s="9">
        <v>46367</v>
      </c>
      <c r="I77" s="15">
        <v>0</v>
      </c>
      <c r="K77" s="7" t="s">
        <v>56</v>
      </c>
      <c r="L77" s="7" t="s">
        <v>45</v>
      </c>
      <c r="M77" s="7" t="s">
        <v>198</v>
      </c>
      <c r="N77" s="7" t="s">
        <v>194</v>
      </c>
      <c r="O77" s="9">
        <v>46183</v>
      </c>
      <c r="P77" s="7" t="s">
        <v>38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</row>
    <row r="78" spans="1:32">
      <c r="A78" s="7">
        <v>77</v>
      </c>
      <c r="B78" s="7" t="s">
        <v>230</v>
      </c>
      <c r="C78" s="7" t="s">
        <v>62</v>
      </c>
      <c r="E78" s="7" t="s">
        <v>85</v>
      </c>
      <c r="F78" s="9">
        <v>46359</v>
      </c>
      <c r="G78" s="9">
        <v>46363</v>
      </c>
      <c r="H78" s="7">
        <v>67</v>
      </c>
      <c r="I78" s="15">
        <v>0</v>
      </c>
      <c r="K78" s="7" t="s">
        <v>56</v>
      </c>
      <c r="L78" s="7" t="s">
        <v>45</v>
      </c>
      <c r="M78" s="7" t="s">
        <v>198</v>
      </c>
      <c r="N78" s="7" t="s">
        <v>194</v>
      </c>
      <c r="O78" s="9">
        <v>46177</v>
      </c>
      <c r="P78" s="7" t="s">
        <v>38</v>
      </c>
      <c r="Q78" s="7">
        <v>78</v>
      </c>
      <c r="U78" s="7">
        <v>0</v>
      </c>
      <c r="V78" s="7">
        <v>1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</row>
    <row r="79" spans="1:32">
      <c r="A79" s="7">
        <v>78</v>
      </c>
      <c r="B79" s="7" t="s">
        <v>231</v>
      </c>
      <c r="C79" s="7" t="s">
        <v>67</v>
      </c>
      <c r="E79" s="7" t="s">
        <v>68</v>
      </c>
      <c r="F79" s="9">
        <v>46364</v>
      </c>
      <c r="G79" s="9">
        <v>46364</v>
      </c>
      <c r="H79" s="7">
        <v>77</v>
      </c>
      <c r="I79" s="15">
        <v>0</v>
      </c>
      <c r="K79" s="7" t="s">
        <v>56</v>
      </c>
      <c r="L79" s="7" t="s">
        <v>45</v>
      </c>
      <c r="M79" s="7" t="s">
        <v>198</v>
      </c>
      <c r="N79" s="7" t="s">
        <v>226</v>
      </c>
      <c r="O79" s="9">
        <v>46178</v>
      </c>
      <c r="P79" s="7" t="s">
        <v>38</v>
      </c>
      <c r="Q79" s="7">
        <v>79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</row>
    <row r="80" spans="1:32">
      <c r="A80" s="7">
        <v>79</v>
      </c>
      <c r="B80" s="7" t="s">
        <v>232</v>
      </c>
      <c r="C80" s="7" t="s">
        <v>72</v>
      </c>
      <c r="E80" s="7" t="s">
        <v>63</v>
      </c>
      <c r="F80" s="9">
        <v>46365</v>
      </c>
      <c r="G80" s="9">
        <v>46366</v>
      </c>
      <c r="H80" s="7">
        <v>78</v>
      </c>
      <c r="I80" s="15">
        <v>0</v>
      </c>
      <c r="K80" s="7" t="s">
        <v>56</v>
      </c>
      <c r="L80" s="7" t="s">
        <v>45</v>
      </c>
      <c r="M80" s="7" t="s">
        <v>198</v>
      </c>
      <c r="N80" s="7" t="s">
        <v>233</v>
      </c>
      <c r="O80" s="9">
        <v>46182</v>
      </c>
      <c r="P80" s="7" t="s">
        <v>38</v>
      </c>
      <c r="Q80" s="7">
        <v>80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</row>
    <row r="81" spans="1:32">
      <c r="A81" s="7">
        <v>80</v>
      </c>
      <c r="B81" s="7" t="s">
        <v>234</v>
      </c>
      <c r="C81" s="7" t="s">
        <v>77</v>
      </c>
      <c r="E81" s="7" t="s">
        <v>68</v>
      </c>
      <c r="F81" s="9">
        <v>46367</v>
      </c>
      <c r="G81" s="9">
        <v>46367</v>
      </c>
      <c r="H81" s="7">
        <v>79</v>
      </c>
      <c r="I81" s="15">
        <v>0</v>
      </c>
      <c r="K81" s="7" t="s">
        <v>56</v>
      </c>
      <c r="L81" s="7" t="s">
        <v>45</v>
      </c>
      <c r="M81" s="7" t="s">
        <v>198</v>
      </c>
      <c r="N81" s="7" t="s">
        <v>235</v>
      </c>
      <c r="O81" s="9">
        <v>46183</v>
      </c>
      <c r="P81" s="7" t="s">
        <v>38</v>
      </c>
      <c r="U81" s="7">
        <v>0</v>
      </c>
      <c r="V81" s="7">
        <v>0</v>
      </c>
      <c r="W81" s="7">
        <v>0</v>
      </c>
      <c r="X81" s="7">
        <v>0</v>
      </c>
      <c r="Y81" s="7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</row>
    <row r="82" spans="1:32">
      <c r="A82" s="7">
        <v>81</v>
      </c>
      <c r="B82" s="7" t="s">
        <v>236</v>
      </c>
      <c r="C82" s="7" t="s">
        <v>237</v>
      </c>
      <c r="E82" s="7" t="s">
        <v>238</v>
      </c>
      <c r="F82" s="9">
        <v>46183</v>
      </c>
      <c r="G82" s="9">
        <v>46364</v>
      </c>
      <c r="I82" s="15">
        <v>0</v>
      </c>
      <c r="K82" s="7" t="s">
        <v>56</v>
      </c>
      <c r="L82" s="7" t="s">
        <v>45</v>
      </c>
      <c r="M82" s="7" t="s">
        <v>239</v>
      </c>
      <c r="N82" s="7" t="s">
        <v>240</v>
      </c>
      <c r="O82" s="9">
        <v>46211</v>
      </c>
      <c r="P82" s="7" t="s">
        <v>38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</row>
    <row r="83" spans="1:32">
      <c r="A83" s="7">
        <v>82</v>
      </c>
      <c r="B83" s="7" t="s">
        <v>241</v>
      </c>
      <c r="C83" s="7" t="s">
        <v>242</v>
      </c>
      <c r="D83" s="7" t="s">
        <v>130</v>
      </c>
      <c r="E83" s="7" t="s">
        <v>102</v>
      </c>
      <c r="F83" s="9">
        <v>46183</v>
      </c>
      <c r="G83" s="9">
        <v>46191</v>
      </c>
      <c r="I83" s="15">
        <v>0</v>
      </c>
      <c r="K83" s="7" t="s">
        <v>56</v>
      </c>
      <c r="L83" s="7" t="s">
        <v>45</v>
      </c>
      <c r="M83" s="7" t="s">
        <v>239</v>
      </c>
      <c r="N83" s="7" t="s">
        <v>132</v>
      </c>
      <c r="O83" s="9">
        <v>46192</v>
      </c>
      <c r="P83" s="7" t="s">
        <v>38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</row>
    <row r="84" spans="1:32">
      <c r="A84" s="7">
        <v>83</v>
      </c>
      <c r="B84" s="7" t="s">
        <v>243</v>
      </c>
      <c r="C84" s="7" t="s">
        <v>62</v>
      </c>
      <c r="E84" s="7" t="s">
        <v>85</v>
      </c>
      <c r="F84" s="9">
        <v>46183</v>
      </c>
      <c r="G84" s="9">
        <v>46185</v>
      </c>
      <c r="H84" s="7" t="s">
        <v>179</v>
      </c>
      <c r="I84" s="15">
        <v>0</v>
      </c>
      <c r="K84" s="7" t="s">
        <v>56</v>
      </c>
      <c r="L84" s="7" t="s">
        <v>45</v>
      </c>
      <c r="M84" s="7" t="s">
        <v>239</v>
      </c>
      <c r="N84" s="7" t="s">
        <v>132</v>
      </c>
      <c r="O84" s="9">
        <v>46188</v>
      </c>
      <c r="P84" s="7" t="s">
        <v>38</v>
      </c>
      <c r="Q84" s="7" t="s">
        <v>244</v>
      </c>
      <c r="U84" s="7">
        <v>0</v>
      </c>
      <c r="V84" s="7">
        <v>1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</row>
    <row r="85" spans="1:32">
      <c r="A85" s="7">
        <v>84</v>
      </c>
      <c r="B85" s="7" t="s">
        <v>245</v>
      </c>
      <c r="C85" s="7" t="s">
        <v>67</v>
      </c>
      <c r="E85" s="7" t="s">
        <v>68</v>
      </c>
      <c r="F85" s="9">
        <v>46188</v>
      </c>
      <c r="G85" s="9">
        <v>46188</v>
      </c>
      <c r="H85" s="7">
        <v>83</v>
      </c>
      <c r="I85" s="15">
        <v>0</v>
      </c>
      <c r="K85" s="7" t="s">
        <v>56</v>
      </c>
      <c r="L85" s="7" t="s">
        <v>45</v>
      </c>
      <c r="M85" s="7" t="s">
        <v>239</v>
      </c>
      <c r="N85" s="7" t="s">
        <v>123</v>
      </c>
      <c r="O85" s="9">
        <v>46189</v>
      </c>
      <c r="P85" s="7" t="s">
        <v>38</v>
      </c>
      <c r="Q85" s="7">
        <v>85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</row>
    <row r="86" spans="1:32">
      <c r="A86" s="7">
        <v>85</v>
      </c>
      <c r="B86" s="7" t="s">
        <v>246</v>
      </c>
      <c r="C86" s="7" t="s">
        <v>72</v>
      </c>
      <c r="E86" s="7" t="s">
        <v>63</v>
      </c>
      <c r="F86" s="9">
        <v>46189</v>
      </c>
      <c r="G86" s="9">
        <v>46190</v>
      </c>
      <c r="H86" s="7">
        <v>84</v>
      </c>
      <c r="I86" s="15">
        <v>0</v>
      </c>
      <c r="K86" s="7" t="s">
        <v>56</v>
      </c>
      <c r="L86" s="7" t="s">
        <v>45</v>
      </c>
      <c r="M86" s="7" t="s">
        <v>239</v>
      </c>
      <c r="N86" s="7" t="s">
        <v>138</v>
      </c>
      <c r="O86" s="9">
        <v>46191</v>
      </c>
      <c r="P86" s="7" t="s">
        <v>38</v>
      </c>
      <c r="Q86" s="7">
        <v>86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</row>
    <row r="87" spans="1:32">
      <c r="A87" s="7">
        <v>86</v>
      </c>
      <c r="B87" s="7" t="s">
        <v>247</v>
      </c>
      <c r="C87" s="7" t="s">
        <v>77</v>
      </c>
      <c r="E87" s="7" t="s">
        <v>68</v>
      </c>
      <c r="F87" s="9">
        <v>46191</v>
      </c>
      <c r="G87" s="9">
        <v>46191</v>
      </c>
      <c r="H87" s="7">
        <v>85</v>
      </c>
      <c r="I87" s="15">
        <v>0</v>
      </c>
      <c r="K87" s="7" t="s">
        <v>56</v>
      </c>
      <c r="L87" s="7" t="s">
        <v>45</v>
      </c>
      <c r="M87" s="7" t="s">
        <v>239</v>
      </c>
      <c r="N87" s="7" t="s">
        <v>140</v>
      </c>
      <c r="O87" s="9">
        <v>46192</v>
      </c>
      <c r="P87" s="7" t="s">
        <v>38</v>
      </c>
      <c r="U87" s="7">
        <v>0</v>
      </c>
      <c r="V87" s="7">
        <v>0</v>
      </c>
      <c r="W87" s="7">
        <v>0</v>
      </c>
      <c r="X87" s="7">
        <v>0</v>
      </c>
      <c r="Y87" s="7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</row>
    <row r="88" spans="1:32">
      <c r="A88" s="7">
        <v>87</v>
      </c>
      <c r="B88" s="7" t="s">
        <v>248</v>
      </c>
      <c r="C88" s="7" t="s">
        <v>249</v>
      </c>
      <c r="D88" s="7" t="s">
        <v>143</v>
      </c>
      <c r="E88" s="7" t="s">
        <v>102</v>
      </c>
      <c r="F88" s="9">
        <v>46356</v>
      </c>
      <c r="G88" s="9">
        <v>46364</v>
      </c>
      <c r="I88" s="15">
        <v>0</v>
      </c>
      <c r="K88" s="7" t="s">
        <v>56</v>
      </c>
      <c r="L88" s="7" t="s">
        <v>45</v>
      </c>
      <c r="M88" s="7" t="s">
        <v>239</v>
      </c>
      <c r="N88" s="7" t="s">
        <v>138</v>
      </c>
      <c r="O88" s="9">
        <v>46198</v>
      </c>
      <c r="P88" s="7" t="s">
        <v>38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</row>
    <row r="89" spans="1:32">
      <c r="A89" s="7">
        <v>88</v>
      </c>
      <c r="B89" s="7" t="s">
        <v>250</v>
      </c>
      <c r="C89" s="7" t="s">
        <v>62</v>
      </c>
      <c r="E89" s="7" t="s">
        <v>85</v>
      </c>
      <c r="F89" s="9">
        <v>46356</v>
      </c>
      <c r="G89" s="9">
        <v>46358</v>
      </c>
      <c r="H89" s="7" t="s">
        <v>251</v>
      </c>
      <c r="I89" s="15">
        <v>0</v>
      </c>
      <c r="K89" s="7" t="s">
        <v>56</v>
      </c>
      <c r="L89" s="7" t="s">
        <v>45</v>
      </c>
      <c r="M89" s="7" t="s">
        <v>239</v>
      </c>
      <c r="N89" s="7" t="s">
        <v>138</v>
      </c>
      <c r="O89" s="9">
        <v>46192</v>
      </c>
      <c r="P89" s="7" t="s">
        <v>38</v>
      </c>
      <c r="Q89" s="7">
        <v>89</v>
      </c>
      <c r="U89" s="7">
        <v>0</v>
      </c>
      <c r="V89" s="7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</row>
    <row r="90" spans="1:32">
      <c r="A90" s="7">
        <v>89</v>
      </c>
      <c r="B90" s="7" t="s">
        <v>252</v>
      </c>
      <c r="C90" s="7" t="s">
        <v>67</v>
      </c>
      <c r="E90" s="7" t="s">
        <v>68</v>
      </c>
      <c r="F90" s="9">
        <v>46359</v>
      </c>
      <c r="G90" s="9">
        <v>46359</v>
      </c>
      <c r="H90" s="7">
        <v>88</v>
      </c>
      <c r="I90" s="15">
        <v>0</v>
      </c>
      <c r="K90" s="7" t="s">
        <v>56</v>
      </c>
      <c r="L90" s="7" t="s">
        <v>45</v>
      </c>
      <c r="M90" s="7" t="s">
        <v>239</v>
      </c>
      <c r="N90" s="7" t="s">
        <v>147</v>
      </c>
      <c r="O90" s="9">
        <v>46195</v>
      </c>
      <c r="P90" s="7" t="s">
        <v>38</v>
      </c>
      <c r="Q90" s="7">
        <v>90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</row>
    <row r="91" spans="1:32">
      <c r="A91" s="7">
        <v>90</v>
      </c>
      <c r="B91" s="7" t="s">
        <v>253</v>
      </c>
      <c r="C91" s="7" t="s">
        <v>72</v>
      </c>
      <c r="E91" s="7" t="s">
        <v>63</v>
      </c>
      <c r="F91" s="9">
        <v>46360</v>
      </c>
      <c r="G91" s="9">
        <v>46363</v>
      </c>
      <c r="H91" s="7">
        <v>89</v>
      </c>
      <c r="I91" s="15">
        <v>0</v>
      </c>
      <c r="K91" s="7" t="s">
        <v>56</v>
      </c>
      <c r="L91" s="7" t="s">
        <v>45</v>
      </c>
      <c r="M91" s="7" t="s">
        <v>239</v>
      </c>
      <c r="N91" s="7" t="s">
        <v>149</v>
      </c>
      <c r="O91" s="9">
        <v>46197</v>
      </c>
      <c r="P91" s="7" t="s">
        <v>38</v>
      </c>
      <c r="Q91" s="7">
        <v>91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</row>
    <row r="92" spans="1:32">
      <c r="A92" s="7">
        <v>91</v>
      </c>
      <c r="B92" s="7" t="s">
        <v>254</v>
      </c>
      <c r="C92" s="7" t="s">
        <v>77</v>
      </c>
      <c r="E92" s="7" t="s">
        <v>68</v>
      </c>
      <c r="F92" s="9">
        <v>46364</v>
      </c>
      <c r="G92" s="9">
        <v>46364</v>
      </c>
      <c r="H92" s="7">
        <v>90</v>
      </c>
      <c r="I92" s="15">
        <v>0</v>
      </c>
      <c r="K92" s="7" t="s">
        <v>56</v>
      </c>
      <c r="L92" s="7" t="s">
        <v>45</v>
      </c>
      <c r="M92" s="7" t="s">
        <v>239</v>
      </c>
      <c r="N92" s="7" t="s">
        <v>151</v>
      </c>
      <c r="O92" s="9">
        <v>46198</v>
      </c>
      <c r="P92" s="7" t="s">
        <v>38</v>
      </c>
      <c r="U92" s="7">
        <v>0</v>
      </c>
      <c r="V92" s="7">
        <v>0</v>
      </c>
      <c r="W92" s="7">
        <v>0</v>
      </c>
      <c r="X92" s="7">
        <v>0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</row>
    <row r="93" spans="1:32">
      <c r="A93" s="7">
        <v>92</v>
      </c>
      <c r="B93" s="7" t="s">
        <v>255</v>
      </c>
      <c r="C93" s="7" t="s">
        <v>256</v>
      </c>
      <c r="E93" s="7" t="s">
        <v>257</v>
      </c>
      <c r="F93" s="9">
        <v>46181</v>
      </c>
      <c r="G93" s="9">
        <v>46374</v>
      </c>
      <c r="I93" s="15">
        <v>0.38</v>
      </c>
      <c r="K93" s="7" t="s">
        <v>56</v>
      </c>
      <c r="L93" s="7" t="s">
        <v>45</v>
      </c>
      <c r="M93" s="7" t="s">
        <v>258</v>
      </c>
      <c r="N93" s="7" t="s">
        <v>161</v>
      </c>
      <c r="O93" s="9">
        <v>46211</v>
      </c>
      <c r="P93" s="7" t="s">
        <v>38</v>
      </c>
      <c r="U93" s="7">
        <v>0.38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</row>
    <row r="94" spans="1:32">
      <c r="A94" s="7">
        <v>93</v>
      </c>
      <c r="B94" s="7" t="s">
        <v>259</v>
      </c>
      <c r="C94" s="7" t="s">
        <v>260</v>
      </c>
      <c r="D94" s="7" t="s">
        <v>130</v>
      </c>
      <c r="E94" s="7" t="s">
        <v>131</v>
      </c>
      <c r="F94" s="9">
        <v>46181</v>
      </c>
      <c r="G94" s="9">
        <v>46191</v>
      </c>
      <c r="I94" s="15">
        <v>0.8</v>
      </c>
      <c r="K94" s="7" t="s">
        <v>56</v>
      </c>
      <c r="L94" s="7" t="s">
        <v>45</v>
      </c>
      <c r="M94" s="7" t="s">
        <v>258</v>
      </c>
      <c r="N94" s="7" t="s">
        <v>132</v>
      </c>
      <c r="O94" s="9">
        <v>46192</v>
      </c>
      <c r="P94" s="7" t="s">
        <v>38</v>
      </c>
      <c r="Q94" s="7" t="s">
        <v>261</v>
      </c>
      <c r="U94" s="7">
        <v>0.8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</row>
    <row r="95" spans="1:32">
      <c r="A95" s="7">
        <v>94</v>
      </c>
      <c r="B95" s="7" t="s">
        <v>262</v>
      </c>
      <c r="C95" s="7" t="s">
        <v>62</v>
      </c>
      <c r="E95" s="7" t="s">
        <v>177</v>
      </c>
      <c r="F95" s="9">
        <v>46181</v>
      </c>
      <c r="G95" s="9">
        <v>46188</v>
      </c>
      <c r="H95" s="7" t="s">
        <v>179</v>
      </c>
      <c r="I95" s="15">
        <v>1</v>
      </c>
      <c r="J95" s="16">
        <v>46188</v>
      </c>
      <c r="K95" s="7" t="s">
        <v>44</v>
      </c>
      <c r="L95" s="7" t="s">
        <v>45</v>
      </c>
      <c r="M95" s="7" t="s">
        <v>258</v>
      </c>
      <c r="N95" s="7" t="s">
        <v>132</v>
      </c>
      <c r="O95" s="9">
        <v>46188</v>
      </c>
      <c r="P95" s="7" t="s">
        <v>38</v>
      </c>
      <c r="Q95" s="7">
        <v>95</v>
      </c>
      <c r="U95" s="7">
        <v>1</v>
      </c>
      <c r="V95" s="7">
        <v>1</v>
      </c>
      <c r="W95" s="7">
        <v>1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1</v>
      </c>
    </row>
    <row r="96" spans="1:32">
      <c r="A96" s="7">
        <v>95</v>
      </c>
      <c r="B96" s="7" t="s">
        <v>263</v>
      </c>
      <c r="C96" s="7" t="s">
        <v>67</v>
      </c>
      <c r="E96" s="7" t="s">
        <v>68</v>
      </c>
      <c r="F96" s="9">
        <v>46188</v>
      </c>
      <c r="G96" s="9">
        <v>46188</v>
      </c>
      <c r="H96" s="7">
        <v>94</v>
      </c>
      <c r="I96" s="15">
        <v>1</v>
      </c>
      <c r="J96" s="16">
        <v>46188</v>
      </c>
      <c r="K96" s="7" t="s">
        <v>44</v>
      </c>
      <c r="L96" s="7" t="s">
        <v>45</v>
      </c>
      <c r="M96" s="7" t="s">
        <v>258</v>
      </c>
      <c r="N96" s="7" t="s">
        <v>123</v>
      </c>
      <c r="O96" s="9">
        <v>46189</v>
      </c>
      <c r="P96" s="7" t="s">
        <v>38</v>
      </c>
      <c r="Q96" s="7">
        <v>96</v>
      </c>
      <c r="U96" s="7">
        <v>1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</row>
    <row r="97" spans="1:32">
      <c r="A97" s="7">
        <v>96</v>
      </c>
      <c r="B97" s="7" t="s">
        <v>264</v>
      </c>
      <c r="C97" s="7" t="s">
        <v>72</v>
      </c>
      <c r="E97" s="7" t="s">
        <v>63</v>
      </c>
      <c r="F97" s="9">
        <v>46189</v>
      </c>
      <c r="G97" s="9">
        <v>46190</v>
      </c>
      <c r="H97" s="7">
        <v>95</v>
      </c>
      <c r="I97" s="15">
        <v>0.5</v>
      </c>
      <c r="K97" s="7" t="s">
        <v>56</v>
      </c>
      <c r="L97" s="7" t="s">
        <v>45</v>
      </c>
      <c r="M97" s="7" t="s">
        <v>258</v>
      </c>
      <c r="N97" s="7" t="s">
        <v>138</v>
      </c>
      <c r="O97" s="9">
        <v>46191</v>
      </c>
      <c r="P97" s="7" t="s">
        <v>38</v>
      </c>
      <c r="Q97" s="7">
        <v>97</v>
      </c>
      <c r="U97" s="7">
        <v>0.5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</row>
    <row r="98" spans="1:32">
      <c r="A98" s="7">
        <v>97</v>
      </c>
      <c r="B98" s="7" t="s">
        <v>265</v>
      </c>
      <c r="C98" s="7" t="s">
        <v>77</v>
      </c>
      <c r="E98" s="7" t="s">
        <v>68</v>
      </c>
      <c r="F98" s="9">
        <v>46191</v>
      </c>
      <c r="G98" s="9">
        <v>46191</v>
      </c>
      <c r="H98" s="7">
        <v>96</v>
      </c>
      <c r="I98" s="15">
        <v>0</v>
      </c>
      <c r="K98" s="7" t="s">
        <v>56</v>
      </c>
      <c r="L98" s="7" t="s">
        <v>45</v>
      </c>
      <c r="M98" s="7" t="s">
        <v>258</v>
      </c>
      <c r="N98" s="7" t="s">
        <v>140</v>
      </c>
      <c r="O98" s="9">
        <v>46192</v>
      </c>
      <c r="P98" s="7" t="s">
        <v>38</v>
      </c>
      <c r="U98" s="7">
        <v>0</v>
      </c>
      <c r="V98" s="7">
        <v>0</v>
      </c>
      <c r="W98" s="7">
        <v>0</v>
      </c>
      <c r="X98" s="7">
        <v>0</v>
      </c>
      <c r="Y98" s="7">
        <v>1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</row>
    <row r="99" spans="1:32">
      <c r="A99" s="7">
        <v>98</v>
      </c>
      <c r="B99" s="7" t="s">
        <v>266</v>
      </c>
      <c r="C99" s="7" t="s">
        <v>267</v>
      </c>
      <c r="D99" s="7" t="s">
        <v>143</v>
      </c>
      <c r="E99" s="7" t="s">
        <v>268</v>
      </c>
      <c r="F99" s="9">
        <v>46360</v>
      </c>
      <c r="G99" s="9">
        <v>46374</v>
      </c>
      <c r="I99" s="15">
        <v>0</v>
      </c>
      <c r="K99" s="7" t="s">
        <v>56</v>
      </c>
      <c r="L99" s="7" t="s">
        <v>45</v>
      </c>
      <c r="M99" s="7" t="s">
        <v>258</v>
      </c>
      <c r="N99" s="7" t="s">
        <v>240</v>
      </c>
      <c r="O99" s="9">
        <v>46202</v>
      </c>
      <c r="P99" s="7" t="s">
        <v>38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</row>
    <row r="100" spans="1:32">
      <c r="A100" s="7">
        <v>99</v>
      </c>
      <c r="B100" s="7" t="s">
        <v>269</v>
      </c>
      <c r="C100" s="7" t="s">
        <v>62</v>
      </c>
      <c r="E100" s="7" t="s">
        <v>102</v>
      </c>
      <c r="F100" s="9">
        <v>46360</v>
      </c>
      <c r="G100" s="9">
        <v>46370</v>
      </c>
      <c r="H100" s="7" t="s">
        <v>270</v>
      </c>
      <c r="I100" s="15">
        <v>0</v>
      </c>
      <c r="K100" s="7" t="s">
        <v>56</v>
      </c>
      <c r="L100" s="7" t="s">
        <v>45</v>
      </c>
      <c r="M100" s="7" t="s">
        <v>258</v>
      </c>
      <c r="N100" s="7" t="s">
        <v>240</v>
      </c>
      <c r="O100" s="9">
        <v>46196</v>
      </c>
      <c r="P100" s="7" t="s">
        <v>38</v>
      </c>
      <c r="Q100" s="7">
        <v>100</v>
      </c>
      <c r="U100" s="7">
        <v>0</v>
      </c>
      <c r="V100" s="7">
        <v>1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</row>
    <row r="101" spans="1:32">
      <c r="A101" s="7">
        <v>100</v>
      </c>
      <c r="B101" s="7" t="s">
        <v>271</v>
      </c>
      <c r="C101" s="7" t="s">
        <v>67</v>
      </c>
      <c r="E101" s="7" t="s">
        <v>68</v>
      </c>
      <c r="F101" s="9">
        <v>46371</v>
      </c>
      <c r="G101" s="9">
        <v>46371</v>
      </c>
      <c r="H101" s="7">
        <v>99</v>
      </c>
      <c r="I101" s="15">
        <v>0</v>
      </c>
      <c r="K101" s="7" t="s">
        <v>56</v>
      </c>
      <c r="L101" s="7" t="s">
        <v>45</v>
      </c>
      <c r="M101" s="7" t="s">
        <v>258</v>
      </c>
      <c r="N101" s="7" t="s">
        <v>215</v>
      </c>
      <c r="O101" s="9">
        <v>46197</v>
      </c>
      <c r="P101" s="7" t="s">
        <v>38</v>
      </c>
      <c r="Q101" s="7">
        <v>101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</row>
    <row r="102" spans="1:32">
      <c r="A102" s="7">
        <v>101</v>
      </c>
      <c r="B102" s="7" t="s">
        <v>272</v>
      </c>
      <c r="C102" s="7" t="s">
        <v>72</v>
      </c>
      <c r="E102" s="7" t="s">
        <v>63</v>
      </c>
      <c r="F102" s="9">
        <v>46372</v>
      </c>
      <c r="G102" s="9">
        <v>46373</v>
      </c>
      <c r="H102" s="7">
        <v>100</v>
      </c>
      <c r="I102" s="15">
        <v>0</v>
      </c>
      <c r="K102" s="7" t="s">
        <v>56</v>
      </c>
      <c r="L102" s="7" t="s">
        <v>45</v>
      </c>
      <c r="M102" s="7" t="s">
        <v>258</v>
      </c>
      <c r="N102" s="7" t="s">
        <v>151</v>
      </c>
      <c r="O102" s="9">
        <v>46199</v>
      </c>
      <c r="P102" s="7" t="s">
        <v>38</v>
      </c>
      <c r="Q102" s="7">
        <v>102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</row>
    <row r="103" spans="1:32">
      <c r="A103" s="7">
        <v>102</v>
      </c>
      <c r="B103" s="7" t="s">
        <v>273</v>
      </c>
      <c r="C103" s="7" t="s">
        <v>77</v>
      </c>
      <c r="E103" s="7" t="s">
        <v>68</v>
      </c>
      <c r="F103" s="9">
        <v>46374</v>
      </c>
      <c r="G103" s="9">
        <v>46374</v>
      </c>
      <c r="H103" s="7">
        <v>101</v>
      </c>
      <c r="I103" s="15">
        <v>0</v>
      </c>
      <c r="K103" s="7" t="s">
        <v>56</v>
      </c>
      <c r="L103" s="7" t="s">
        <v>45</v>
      </c>
      <c r="M103" s="7" t="s">
        <v>258</v>
      </c>
      <c r="N103" s="7" t="s">
        <v>274</v>
      </c>
      <c r="O103" s="9">
        <v>46202</v>
      </c>
      <c r="P103" s="7" t="s">
        <v>38</v>
      </c>
      <c r="U103" s="7">
        <v>0</v>
      </c>
      <c r="V103" s="7">
        <v>0</v>
      </c>
      <c r="W103" s="7">
        <v>0</v>
      </c>
      <c r="X103" s="7">
        <v>0</v>
      </c>
      <c r="Y103" s="7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</row>
    <row r="104" spans="1:32">
      <c r="A104" s="7">
        <v>103</v>
      </c>
      <c r="B104" s="7" t="s">
        <v>275</v>
      </c>
      <c r="C104" s="7" t="s">
        <v>276</v>
      </c>
      <c r="E104" s="7" t="s">
        <v>277</v>
      </c>
      <c r="F104" s="9">
        <v>46170</v>
      </c>
      <c r="G104" s="9">
        <v>46349</v>
      </c>
      <c r="I104" s="15">
        <v>0.18</v>
      </c>
      <c r="K104" s="7" t="s">
        <v>56</v>
      </c>
      <c r="L104" s="7" t="s">
        <v>45</v>
      </c>
      <c r="M104" s="7" t="s">
        <v>278</v>
      </c>
      <c r="N104" s="7" t="s">
        <v>159</v>
      </c>
      <c r="O104" s="9">
        <v>46211</v>
      </c>
      <c r="P104" s="7" t="s">
        <v>38</v>
      </c>
      <c r="U104" s="7">
        <v>0.18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</row>
    <row r="105" spans="1:32">
      <c r="A105" s="7">
        <v>104</v>
      </c>
      <c r="B105" s="7" t="s">
        <v>279</v>
      </c>
      <c r="C105" s="7" t="s">
        <v>280</v>
      </c>
      <c r="D105" s="7" t="s">
        <v>130</v>
      </c>
      <c r="E105" s="7" t="s">
        <v>155</v>
      </c>
      <c r="F105" s="9">
        <v>46170</v>
      </c>
      <c r="G105" s="9">
        <v>46176</v>
      </c>
      <c r="I105" s="15">
        <v>0.5</v>
      </c>
      <c r="K105" s="7" t="s">
        <v>56</v>
      </c>
      <c r="L105" s="7" t="s">
        <v>45</v>
      </c>
      <c r="M105" s="7" t="s">
        <v>278</v>
      </c>
      <c r="N105" s="7" t="s">
        <v>132</v>
      </c>
      <c r="O105" s="9">
        <v>46192</v>
      </c>
      <c r="P105" s="7" t="s">
        <v>38</v>
      </c>
      <c r="U105" s="7">
        <v>0.5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</row>
    <row r="106" spans="1:32">
      <c r="A106" s="7">
        <v>105</v>
      </c>
      <c r="B106" s="7" t="s">
        <v>281</v>
      </c>
      <c r="C106" s="7" t="s">
        <v>62</v>
      </c>
      <c r="E106" s="7" t="s">
        <v>43</v>
      </c>
      <c r="F106" s="9">
        <v>46170</v>
      </c>
      <c r="G106" s="9">
        <v>46170</v>
      </c>
      <c r="H106" s="7" t="s">
        <v>179</v>
      </c>
      <c r="I106" s="15">
        <v>1</v>
      </c>
      <c r="J106" s="16">
        <v>46170</v>
      </c>
      <c r="K106" s="7" t="s">
        <v>44</v>
      </c>
      <c r="L106" s="7" t="s">
        <v>45</v>
      </c>
      <c r="M106" s="7" t="s">
        <v>278</v>
      </c>
      <c r="N106" s="7" t="s">
        <v>132</v>
      </c>
      <c r="O106" s="9">
        <v>46188</v>
      </c>
      <c r="P106" s="7" t="s">
        <v>38</v>
      </c>
      <c r="Q106" s="7" t="s">
        <v>282</v>
      </c>
      <c r="U106" s="7">
        <v>1</v>
      </c>
      <c r="V106" s="7">
        <v>1</v>
      </c>
      <c r="W106" s="7">
        <v>1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1</v>
      </c>
    </row>
    <row r="107" spans="1:32">
      <c r="A107" s="7">
        <v>106</v>
      </c>
      <c r="B107" s="7" t="s">
        <v>283</v>
      </c>
      <c r="C107" s="7" t="s">
        <v>67</v>
      </c>
      <c r="E107" s="7" t="s">
        <v>68</v>
      </c>
      <c r="F107" s="9">
        <v>46171</v>
      </c>
      <c r="G107" s="9">
        <v>46171</v>
      </c>
      <c r="H107" s="7">
        <v>105</v>
      </c>
      <c r="I107" s="15">
        <v>1</v>
      </c>
      <c r="J107" s="16">
        <v>46171</v>
      </c>
      <c r="K107" s="7" t="s">
        <v>44</v>
      </c>
      <c r="L107" s="7" t="s">
        <v>45</v>
      </c>
      <c r="M107" s="7" t="s">
        <v>278</v>
      </c>
      <c r="N107" s="7" t="s">
        <v>123</v>
      </c>
      <c r="O107" s="9">
        <v>46189</v>
      </c>
      <c r="P107" s="7" t="s">
        <v>38</v>
      </c>
      <c r="Q107" s="7">
        <v>107</v>
      </c>
      <c r="U107" s="7">
        <v>1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</row>
    <row r="108" spans="1:32">
      <c r="A108" s="7">
        <v>107</v>
      </c>
      <c r="B108" s="7" t="s">
        <v>284</v>
      </c>
      <c r="C108" s="7" t="s">
        <v>72</v>
      </c>
      <c r="E108" s="7" t="s">
        <v>63</v>
      </c>
      <c r="F108" s="9">
        <v>46174</v>
      </c>
      <c r="G108" s="9">
        <v>46175</v>
      </c>
      <c r="H108" s="7">
        <v>106</v>
      </c>
      <c r="I108" s="15">
        <v>0.5</v>
      </c>
      <c r="K108" s="7" t="s">
        <v>56</v>
      </c>
      <c r="L108" s="7" t="s">
        <v>45</v>
      </c>
      <c r="M108" s="7" t="s">
        <v>278</v>
      </c>
      <c r="N108" s="7" t="s">
        <v>138</v>
      </c>
      <c r="O108" s="9">
        <v>46191</v>
      </c>
      <c r="P108" s="7" t="s">
        <v>38</v>
      </c>
      <c r="Q108" s="7">
        <v>108</v>
      </c>
      <c r="U108" s="7">
        <v>0.5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</row>
    <row r="109" spans="1:32">
      <c r="A109" s="7">
        <v>108</v>
      </c>
      <c r="B109" s="7" t="s">
        <v>285</v>
      </c>
      <c r="C109" s="7" t="s">
        <v>77</v>
      </c>
      <c r="E109" s="7" t="s">
        <v>68</v>
      </c>
      <c r="F109" s="9">
        <v>46176</v>
      </c>
      <c r="G109" s="9">
        <v>46176</v>
      </c>
      <c r="H109" s="7">
        <v>107</v>
      </c>
      <c r="I109" s="15">
        <v>0</v>
      </c>
      <c r="K109" s="7" t="s">
        <v>56</v>
      </c>
      <c r="L109" s="7" t="s">
        <v>45</v>
      </c>
      <c r="M109" s="7" t="s">
        <v>278</v>
      </c>
      <c r="N109" s="7" t="s">
        <v>140</v>
      </c>
      <c r="O109" s="9">
        <v>46192</v>
      </c>
      <c r="P109" s="7" t="s">
        <v>38</v>
      </c>
      <c r="U109" s="7">
        <v>0</v>
      </c>
      <c r="V109" s="7">
        <v>0</v>
      </c>
      <c r="W109" s="7">
        <v>0</v>
      </c>
      <c r="X109" s="7">
        <v>0</v>
      </c>
      <c r="Y109" s="7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</row>
    <row r="110" spans="1:32">
      <c r="A110" s="7">
        <v>109</v>
      </c>
      <c r="B110" s="7" t="s">
        <v>286</v>
      </c>
      <c r="C110" s="7" t="s">
        <v>287</v>
      </c>
      <c r="D110" s="7" t="s">
        <v>143</v>
      </c>
      <c r="E110" s="7" t="s">
        <v>102</v>
      </c>
      <c r="F110" s="9">
        <v>46339</v>
      </c>
      <c r="G110" s="9">
        <v>46349</v>
      </c>
      <c r="I110" s="15">
        <v>0</v>
      </c>
      <c r="K110" s="7" t="s">
        <v>56</v>
      </c>
      <c r="L110" s="7" t="s">
        <v>45</v>
      </c>
      <c r="M110" s="7" t="s">
        <v>278</v>
      </c>
      <c r="N110" s="7" t="s">
        <v>288</v>
      </c>
      <c r="O110" s="9">
        <v>46174</v>
      </c>
      <c r="P110" s="7" t="s">
        <v>38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</row>
    <row r="111" spans="1:32">
      <c r="A111" s="7">
        <v>110</v>
      </c>
      <c r="B111" s="7" t="s">
        <v>289</v>
      </c>
      <c r="C111" s="7" t="s">
        <v>62</v>
      </c>
      <c r="E111" s="7" t="s">
        <v>85</v>
      </c>
      <c r="F111" s="9">
        <v>46339</v>
      </c>
      <c r="G111" s="9">
        <v>46343</v>
      </c>
      <c r="H111" s="7" t="s">
        <v>290</v>
      </c>
      <c r="I111" s="15">
        <v>0</v>
      </c>
      <c r="K111" s="7" t="s">
        <v>56</v>
      </c>
      <c r="L111" s="7" t="s">
        <v>45</v>
      </c>
      <c r="M111" s="7" t="s">
        <v>278</v>
      </c>
      <c r="N111" s="7" t="s">
        <v>288</v>
      </c>
      <c r="O111" s="9">
        <v>46168</v>
      </c>
      <c r="P111" s="7" t="s">
        <v>38</v>
      </c>
      <c r="Q111" s="7">
        <v>111</v>
      </c>
      <c r="U111" s="7">
        <v>0</v>
      </c>
      <c r="V111" s="7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</row>
    <row r="112" spans="1:32">
      <c r="A112" s="7">
        <v>111</v>
      </c>
      <c r="B112" s="7" t="s">
        <v>291</v>
      </c>
      <c r="C112" s="7" t="s">
        <v>67</v>
      </c>
      <c r="E112" s="7" t="s">
        <v>68</v>
      </c>
      <c r="F112" s="9">
        <v>46344</v>
      </c>
      <c r="G112" s="9">
        <v>46344</v>
      </c>
      <c r="H112" s="7">
        <v>110</v>
      </c>
      <c r="I112" s="15">
        <v>0</v>
      </c>
      <c r="K112" s="7" t="s">
        <v>56</v>
      </c>
      <c r="L112" s="7" t="s">
        <v>45</v>
      </c>
      <c r="M112" s="7" t="s">
        <v>278</v>
      </c>
      <c r="N112" s="7" t="s">
        <v>292</v>
      </c>
      <c r="O112" s="9">
        <v>46169</v>
      </c>
      <c r="P112" s="7" t="s">
        <v>38</v>
      </c>
      <c r="Q112" s="7">
        <v>112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</row>
    <row r="113" spans="1:32">
      <c r="A113" s="7">
        <v>112</v>
      </c>
      <c r="B113" s="7" t="s">
        <v>293</v>
      </c>
      <c r="C113" s="7" t="s">
        <v>72</v>
      </c>
      <c r="E113" s="7" t="s">
        <v>63</v>
      </c>
      <c r="F113" s="9">
        <v>46345</v>
      </c>
      <c r="G113" s="9">
        <v>46346</v>
      </c>
      <c r="H113" s="7">
        <v>111</v>
      </c>
      <c r="I113" s="15">
        <v>0</v>
      </c>
      <c r="K113" s="7" t="s">
        <v>56</v>
      </c>
      <c r="L113" s="7" t="s">
        <v>45</v>
      </c>
      <c r="M113" s="7" t="s">
        <v>278</v>
      </c>
      <c r="N113" s="7" t="s">
        <v>190</v>
      </c>
      <c r="O113" s="9">
        <v>46171</v>
      </c>
      <c r="P113" s="7" t="s">
        <v>38</v>
      </c>
      <c r="Q113" s="7">
        <v>113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</row>
    <row r="114" spans="1:32">
      <c r="A114" s="7">
        <v>113</v>
      </c>
      <c r="B114" s="7" t="s">
        <v>294</v>
      </c>
      <c r="C114" s="7" t="s">
        <v>77</v>
      </c>
      <c r="E114" s="7" t="s">
        <v>68</v>
      </c>
      <c r="F114" s="9">
        <v>46349</v>
      </c>
      <c r="G114" s="9">
        <v>46349</v>
      </c>
      <c r="H114" s="7">
        <v>112</v>
      </c>
      <c r="I114" s="15">
        <v>0</v>
      </c>
      <c r="K114" s="7" t="s">
        <v>56</v>
      </c>
      <c r="L114" s="7" t="s">
        <v>45</v>
      </c>
      <c r="M114" s="7" t="s">
        <v>278</v>
      </c>
      <c r="N114" s="7" t="s">
        <v>295</v>
      </c>
      <c r="O114" s="9">
        <v>46174</v>
      </c>
      <c r="P114" s="7" t="s">
        <v>38</v>
      </c>
      <c r="U114" s="7">
        <v>0</v>
      </c>
      <c r="V114" s="7">
        <v>0</v>
      </c>
      <c r="W114" s="7">
        <v>0</v>
      </c>
      <c r="X114" s="7">
        <v>0</v>
      </c>
      <c r="Y114" s="7">
        <v>1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</row>
    <row r="115" spans="1:32">
      <c r="A115" s="7">
        <v>114</v>
      </c>
      <c r="B115" s="7" t="s">
        <v>296</v>
      </c>
      <c r="C115" s="7" t="s">
        <v>297</v>
      </c>
      <c r="E115" s="7" t="s">
        <v>43</v>
      </c>
      <c r="F115" s="9">
        <v>46269</v>
      </c>
      <c r="G115" s="9">
        <v>46269</v>
      </c>
      <c r="I115" s="15">
        <v>0</v>
      </c>
      <c r="K115" s="7" t="s">
        <v>56</v>
      </c>
      <c r="L115" s="7" t="s">
        <v>45</v>
      </c>
      <c r="M115" s="7" t="s">
        <v>298</v>
      </c>
      <c r="N115" s="7" t="s">
        <v>147</v>
      </c>
      <c r="O115" s="9">
        <v>46211</v>
      </c>
      <c r="P115" s="7" t="s">
        <v>38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</row>
    <row r="116" spans="1:32">
      <c r="A116" s="7">
        <v>115</v>
      </c>
      <c r="B116" s="7" t="s">
        <v>299</v>
      </c>
      <c r="C116" s="7" t="s">
        <v>300</v>
      </c>
      <c r="E116" s="7" t="s">
        <v>43</v>
      </c>
      <c r="F116" s="9">
        <v>46269</v>
      </c>
      <c r="G116" s="9">
        <v>46269</v>
      </c>
      <c r="H116" s="7" t="s">
        <v>301</v>
      </c>
      <c r="I116" s="15">
        <v>0</v>
      </c>
      <c r="K116" s="7" t="s">
        <v>56</v>
      </c>
      <c r="L116" s="7" t="s">
        <v>45</v>
      </c>
      <c r="M116" s="7" t="s">
        <v>298</v>
      </c>
      <c r="N116" s="7" t="s">
        <v>302</v>
      </c>
      <c r="O116" s="9">
        <v>46272</v>
      </c>
      <c r="P116" s="7" t="s">
        <v>38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</row>
  </sheetData>
  <conditionalFormatting sqref="I2:I11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{9848D012-1C89-4D18-85CA-EE553E1DC818}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48D012-1C89-4D18-85CA-EE553E1DC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I2:I116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topLeftCell="A3" workbookViewId="0">
      <selection activeCell="H16" sqref="H16"/>
    </sheetView>
  </sheetViews>
  <sheetFormatPr defaultColWidth="15.85546875" defaultRowHeight="15"/>
  <cols>
    <col min="1" max="1" width="32.140625" bestFit="1" customWidth="1"/>
    <col min="2" max="2" width="16.28515625" style="1" bestFit="1" customWidth="1"/>
    <col min="3" max="3" width="18" style="1" bestFit="1" customWidth="1"/>
    <col min="4" max="4" width="15.140625" style="1" bestFit="1" customWidth="1"/>
    <col min="5" max="5" width="14.42578125" style="1" bestFit="1" customWidth="1"/>
    <col min="6" max="6" width="18" style="1" bestFit="1" customWidth="1"/>
    <col min="7" max="7" width="12.5703125" style="1" bestFit="1" customWidth="1"/>
    <col min="8" max="8" width="7.28515625" style="1" bestFit="1" customWidth="1"/>
    <col min="9" max="16384" width="15.85546875" style="1"/>
  </cols>
  <sheetData>
    <row r="1" spans="1:8">
      <c r="A1" t="s">
        <v>303</v>
      </c>
      <c r="B1" s="1">
        <v>20</v>
      </c>
    </row>
    <row r="2" spans="1:8">
      <c r="A2" t="s">
        <v>304</v>
      </c>
      <c r="B2" s="2">
        <v>0.6</v>
      </c>
    </row>
    <row r="3" spans="1:8" ht="45">
      <c r="A3" t="s">
        <v>12</v>
      </c>
      <c r="B3" s="1" t="s">
        <v>21</v>
      </c>
      <c r="C3" s="1" t="s">
        <v>22</v>
      </c>
      <c r="D3" s="1" t="s">
        <v>305</v>
      </c>
      <c r="E3" s="1" t="s">
        <v>25</v>
      </c>
      <c r="F3" s="1" t="s">
        <v>27</v>
      </c>
      <c r="G3" s="1" t="s">
        <v>29</v>
      </c>
      <c r="H3" s="1" t="s">
        <v>306</v>
      </c>
    </row>
    <row r="4" spans="1:8">
      <c r="A4" t="s">
        <v>278</v>
      </c>
      <c r="B4" s="1">
        <v>2</v>
      </c>
      <c r="C4" s="1">
        <v>1</v>
      </c>
      <c r="D4" s="2">
        <v>0.5</v>
      </c>
      <c r="E4" s="1">
        <v>0</v>
      </c>
      <c r="F4" s="1">
        <v>0</v>
      </c>
      <c r="G4" s="1">
        <v>0</v>
      </c>
      <c r="H4" s="2">
        <v>0</v>
      </c>
    </row>
    <row r="5" spans="1:8">
      <c r="A5" t="s">
        <v>298</v>
      </c>
      <c r="B5" s="1">
        <v>0</v>
      </c>
      <c r="C5" s="1">
        <v>0</v>
      </c>
      <c r="D5" s="2">
        <v>0</v>
      </c>
      <c r="E5" s="1">
        <v>0</v>
      </c>
      <c r="F5" s="1">
        <v>0</v>
      </c>
      <c r="G5" s="1">
        <v>0</v>
      </c>
      <c r="H5" s="2">
        <v>0</v>
      </c>
    </row>
    <row r="6" spans="1:8">
      <c r="A6" t="s">
        <v>98</v>
      </c>
      <c r="B6" s="1">
        <v>2</v>
      </c>
      <c r="C6" s="1">
        <v>1</v>
      </c>
      <c r="D6" s="2">
        <v>0.5</v>
      </c>
      <c r="E6" s="1">
        <v>0</v>
      </c>
      <c r="F6" s="1">
        <v>0</v>
      </c>
      <c r="G6" s="1">
        <v>0</v>
      </c>
      <c r="H6" s="2">
        <v>0</v>
      </c>
    </row>
    <row r="7" spans="1:8">
      <c r="A7" t="s">
        <v>258</v>
      </c>
      <c r="B7" s="1">
        <v>2</v>
      </c>
      <c r="C7" s="1">
        <v>1</v>
      </c>
      <c r="D7" s="2">
        <v>0.5</v>
      </c>
      <c r="E7" s="1">
        <v>0</v>
      </c>
      <c r="F7" s="1">
        <v>0</v>
      </c>
      <c r="G7" s="1">
        <v>0</v>
      </c>
      <c r="H7" s="2">
        <v>0</v>
      </c>
    </row>
    <row r="8" spans="1:8">
      <c r="A8" t="s">
        <v>239</v>
      </c>
      <c r="B8" s="1">
        <v>2</v>
      </c>
      <c r="C8" s="1">
        <v>0</v>
      </c>
      <c r="D8" s="2">
        <v>0</v>
      </c>
      <c r="E8" s="1">
        <v>0</v>
      </c>
      <c r="F8" s="1">
        <v>0</v>
      </c>
      <c r="G8" s="1">
        <v>0</v>
      </c>
      <c r="H8" s="2">
        <v>0</v>
      </c>
    </row>
    <row r="9" spans="1:8">
      <c r="A9" t="s">
        <v>36</v>
      </c>
      <c r="B9" s="1">
        <v>0</v>
      </c>
      <c r="C9" s="1">
        <v>0</v>
      </c>
      <c r="D9" s="2">
        <v>0</v>
      </c>
      <c r="E9" s="1">
        <v>0</v>
      </c>
      <c r="F9" s="1">
        <v>0</v>
      </c>
      <c r="G9" s="1">
        <v>0</v>
      </c>
      <c r="H9" s="2">
        <v>0</v>
      </c>
    </row>
    <row r="10" spans="1:8">
      <c r="A10" t="s">
        <v>174</v>
      </c>
      <c r="B10" s="1">
        <v>2</v>
      </c>
      <c r="C10" s="1">
        <v>1</v>
      </c>
      <c r="D10" s="2">
        <v>0.5</v>
      </c>
      <c r="E10" s="1">
        <v>0</v>
      </c>
      <c r="F10" s="1">
        <v>0</v>
      </c>
      <c r="G10" s="1">
        <v>0</v>
      </c>
      <c r="H10" s="2">
        <v>0</v>
      </c>
    </row>
    <row r="11" spans="1:8">
      <c r="A11" t="s">
        <v>49</v>
      </c>
      <c r="B11" s="1">
        <v>0</v>
      </c>
      <c r="C11" s="1">
        <v>0</v>
      </c>
      <c r="D11" s="2">
        <v>0</v>
      </c>
      <c r="E11" s="1">
        <v>0</v>
      </c>
      <c r="F11" s="1">
        <v>0</v>
      </c>
      <c r="G11" s="1">
        <v>0</v>
      </c>
      <c r="H11" s="2">
        <v>0</v>
      </c>
    </row>
    <row r="12" spans="1:8">
      <c r="A12" t="s">
        <v>57</v>
      </c>
      <c r="B12" s="1">
        <v>2</v>
      </c>
      <c r="C12" s="1">
        <v>2</v>
      </c>
      <c r="D12" s="2">
        <v>1</v>
      </c>
      <c r="E12" s="1">
        <v>0</v>
      </c>
      <c r="F12" s="1">
        <v>0</v>
      </c>
      <c r="G12" s="1">
        <v>0</v>
      </c>
      <c r="H12" s="2">
        <v>0</v>
      </c>
    </row>
    <row r="13" spans="1:8">
      <c r="A13" t="s">
        <v>127</v>
      </c>
      <c r="B13" s="1">
        <v>4</v>
      </c>
      <c r="C13" s="1">
        <v>2</v>
      </c>
      <c r="D13" s="2">
        <v>0.5</v>
      </c>
      <c r="E13" s="1">
        <v>0</v>
      </c>
      <c r="F13" s="1">
        <v>0</v>
      </c>
      <c r="G13" s="1">
        <v>0</v>
      </c>
      <c r="H13" s="2">
        <v>0</v>
      </c>
    </row>
    <row r="14" spans="1:8">
      <c r="A14" t="s">
        <v>198</v>
      </c>
      <c r="B14" s="1">
        <v>4</v>
      </c>
      <c r="C14" s="1">
        <v>1</v>
      </c>
      <c r="D14" s="2">
        <v>0.25</v>
      </c>
      <c r="E14" s="1">
        <v>0</v>
      </c>
      <c r="F14" s="1">
        <v>0</v>
      </c>
      <c r="G14" s="1">
        <v>1</v>
      </c>
      <c r="H14" s="2">
        <v>0.25</v>
      </c>
    </row>
    <row r="15" spans="1:8">
      <c r="A15" s="3" t="s">
        <v>307</v>
      </c>
      <c r="B15" s="4">
        <f>SUBTOTAL(109,Tabela1[Emissão inicial total])</f>
        <v>20</v>
      </c>
      <c r="C15" s="4">
        <f>SUBTOTAL(109,Tabela1[Emissão inicial concluída])</f>
        <v>9</v>
      </c>
      <c r="D15" s="5">
        <f>+Tabela1[[#Totals],[Emissão inicial concluída]]/Tabela1[[#Totals],[Emissão inicial total]]</f>
        <v>0.45</v>
      </c>
      <c r="E15" s="4">
        <f>SUBTOTAL(109,Tabela1[Avaliação do cliente concluída])</f>
        <v>0</v>
      </c>
      <c r="F15" s="4">
        <f>SUBTOTAL(109,Tabela1[Atendimento de comentário concluído])</f>
        <v>0</v>
      </c>
      <c r="G15" s="4">
        <f>SUBTOTAL(109,Tabela1[Aprovação concluída])</f>
        <v>1</v>
      </c>
      <c r="H15" s="5">
        <f>+Tabela1[[#Totals],[Aprovação concluída]]/Tabela1[[#Totals],[Emissão inicial total]]</f>
        <v>0.05</v>
      </c>
    </row>
    <row r="20" spans="1:5" ht="30">
      <c r="A20" t="s">
        <v>12</v>
      </c>
      <c r="B20" s="1" t="s">
        <v>23</v>
      </c>
      <c r="C20" s="1" t="s">
        <v>26</v>
      </c>
      <c r="D20" s="1" t="s">
        <v>28</v>
      </c>
      <c r="E20" s="1" t="s">
        <v>30</v>
      </c>
    </row>
    <row r="21" spans="1:5">
      <c r="A21" t="s">
        <v>278</v>
      </c>
      <c r="B21" s="1">
        <v>0</v>
      </c>
      <c r="C21" s="1">
        <v>0</v>
      </c>
      <c r="D21" s="1">
        <v>0</v>
      </c>
      <c r="E21" s="1">
        <v>0</v>
      </c>
    </row>
    <row r="22" spans="1:5">
      <c r="A22" t="s">
        <v>298</v>
      </c>
      <c r="B22" s="1">
        <v>0</v>
      </c>
      <c r="C22" s="1">
        <v>0</v>
      </c>
      <c r="D22" s="1">
        <v>0</v>
      </c>
      <c r="E22" s="1">
        <v>0</v>
      </c>
    </row>
    <row r="23" spans="1:5">
      <c r="A23" t="s">
        <v>98</v>
      </c>
      <c r="B23" s="1">
        <v>0</v>
      </c>
      <c r="C23" s="1">
        <v>0</v>
      </c>
      <c r="D23" s="1">
        <v>0</v>
      </c>
      <c r="E23" s="1">
        <v>0</v>
      </c>
    </row>
    <row r="24" spans="1:5">
      <c r="A24" t="s">
        <v>258</v>
      </c>
      <c r="B24" s="1">
        <v>0</v>
      </c>
      <c r="C24" s="1">
        <v>0</v>
      </c>
      <c r="D24" s="1">
        <v>0</v>
      </c>
      <c r="E24" s="1">
        <v>0</v>
      </c>
    </row>
    <row r="25" spans="1:5">
      <c r="A25" t="s">
        <v>239</v>
      </c>
      <c r="B25" s="1">
        <v>0</v>
      </c>
      <c r="C25" s="1">
        <v>0</v>
      </c>
      <c r="D25" s="1">
        <v>0</v>
      </c>
      <c r="E25" s="1">
        <v>0</v>
      </c>
    </row>
    <row r="26" spans="1:5">
      <c r="A26" t="s">
        <v>36</v>
      </c>
      <c r="B26" s="1">
        <v>0</v>
      </c>
      <c r="C26" s="1">
        <v>0</v>
      </c>
      <c r="D26" s="1">
        <v>0</v>
      </c>
      <c r="E26" s="1">
        <v>0</v>
      </c>
    </row>
    <row r="27" spans="1:5">
      <c r="A27" t="s">
        <v>174</v>
      </c>
      <c r="B27" s="1">
        <v>0</v>
      </c>
      <c r="C27" s="1">
        <v>0</v>
      </c>
      <c r="D27" s="1">
        <v>0</v>
      </c>
      <c r="E27" s="1">
        <v>0</v>
      </c>
    </row>
    <row r="28" spans="1:5">
      <c r="A28" t="s">
        <v>49</v>
      </c>
      <c r="B28" s="1">
        <v>0</v>
      </c>
      <c r="C28" s="1">
        <v>0</v>
      </c>
      <c r="D28" s="1">
        <v>0</v>
      </c>
      <c r="E28" s="1">
        <v>0</v>
      </c>
    </row>
    <row r="29" spans="1:5">
      <c r="A29" t="s">
        <v>57</v>
      </c>
      <c r="B29" s="1">
        <v>0</v>
      </c>
      <c r="C29" s="1">
        <v>0</v>
      </c>
      <c r="D29" s="1">
        <v>0</v>
      </c>
      <c r="E29" s="1">
        <v>0</v>
      </c>
    </row>
    <row r="30" spans="1:5">
      <c r="A30" t="s">
        <v>127</v>
      </c>
      <c r="B30" s="1">
        <v>0</v>
      </c>
      <c r="C30" s="1">
        <v>0</v>
      </c>
      <c r="D30" s="1">
        <v>0</v>
      </c>
      <c r="E30" s="1">
        <v>0</v>
      </c>
    </row>
    <row r="31" spans="1:5">
      <c r="A31" t="s">
        <v>198</v>
      </c>
      <c r="B31" s="1">
        <v>0</v>
      </c>
      <c r="C31" s="1">
        <v>0</v>
      </c>
      <c r="D31" s="1">
        <v>0</v>
      </c>
      <c r="E31" s="1">
        <v>0</v>
      </c>
    </row>
    <row r="32" spans="1:5">
      <c r="A32" s="3" t="s">
        <v>307</v>
      </c>
      <c r="B32" s="4">
        <f>SUBTOTAL(109,Tabela2[Emissão Inicial Atrasada])</f>
        <v>0</v>
      </c>
      <c r="C32" s="4">
        <f>SUBTOTAL(109,Tabela2[Avaliação Cliente Atrasada])</f>
        <v>0</v>
      </c>
      <c r="D32" s="4">
        <f>SUBTOTAL(109,Tabela2[Atendimento Atrasado])</f>
        <v>0</v>
      </c>
      <c r="E32" s="4">
        <f>SUBTOTAL(109,Tabela2[Aprovação Atrasada])</f>
        <v>0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7"/>
  <sheetViews>
    <sheetView topLeftCell="A18" workbookViewId="0">
      <selection activeCell="W67" sqref="W67"/>
    </sheetView>
  </sheetViews>
  <sheetFormatPr defaultColWidth="14.85546875" defaultRowHeight="15"/>
  <cols>
    <col min="1" max="1" width="14.85546875" style="9"/>
    <col min="2" max="12" width="14.85546875" style="7"/>
    <col min="13" max="13" width="14.85546875" style="15"/>
    <col min="14" max="16384" width="14.85546875" style="7"/>
  </cols>
  <sheetData>
    <row r="1" spans="1:15" ht="45">
      <c r="A1" s="8" t="s">
        <v>308</v>
      </c>
      <c r="B1" s="6" t="s">
        <v>309</v>
      </c>
      <c r="C1" s="6" t="s">
        <v>310</v>
      </c>
      <c r="D1" s="6" t="s">
        <v>311</v>
      </c>
      <c r="E1" s="6" t="s">
        <v>312</v>
      </c>
      <c r="F1" s="6" t="s">
        <v>313</v>
      </c>
      <c r="G1" s="6" t="s">
        <v>314</v>
      </c>
      <c r="H1" s="6" t="s">
        <v>315</v>
      </c>
      <c r="I1" s="6" t="s">
        <v>316</v>
      </c>
      <c r="J1" s="6" t="s">
        <v>317</v>
      </c>
      <c r="K1" s="6" t="s">
        <v>318</v>
      </c>
      <c r="L1" s="6" t="s">
        <v>319</v>
      </c>
      <c r="M1" s="12" t="s">
        <v>320</v>
      </c>
      <c r="N1" s="6" t="s">
        <v>321</v>
      </c>
      <c r="O1" s="6" t="s">
        <v>322</v>
      </c>
    </row>
    <row r="2" spans="1:15">
      <c r="A2" s="8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12">
        <v>0</v>
      </c>
      <c r="K2" s="12">
        <v>0</v>
      </c>
      <c r="L2" s="6">
        <v>0</v>
      </c>
      <c r="M2" s="12">
        <v>0</v>
      </c>
      <c r="N2" s="12">
        <v>0</v>
      </c>
      <c r="O2" s="6">
        <v>0</v>
      </c>
    </row>
    <row r="3" spans="1:15">
      <c r="A3" s="8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12">
        <v>0</v>
      </c>
      <c r="K3" s="12">
        <v>0</v>
      </c>
      <c r="L3" s="6">
        <v>0</v>
      </c>
      <c r="M3" s="12">
        <v>0</v>
      </c>
      <c r="N3" s="12">
        <v>0</v>
      </c>
      <c r="O3" s="6">
        <v>0</v>
      </c>
    </row>
    <row r="4" spans="1:15">
      <c r="A4" s="8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12">
        <v>0</v>
      </c>
      <c r="K4" s="12">
        <v>0</v>
      </c>
      <c r="L4" s="6">
        <v>0</v>
      </c>
      <c r="M4" s="12">
        <v>0</v>
      </c>
      <c r="N4" s="12">
        <v>0</v>
      </c>
      <c r="O4" s="6">
        <v>0</v>
      </c>
    </row>
    <row r="5" spans="1:15">
      <c r="A5" s="8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12">
        <v>0</v>
      </c>
      <c r="K5" s="12">
        <v>0</v>
      </c>
      <c r="L5" s="6">
        <v>0</v>
      </c>
      <c r="M5" s="12">
        <v>0</v>
      </c>
      <c r="N5" s="12">
        <v>0</v>
      </c>
      <c r="O5" s="6">
        <v>0</v>
      </c>
    </row>
    <row r="6" spans="1:15">
      <c r="A6" s="8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12">
        <v>0</v>
      </c>
      <c r="K6" s="12">
        <v>0</v>
      </c>
      <c r="L6" s="6">
        <v>0</v>
      </c>
      <c r="M6" s="12">
        <v>0</v>
      </c>
      <c r="N6" s="12">
        <v>0</v>
      </c>
      <c r="O6" s="6">
        <v>0</v>
      </c>
    </row>
    <row r="7" spans="1:15">
      <c r="A7" s="8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12">
        <v>0</v>
      </c>
      <c r="K7" s="12">
        <v>0</v>
      </c>
      <c r="L7" s="6">
        <v>0</v>
      </c>
      <c r="M7" s="12">
        <v>0</v>
      </c>
      <c r="N7" s="12">
        <v>0</v>
      </c>
      <c r="O7" s="6">
        <v>0</v>
      </c>
    </row>
    <row r="8" spans="1:15">
      <c r="A8" s="8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12">
        <v>0</v>
      </c>
      <c r="K8" s="12">
        <v>0</v>
      </c>
      <c r="L8" s="6">
        <v>0</v>
      </c>
      <c r="M8" s="12">
        <v>0</v>
      </c>
      <c r="N8" s="12">
        <v>0</v>
      </c>
      <c r="O8" s="6">
        <v>0</v>
      </c>
    </row>
    <row r="9" spans="1:15">
      <c r="A9" s="8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12">
        <v>0</v>
      </c>
      <c r="K9" s="12">
        <v>0</v>
      </c>
      <c r="L9" s="6">
        <v>0</v>
      </c>
      <c r="M9" s="12">
        <v>0</v>
      </c>
      <c r="N9" s="12">
        <v>0</v>
      </c>
      <c r="O9" s="6">
        <v>0</v>
      </c>
    </row>
    <row r="10" spans="1:15">
      <c r="A10" s="8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12">
        <v>0</v>
      </c>
      <c r="K10" s="12">
        <v>0</v>
      </c>
      <c r="L10" s="6">
        <v>0</v>
      </c>
      <c r="M10" s="12">
        <v>0</v>
      </c>
      <c r="N10" s="12">
        <v>0</v>
      </c>
      <c r="O10" s="6">
        <v>0</v>
      </c>
    </row>
    <row r="11" spans="1:15">
      <c r="A11" s="8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12">
        <v>0</v>
      </c>
      <c r="K11" s="12">
        <v>0</v>
      </c>
      <c r="L11" s="6">
        <v>0</v>
      </c>
      <c r="M11" s="12">
        <v>0</v>
      </c>
      <c r="N11" s="12">
        <v>0</v>
      </c>
      <c r="O11" s="6">
        <v>0</v>
      </c>
    </row>
    <row r="12" spans="1:15">
      <c r="A12" s="8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12">
        <v>0</v>
      </c>
      <c r="K12" s="12">
        <v>0</v>
      </c>
      <c r="L12" s="6">
        <v>0</v>
      </c>
      <c r="M12" s="12">
        <v>0</v>
      </c>
      <c r="N12" s="12">
        <v>0</v>
      </c>
      <c r="O12" s="6">
        <v>0</v>
      </c>
    </row>
    <row r="13" spans="1:15">
      <c r="A13" s="8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12">
        <v>0</v>
      </c>
      <c r="K13" s="12">
        <v>0</v>
      </c>
      <c r="L13" s="6">
        <v>0</v>
      </c>
      <c r="M13" s="12">
        <v>0</v>
      </c>
      <c r="N13" s="12">
        <v>0</v>
      </c>
      <c r="O13" s="6">
        <v>0</v>
      </c>
    </row>
    <row r="14" spans="1:15">
      <c r="A14" s="8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12">
        <v>0</v>
      </c>
      <c r="K14" s="12">
        <v>0</v>
      </c>
      <c r="L14" s="6">
        <v>0</v>
      </c>
      <c r="M14" s="12">
        <v>0</v>
      </c>
      <c r="N14" s="12">
        <v>0</v>
      </c>
      <c r="O14" s="6">
        <v>0</v>
      </c>
    </row>
    <row r="15" spans="1:15">
      <c r="A15" s="8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12">
        <v>0</v>
      </c>
      <c r="K15" s="12">
        <v>0</v>
      </c>
      <c r="L15" s="6">
        <v>0</v>
      </c>
      <c r="M15" s="12">
        <v>0</v>
      </c>
      <c r="N15" s="12">
        <v>0</v>
      </c>
      <c r="O15" s="6">
        <v>0</v>
      </c>
    </row>
    <row r="16" spans="1:15">
      <c r="A16" s="8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12">
        <v>0</v>
      </c>
      <c r="K16" s="12">
        <v>0</v>
      </c>
      <c r="L16" s="6">
        <v>0</v>
      </c>
      <c r="M16" s="12">
        <v>0</v>
      </c>
      <c r="N16" s="12">
        <v>0</v>
      </c>
      <c r="O16" s="6">
        <v>0</v>
      </c>
    </row>
    <row r="17" spans="1:15">
      <c r="A17" s="8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12">
        <v>0</v>
      </c>
      <c r="K17" s="12">
        <v>0</v>
      </c>
      <c r="L17" s="6">
        <v>0</v>
      </c>
      <c r="M17" s="12">
        <v>0</v>
      </c>
      <c r="N17" s="12">
        <v>0</v>
      </c>
      <c r="O17" s="6">
        <v>0</v>
      </c>
    </row>
    <row r="18" spans="1:15">
      <c r="A18" s="8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12">
        <v>0</v>
      </c>
      <c r="K18" s="12">
        <v>0</v>
      </c>
      <c r="L18" s="6">
        <v>0</v>
      </c>
      <c r="M18" s="12">
        <v>0</v>
      </c>
      <c r="N18" s="12">
        <v>0</v>
      </c>
      <c r="O18" s="6">
        <v>0</v>
      </c>
    </row>
    <row r="19" spans="1:15">
      <c r="A19" s="8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12">
        <v>0</v>
      </c>
      <c r="K19" s="12">
        <v>0</v>
      </c>
      <c r="L19" s="6">
        <v>0</v>
      </c>
      <c r="M19" s="12">
        <v>0</v>
      </c>
      <c r="N19" s="12">
        <v>0</v>
      </c>
      <c r="O19" s="6">
        <v>0</v>
      </c>
    </row>
    <row r="20" spans="1:15">
      <c r="A20" s="8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12">
        <v>0</v>
      </c>
      <c r="K20" s="12">
        <v>0</v>
      </c>
      <c r="L20" s="6">
        <v>0</v>
      </c>
      <c r="M20" s="12">
        <v>0</v>
      </c>
      <c r="N20" s="12">
        <v>0</v>
      </c>
      <c r="O20" s="6">
        <v>0</v>
      </c>
    </row>
    <row r="21" spans="1:15">
      <c r="A21" s="8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12">
        <v>0</v>
      </c>
      <c r="K21" s="12">
        <v>0</v>
      </c>
      <c r="L21" s="6">
        <v>0</v>
      </c>
      <c r="M21" s="12">
        <v>0</v>
      </c>
      <c r="N21" s="12">
        <v>0</v>
      </c>
      <c r="O21" s="6">
        <v>0</v>
      </c>
    </row>
    <row r="22" spans="1:15">
      <c r="A22" s="8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12">
        <v>0</v>
      </c>
      <c r="K22" s="12">
        <v>0</v>
      </c>
      <c r="L22" s="6">
        <v>0</v>
      </c>
      <c r="M22" s="12">
        <v>0</v>
      </c>
      <c r="N22" s="12">
        <v>0</v>
      </c>
      <c r="O22" s="6">
        <v>0</v>
      </c>
    </row>
    <row r="23" spans="1:15">
      <c r="A23" s="8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12">
        <v>0</v>
      </c>
      <c r="K23" s="12">
        <v>0</v>
      </c>
      <c r="L23" s="6">
        <v>0</v>
      </c>
      <c r="M23" s="12">
        <v>0</v>
      </c>
      <c r="N23" s="12">
        <v>0</v>
      </c>
      <c r="O23" s="6">
        <v>0</v>
      </c>
    </row>
    <row r="24" spans="1:15">
      <c r="A24" s="8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12">
        <v>0</v>
      </c>
      <c r="K24" s="12">
        <v>0</v>
      </c>
      <c r="L24" s="6">
        <v>0</v>
      </c>
      <c r="M24" s="12">
        <v>0</v>
      </c>
      <c r="N24" s="12">
        <v>0</v>
      </c>
      <c r="O24" s="6">
        <v>0</v>
      </c>
    </row>
    <row r="25" spans="1:15">
      <c r="A25" s="8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12">
        <v>0</v>
      </c>
      <c r="K25" s="12">
        <v>0</v>
      </c>
      <c r="L25" s="6">
        <v>0</v>
      </c>
      <c r="M25" s="12">
        <v>0</v>
      </c>
      <c r="N25" s="12">
        <v>0</v>
      </c>
      <c r="O25" s="6">
        <v>0</v>
      </c>
    </row>
    <row r="26" spans="1:15">
      <c r="A26" s="8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12">
        <v>0</v>
      </c>
      <c r="K26" s="12">
        <v>0</v>
      </c>
      <c r="L26" s="6">
        <v>0</v>
      </c>
      <c r="M26" s="12">
        <v>0</v>
      </c>
      <c r="N26" s="12">
        <v>0</v>
      </c>
      <c r="O26" s="6">
        <v>0</v>
      </c>
    </row>
    <row r="27" spans="1:15">
      <c r="A27" s="8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12">
        <v>0</v>
      </c>
      <c r="K27" s="12">
        <v>0</v>
      </c>
      <c r="L27" s="6">
        <v>0</v>
      </c>
      <c r="M27" s="12">
        <v>0</v>
      </c>
      <c r="N27" s="12">
        <v>0</v>
      </c>
      <c r="O27" s="6">
        <v>0</v>
      </c>
    </row>
    <row r="28" spans="1:15">
      <c r="A28" s="8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12">
        <v>0</v>
      </c>
      <c r="K28" s="12">
        <v>0</v>
      </c>
      <c r="L28" s="6">
        <v>0</v>
      </c>
      <c r="M28" s="12">
        <v>0</v>
      </c>
      <c r="N28" s="12">
        <v>0</v>
      </c>
      <c r="O28" s="6">
        <v>0</v>
      </c>
    </row>
    <row r="29" spans="1:15">
      <c r="A29" s="8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12">
        <v>0</v>
      </c>
      <c r="K29" s="12">
        <v>0</v>
      </c>
      <c r="L29" s="6">
        <v>0</v>
      </c>
      <c r="M29" s="12">
        <v>0</v>
      </c>
      <c r="N29" s="12">
        <v>0</v>
      </c>
      <c r="O29" s="6">
        <v>0</v>
      </c>
    </row>
    <row r="30" spans="1:15">
      <c r="A30" s="8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12">
        <v>0</v>
      </c>
      <c r="K30" s="12">
        <v>0</v>
      </c>
      <c r="L30" s="6">
        <v>0</v>
      </c>
      <c r="M30" s="12">
        <v>0</v>
      </c>
      <c r="N30" s="12">
        <v>0</v>
      </c>
      <c r="O30" s="6">
        <v>0</v>
      </c>
    </row>
    <row r="31" spans="1:15">
      <c r="A31" s="8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12">
        <v>0</v>
      </c>
      <c r="K31" s="12">
        <v>0</v>
      </c>
      <c r="L31" s="6">
        <v>0</v>
      </c>
      <c r="M31" s="12">
        <v>0</v>
      </c>
      <c r="N31" s="12">
        <v>0</v>
      </c>
      <c r="O31" s="6">
        <v>0</v>
      </c>
    </row>
    <row r="32" spans="1:15">
      <c r="A32" s="8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12">
        <v>0</v>
      </c>
      <c r="K32" s="12">
        <v>0</v>
      </c>
      <c r="L32" s="6">
        <v>0</v>
      </c>
      <c r="M32" s="12">
        <v>0</v>
      </c>
      <c r="N32" s="12">
        <v>0</v>
      </c>
      <c r="O32" s="6">
        <v>0</v>
      </c>
    </row>
    <row r="33" spans="1:15">
      <c r="A33" s="8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12">
        <v>0</v>
      </c>
      <c r="K33" s="12">
        <v>0</v>
      </c>
      <c r="L33" s="6">
        <v>0</v>
      </c>
      <c r="M33" s="12">
        <v>0</v>
      </c>
      <c r="N33" s="12">
        <v>0</v>
      </c>
      <c r="O33" s="6">
        <v>0</v>
      </c>
    </row>
    <row r="34" spans="1:15">
      <c r="A34" s="8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12">
        <v>0</v>
      </c>
      <c r="K34" s="12">
        <v>0</v>
      </c>
      <c r="L34" s="6">
        <v>0</v>
      </c>
      <c r="M34" s="12">
        <v>0</v>
      </c>
      <c r="N34" s="12">
        <v>0</v>
      </c>
      <c r="O34" s="6">
        <v>0</v>
      </c>
    </row>
    <row r="35" spans="1:15">
      <c r="A35" s="8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12">
        <v>0</v>
      </c>
      <c r="K35" s="12">
        <v>0</v>
      </c>
      <c r="L35" s="6">
        <v>0</v>
      </c>
      <c r="M35" s="12">
        <v>0</v>
      </c>
      <c r="N35" s="12">
        <v>0</v>
      </c>
      <c r="O35" s="6">
        <v>0</v>
      </c>
    </row>
    <row r="36" spans="1:15">
      <c r="A36" s="8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12">
        <v>0</v>
      </c>
      <c r="K36" s="12">
        <v>0</v>
      </c>
      <c r="L36" s="6">
        <v>0</v>
      </c>
      <c r="M36" s="12">
        <v>0</v>
      </c>
      <c r="N36" s="12">
        <v>0</v>
      </c>
      <c r="O36" s="6">
        <v>0</v>
      </c>
    </row>
    <row r="37" spans="1:15">
      <c r="A37" s="8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12">
        <v>0</v>
      </c>
      <c r="K37" s="12">
        <v>0</v>
      </c>
      <c r="L37" s="6">
        <v>0</v>
      </c>
      <c r="M37" s="12">
        <v>0</v>
      </c>
      <c r="N37" s="12">
        <v>0</v>
      </c>
      <c r="O37" s="6">
        <v>0</v>
      </c>
    </row>
    <row r="38" spans="1:15">
      <c r="A38" s="8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12">
        <v>0</v>
      </c>
      <c r="K38" s="12">
        <v>0</v>
      </c>
      <c r="L38" s="6">
        <v>0</v>
      </c>
      <c r="M38" s="12">
        <v>0</v>
      </c>
      <c r="N38" s="12">
        <v>0</v>
      </c>
      <c r="O38" s="6">
        <v>0</v>
      </c>
    </row>
    <row r="39" spans="1:15">
      <c r="A39" s="8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12">
        <v>0</v>
      </c>
      <c r="K39" s="12">
        <v>0</v>
      </c>
      <c r="L39" s="6">
        <v>0</v>
      </c>
      <c r="M39" s="12">
        <v>0</v>
      </c>
      <c r="N39" s="12">
        <v>0</v>
      </c>
      <c r="O39" s="6">
        <v>0</v>
      </c>
    </row>
    <row r="40" spans="1:15">
      <c r="A40" s="8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12">
        <v>0</v>
      </c>
      <c r="K40" s="12">
        <v>0</v>
      </c>
      <c r="L40" s="6">
        <v>0</v>
      </c>
      <c r="M40" s="12">
        <v>0</v>
      </c>
      <c r="N40" s="12">
        <v>0</v>
      </c>
      <c r="O40" s="6">
        <v>0</v>
      </c>
    </row>
    <row r="41" spans="1:15">
      <c r="A41" s="8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12">
        <v>0</v>
      </c>
      <c r="K41" s="12">
        <v>0</v>
      </c>
      <c r="L41" s="6">
        <v>0</v>
      </c>
      <c r="M41" s="12">
        <v>0</v>
      </c>
      <c r="N41" s="12">
        <v>0</v>
      </c>
      <c r="O41" s="6">
        <v>0</v>
      </c>
    </row>
    <row r="42" spans="1:15">
      <c r="A42" s="8">
        <v>46141</v>
      </c>
      <c r="B42" s="6">
        <v>2</v>
      </c>
      <c r="C42" s="6">
        <v>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12">
        <v>0.1</v>
      </c>
      <c r="K42" s="12">
        <v>0</v>
      </c>
      <c r="L42" s="6">
        <v>-1</v>
      </c>
      <c r="M42" s="12">
        <v>0</v>
      </c>
      <c r="N42" s="12">
        <v>0</v>
      </c>
      <c r="O42" s="6">
        <v>0</v>
      </c>
    </row>
    <row r="43" spans="1:15">
      <c r="A43" s="8">
        <v>46142</v>
      </c>
      <c r="B43" s="6">
        <v>0</v>
      </c>
      <c r="C43" s="6">
        <v>2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12">
        <v>0.1</v>
      </c>
      <c r="K43" s="12">
        <v>0</v>
      </c>
      <c r="L43" s="6">
        <v>-1</v>
      </c>
      <c r="M43" s="12">
        <v>0</v>
      </c>
      <c r="N43" s="12">
        <v>0</v>
      </c>
      <c r="O43" s="6">
        <v>0</v>
      </c>
    </row>
    <row r="44" spans="1:15">
      <c r="A44" s="8">
        <v>46143</v>
      </c>
      <c r="B44" s="6">
        <v>0</v>
      </c>
      <c r="C44" s="6">
        <v>2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12">
        <v>0.1</v>
      </c>
      <c r="K44" s="12">
        <v>0</v>
      </c>
      <c r="L44" s="6">
        <v>-1</v>
      </c>
      <c r="M44" s="12">
        <v>0</v>
      </c>
      <c r="N44" s="12">
        <v>0</v>
      </c>
      <c r="O44" s="6">
        <v>0</v>
      </c>
    </row>
    <row r="45" spans="1:15">
      <c r="A45" s="8">
        <v>46144</v>
      </c>
      <c r="B45" s="6">
        <v>0</v>
      </c>
      <c r="C45" s="6">
        <v>2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12">
        <v>0.1</v>
      </c>
      <c r="K45" s="12">
        <v>0</v>
      </c>
      <c r="L45" s="6">
        <v>-1</v>
      </c>
      <c r="M45" s="12">
        <v>0</v>
      </c>
      <c r="N45" s="12">
        <v>0</v>
      </c>
      <c r="O45" s="6">
        <v>0</v>
      </c>
    </row>
    <row r="46" spans="1:15">
      <c r="A46" s="8">
        <v>46145</v>
      </c>
      <c r="B46" s="6">
        <v>0</v>
      </c>
      <c r="C46" s="6">
        <v>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12">
        <v>0.1</v>
      </c>
      <c r="K46" s="12">
        <v>0</v>
      </c>
      <c r="L46" s="6">
        <v>-1</v>
      </c>
      <c r="M46" s="12">
        <v>0</v>
      </c>
      <c r="N46" s="12">
        <v>0</v>
      </c>
      <c r="O46" s="6">
        <v>0</v>
      </c>
    </row>
    <row r="47" spans="1:15">
      <c r="A47" s="8">
        <v>46146</v>
      </c>
      <c r="B47" s="6">
        <v>1</v>
      </c>
      <c r="C47" s="6">
        <v>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12">
        <v>0.15</v>
      </c>
      <c r="K47" s="12">
        <v>0</v>
      </c>
      <c r="L47" s="6">
        <v>-1</v>
      </c>
      <c r="M47" s="12">
        <v>0</v>
      </c>
      <c r="N47" s="12">
        <v>0</v>
      </c>
      <c r="O47" s="6">
        <v>0</v>
      </c>
    </row>
    <row r="48" spans="1:15">
      <c r="A48" s="8">
        <v>46147</v>
      </c>
      <c r="B48" s="6">
        <v>0</v>
      </c>
      <c r="C48" s="6">
        <v>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12">
        <v>0.15</v>
      </c>
      <c r="K48" s="12">
        <v>0</v>
      </c>
      <c r="L48" s="6">
        <v>-1</v>
      </c>
      <c r="M48" s="12">
        <v>0</v>
      </c>
      <c r="N48" s="12">
        <v>0</v>
      </c>
      <c r="O48" s="6">
        <v>0</v>
      </c>
    </row>
    <row r="49" spans="1:15">
      <c r="A49" s="8">
        <v>46148</v>
      </c>
      <c r="B49" s="6">
        <v>0</v>
      </c>
      <c r="C49" s="6">
        <v>3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12">
        <v>0.15</v>
      </c>
      <c r="K49" s="12">
        <v>0</v>
      </c>
      <c r="L49" s="6">
        <v>-1</v>
      </c>
      <c r="M49" s="12">
        <v>0</v>
      </c>
      <c r="N49" s="12">
        <v>0</v>
      </c>
      <c r="O49" s="6">
        <v>0</v>
      </c>
    </row>
    <row r="50" spans="1:15">
      <c r="A50" s="8">
        <v>46149</v>
      </c>
      <c r="B50" s="6">
        <v>0</v>
      </c>
      <c r="C50" s="6">
        <v>3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12">
        <v>0.15</v>
      </c>
      <c r="K50" s="12">
        <v>0</v>
      </c>
      <c r="L50" s="6">
        <v>-1</v>
      </c>
      <c r="M50" s="12">
        <v>0</v>
      </c>
      <c r="N50" s="12">
        <v>0</v>
      </c>
      <c r="O50" s="6">
        <v>0</v>
      </c>
    </row>
    <row r="51" spans="1:15">
      <c r="A51" s="8">
        <v>46150</v>
      </c>
      <c r="B51" s="6">
        <v>0</v>
      </c>
      <c r="C51" s="6">
        <v>3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12">
        <v>0.15</v>
      </c>
      <c r="K51" s="12">
        <v>0</v>
      </c>
      <c r="L51" s="6">
        <v>-1</v>
      </c>
      <c r="M51" s="12">
        <v>0</v>
      </c>
      <c r="N51" s="12">
        <v>0</v>
      </c>
      <c r="O51" s="6">
        <v>0</v>
      </c>
    </row>
    <row r="52" spans="1:15">
      <c r="A52" s="8">
        <v>46151</v>
      </c>
      <c r="B52" s="6">
        <v>0</v>
      </c>
      <c r="C52" s="6">
        <v>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12">
        <v>0.15</v>
      </c>
      <c r="K52" s="12">
        <v>0</v>
      </c>
      <c r="L52" s="6">
        <v>-1</v>
      </c>
      <c r="M52" s="12">
        <v>0</v>
      </c>
      <c r="N52" s="12">
        <v>0</v>
      </c>
      <c r="O52" s="6">
        <v>0</v>
      </c>
    </row>
    <row r="53" spans="1:15">
      <c r="A53" s="8">
        <v>46152</v>
      </c>
      <c r="B53" s="6">
        <v>0</v>
      </c>
      <c r="C53" s="6">
        <v>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12">
        <v>0.15</v>
      </c>
      <c r="K53" s="12">
        <v>0</v>
      </c>
      <c r="L53" s="6">
        <v>-1</v>
      </c>
      <c r="M53" s="12">
        <v>0</v>
      </c>
      <c r="N53" s="12">
        <v>0</v>
      </c>
      <c r="O53" s="6">
        <v>0</v>
      </c>
    </row>
    <row r="54" spans="1:15">
      <c r="A54" s="8">
        <v>46153</v>
      </c>
      <c r="B54" s="6">
        <v>0</v>
      </c>
      <c r="C54" s="6">
        <v>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12">
        <v>0.15</v>
      </c>
      <c r="K54" s="12">
        <v>0</v>
      </c>
      <c r="L54" s="6">
        <v>-1</v>
      </c>
      <c r="M54" s="12">
        <v>0</v>
      </c>
      <c r="N54" s="12">
        <v>0</v>
      </c>
      <c r="O54" s="6">
        <v>0</v>
      </c>
    </row>
    <row r="55" spans="1:15">
      <c r="A55" s="8">
        <v>46154</v>
      </c>
      <c r="B55" s="6">
        <v>0</v>
      </c>
      <c r="C55" s="6">
        <v>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12">
        <v>0.15</v>
      </c>
      <c r="K55" s="12">
        <v>0</v>
      </c>
      <c r="L55" s="6">
        <v>-1</v>
      </c>
      <c r="M55" s="12">
        <v>0</v>
      </c>
      <c r="N55" s="12">
        <v>0</v>
      </c>
      <c r="O55" s="6">
        <v>0</v>
      </c>
    </row>
    <row r="56" spans="1:15">
      <c r="A56" s="8">
        <v>46155</v>
      </c>
      <c r="B56" s="6">
        <v>0</v>
      </c>
      <c r="C56" s="6">
        <v>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12">
        <v>0.15</v>
      </c>
      <c r="K56" s="12">
        <v>0</v>
      </c>
      <c r="L56" s="6">
        <v>-1</v>
      </c>
      <c r="M56" s="12">
        <v>0</v>
      </c>
      <c r="N56" s="12">
        <v>0</v>
      </c>
      <c r="O56" s="6">
        <v>0</v>
      </c>
    </row>
    <row r="57" spans="1:15">
      <c r="A57" s="8">
        <v>46156</v>
      </c>
      <c r="B57" s="6">
        <v>0</v>
      </c>
      <c r="C57" s="6">
        <v>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12">
        <v>0.15</v>
      </c>
      <c r="K57" s="12">
        <v>0</v>
      </c>
      <c r="L57" s="6">
        <v>-1</v>
      </c>
      <c r="M57" s="12">
        <v>0</v>
      </c>
      <c r="N57" s="12">
        <v>0</v>
      </c>
      <c r="O57" s="6">
        <v>0</v>
      </c>
    </row>
    <row r="58" spans="1:15">
      <c r="A58" s="8">
        <v>46157</v>
      </c>
      <c r="B58" s="6">
        <v>0</v>
      </c>
      <c r="C58" s="6">
        <v>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12">
        <v>0.15</v>
      </c>
      <c r="K58" s="12">
        <v>0</v>
      </c>
      <c r="L58" s="6">
        <v>-1</v>
      </c>
      <c r="M58" s="12">
        <v>0</v>
      </c>
      <c r="N58" s="12">
        <v>0</v>
      </c>
      <c r="O58" s="6">
        <v>0</v>
      </c>
    </row>
    <row r="59" spans="1:15">
      <c r="A59" s="8">
        <v>46158</v>
      </c>
      <c r="B59" s="6">
        <v>0</v>
      </c>
      <c r="C59" s="6">
        <v>3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12">
        <v>0.15</v>
      </c>
      <c r="K59" s="12">
        <v>0</v>
      </c>
      <c r="L59" s="6">
        <v>-1</v>
      </c>
      <c r="M59" s="12">
        <v>0</v>
      </c>
      <c r="N59" s="12">
        <v>0</v>
      </c>
      <c r="O59" s="6">
        <v>0</v>
      </c>
    </row>
    <row r="60" spans="1:15">
      <c r="A60" s="8">
        <v>46159</v>
      </c>
      <c r="B60" s="6">
        <v>0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12">
        <v>0.15</v>
      </c>
      <c r="K60" s="12">
        <v>0</v>
      </c>
      <c r="L60" s="6">
        <v>-1</v>
      </c>
      <c r="M60" s="12">
        <v>0</v>
      </c>
      <c r="N60" s="12">
        <v>0</v>
      </c>
      <c r="O60" s="6">
        <v>0</v>
      </c>
    </row>
    <row r="61" spans="1:15">
      <c r="A61" s="8">
        <v>46160</v>
      </c>
      <c r="B61" s="6">
        <v>0</v>
      </c>
      <c r="C61" s="6">
        <v>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12">
        <v>0.15</v>
      </c>
      <c r="K61" s="12">
        <v>0</v>
      </c>
      <c r="L61" s="6">
        <v>-1</v>
      </c>
      <c r="M61" s="12">
        <v>0</v>
      </c>
      <c r="N61" s="12">
        <v>0</v>
      </c>
      <c r="O61" s="6">
        <v>0</v>
      </c>
    </row>
    <row r="62" spans="1:15">
      <c r="A62" s="8">
        <v>46161</v>
      </c>
      <c r="B62" s="6">
        <v>2</v>
      </c>
      <c r="C62" s="6">
        <v>5</v>
      </c>
      <c r="D62" s="6">
        <v>1</v>
      </c>
      <c r="E62" s="6">
        <v>1</v>
      </c>
      <c r="F62" s="6">
        <v>2</v>
      </c>
      <c r="G62" s="6">
        <v>0</v>
      </c>
      <c r="H62" s="6">
        <v>2</v>
      </c>
      <c r="I62" s="6">
        <v>0</v>
      </c>
      <c r="J62" s="12">
        <v>0.25</v>
      </c>
      <c r="K62" s="12">
        <v>0.05</v>
      </c>
      <c r="L62" s="6">
        <v>-1</v>
      </c>
      <c r="M62" s="12">
        <v>0.1</v>
      </c>
      <c r="N62" s="12">
        <v>0</v>
      </c>
      <c r="O62" s="6">
        <v>-1</v>
      </c>
    </row>
    <row r="63" spans="1:15">
      <c r="A63" s="8">
        <v>46162</v>
      </c>
      <c r="B63" s="6">
        <v>0</v>
      </c>
      <c r="C63" s="6">
        <v>5</v>
      </c>
      <c r="D63" s="6">
        <v>0</v>
      </c>
      <c r="E63" s="6">
        <v>1</v>
      </c>
      <c r="F63" s="6">
        <v>0</v>
      </c>
      <c r="G63" s="6">
        <v>0</v>
      </c>
      <c r="H63" s="6">
        <v>2</v>
      </c>
      <c r="I63" s="6">
        <v>0</v>
      </c>
      <c r="J63" s="12">
        <v>0.25</v>
      </c>
      <c r="K63" s="12">
        <v>0.05</v>
      </c>
      <c r="L63" s="6">
        <v>-1</v>
      </c>
      <c r="M63" s="12">
        <v>0.1</v>
      </c>
      <c r="N63" s="12">
        <v>0</v>
      </c>
      <c r="O63" s="6">
        <v>-1</v>
      </c>
    </row>
    <row r="64" spans="1:15">
      <c r="A64" s="8">
        <v>46163</v>
      </c>
      <c r="B64" s="6">
        <v>0</v>
      </c>
      <c r="C64" s="6">
        <v>5</v>
      </c>
      <c r="D64" s="6">
        <v>0</v>
      </c>
      <c r="E64" s="6">
        <v>1</v>
      </c>
      <c r="F64" s="6">
        <v>0</v>
      </c>
      <c r="G64" s="6">
        <v>0</v>
      </c>
      <c r="H64" s="6">
        <v>2</v>
      </c>
      <c r="I64" s="6">
        <v>0</v>
      </c>
      <c r="J64" s="12">
        <v>0.25</v>
      </c>
      <c r="K64" s="12">
        <v>0.05</v>
      </c>
      <c r="L64" s="6">
        <v>-1</v>
      </c>
      <c r="M64" s="12">
        <v>0.1</v>
      </c>
      <c r="N64" s="12">
        <v>0</v>
      </c>
      <c r="O64" s="6">
        <v>-1</v>
      </c>
    </row>
    <row r="65" spans="1:15">
      <c r="A65" s="8">
        <v>46164</v>
      </c>
      <c r="B65" s="6">
        <v>0</v>
      </c>
      <c r="C65" s="6">
        <v>5</v>
      </c>
      <c r="D65" s="6">
        <v>0</v>
      </c>
      <c r="E65" s="6">
        <v>1</v>
      </c>
      <c r="F65" s="6">
        <v>0</v>
      </c>
      <c r="G65" s="6">
        <v>0</v>
      </c>
      <c r="H65" s="6">
        <v>2</v>
      </c>
      <c r="I65" s="6">
        <v>0</v>
      </c>
      <c r="J65" s="12">
        <v>0.25</v>
      </c>
      <c r="K65" s="12">
        <v>0.05</v>
      </c>
      <c r="L65" s="6">
        <v>-1</v>
      </c>
      <c r="M65" s="12">
        <v>0.1</v>
      </c>
      <c r="N65" s="12">
        <v>0</v>
      </c>
      <c r="O65" s="6">
        <v>-1</v>
      </c>
    </row>
    <row r="66" spans="1:15">
      <c r="A66" s="8">
        <v>46165</v>
      </c>
      <c r="B66" s="6">
        <v>0</v>
      </c>
      <c r="C66" s="6">
        <v>5</v>
      </c>
      <c r="D66" s="6">
        <v>0</v>
      </c>
      <c r="E66" s="6">
        <v>1</v>
      </c>
      <c r="F66" s="6">
        <v>0</v>
      </c>
      <c r="G66" s="6">
        <v>0</v>
      </c>
      <c r="H66" s="6">
        <v>2</v>
      </c>
      <c r="I66" s="6">
        <v>0</v>
      </c>
      <c r="J66" s="12">
        <v>0.25</v>
      </c>
      <c r="K66" s="12">
        <v>0.05</v>
      </c>
      <c r="L66" s="6">
        <v>-1</v>
      </c>
      <c r="M66" s="12">
        <v>0.1</v>
      </c>
      <c r="N66" s="12">
        <v>0</v>
      </c>
      <c r="O66" s="6">
        <v>-1</v>
      </c>
    </row>
    <row r="67" spans="1:15">
      <c r="A67" s="8">
        <v>46166</v>
      </c>
      <c r="B67" s="6">
        <v>0</v>
      </c>
      <c r="C67" s="6">
        <v>5</v>
      </c>
      <c r="D67" s="6">
        <v>0</v>
      </c>
      <c r="E67" s="6">
        <v>1</v>
      </c>
      <c r="F67" s="6">
        <v>0</v>
      </c>
      <c r="G67" s="6">
        <v>0</v>
      </c>
      <c r="H67" s="6">
        <v>2</v>
      </c>
      <c r="I67" s="6">
        <v>0</v>
      </c>
      <c r="J67" s="12">
        <v>0.25</v>
      </c>
      <c r="K67" s="12">
        <v>0.05</v>
      </c>
      <c r="L67" s="6">
        <v>-1</v>
      </c>
      <c r="M67" s="12">
        <v>0.1</v>
      </c>
      <c r="N67" s="12">
        <v>0</v>
      </c>
      <c r="O67" s="6">
        <v>-1</v>
      </c>
    </row>
    <row r="68" spans="1:15">
      <c r="A68" s="8">
        <v>46167</v>
      </c>
      <c r="B68" s="6">
        <v>0</v>
      </c>
      <c r="C68" s="6">
        <v>5</v>
      </c>
      <c r="D68" s="6">
        <v>0</v>
      </c>
      <c r="E68" s="6">
        <v>1</v>
      </c>
      <c r="F68" s="6">
        <v>2</v>
      </c>
      <c r="G68" s="6">
        <v>0</v>
      </c>
      <c r="H68" s="6">
        <v>4</v>
      </c>
      <c r="I68" s="6">
        <v>0</v>
      </c>
      <c r="J68" s="12">
        <v>0.25</v>
      </c>
      <c r="K68" s="12">
        <v>0.05</v>
      </c>
      <c r="L68" s="6">
        <v>-1</v>
      </c>
      <c r="M68" s="12">
        <v>0.2</v>
      </c>
      <c r="N68" s="12">
        <v>0</v>
      </c>
      <c r="O68" s="6">
        <v>-1</v>
      </c>
    </row>
    <row r="69" spans="1:15">
      <c r="A69" s="8">
        <v>46168</v>
      </c>
      <c r="B69" s="6">
        <v>1</v>
      </c>
      <c r="C69" s="6">
        <v>6</v>
      </c>
      <c r="D69" s="6">
        <v>0</v>
      </c>
      <c r="E69" s="6">
        <v>1</v>
      </c>
      <c r="F69" s="6">
        <v>0</v>
      </c>
      <c r="G69" s="6">
        <v>0</v>
      </c>
      <c r="H69" s="6">
        <v>4</v>
      </c>
      <c r="I69" s="6">
        <v>0</v>
      </c>
      <c r="J69" s="12">
        <v>0.3</v>
      </c>
      <c r="K69" s="12">
        <v>0.05</v>
      </c>
      <c r="L69" s="6">
        <v>-1</v>
      </c>
      <c r="M69" s="12">
        <v>0.2</v>
      </c>
      <c r="N69" s="12">
        <v>0</v>
      </c>
      <c r="O69" s="6">
        <v>-1</v>
      </c>
    </row>
    <row r="70" spans="1:15">
      <c r="A70" s="8">
        <v>46169</v>
      </c>
      <c r="B70" s="6">
        <v>1</v>
      </c>
      <c r="C70" s="6">
        <v>7</v>
      </c>
      <c r="D70" s="6">
        <v>0</v>
      </c>
      <c r="E70" s="6">
        <v>1</v>
      </c>
      <c r="F70" s="6">
        <v>0</v>
      </c>
      <c r="G70" s="6">
        <v>0</v>
      </c>
      <c r="H70" s="6">
        <v>4</v>
      </c>
      <c r="I70" s="6">
        <v>0</v>
      </c>
      <c r="J70" s="12">
        <v>0.35</v>
      </c>
      <c r="K70" s="12">
        <v>0.05</v>
      </c>
      <c r="L70" s="6">
        <v>-1</v>
      </c>
      <c r="M70" s="12">
        <v>0.2</v>
      </c>
      <c r="N70" s="12">
        <v>0</v>
      </c>
      <c r="O70" s="6">
        <v>-1</v>
      </c>
    </row>
    <row r="71" spans="1:15">
      <c r="A71" s="8">
        <v>46170</v>
      </c>
      <c r="B71" s="6">
        <v>0</v>
      </c>
      <c r="C71" s="6">
        <v>7</v>
      </c>
      <c r="D71" s="6">
        <v>3</v>
      </c>
      <c r="E71" s="6">
        <v>4</v>
      </c>
      <c r="F71" s="6">
        <v>0</v>
      </c>
      <c r="G71" s="6">
        <v>0</v>
      </c>
      <c r="H71" s="6">
        <v>4</v>
      </c>
      <c r="I71" s="6">
        <v>0</v>
      </c>
      <c r="J71" s="12">
        <v>0.35</v>
      </c>
      <c r="K71" s="12">
        <v>0.2</v>
      </c>
      <c r="L71" s="6">
        <v>-1</v>
      </c>
      <c r="M71" s="12">
        <v>0.2</v>
      </c>
      <c r="N71" s="12">
        <v>0</v>
      </c>
      <c r="O71" s="6">
        <v>-1</v>
      </c>
    </row>
    <row r="72" spans="1:15">
      <c r="A72" s="8">
        <v>46171</v>
      </c>
      <c r="B72" s="6">
        <v>0</v>
      </c>
      <c r="C72" s="6">
        <v>7</v>
      </c>
      <c r="D72" s="6">
        <v>0</v>
      </c>
      <c r="E72" s="6">
        <v>4</v>
      </c>
      <c r="F72" s="6">
        <v>0</v>
      </c>
      <c r="G72" s="6">
        <v>0</v>
      </c>
      <c r="H72" s="6">
        <v>4</v>
      </c>
      <c r="I72" s="6">
        <v>0</v>
      </c>
      <c r="J72" s="12">
        <v>0.35</v>
      </c>
      <c r="K72" s="12">
        <v>0.2</v>
      </c>
      <c r="L72" s="6">
        <v>-1</v>
      </c>
      <c r="M72" s="12">
        <v>0.2</v>
      </c>
      <c r="N72" s="12">
        <v>0</v>
      </c>
      <c r="O72" s="6">
        <v>-1</v>
      </c>
    </row>
    <row r="73" spans="1:15">
      <c r="A73" s="8">
        <v>46172</v>
      </c>
      <c r="B73" s="6">
        <v>0</v>
      </c>
      <c r="C73" s="6">
        <v>7</v>
      </c>
      <c r="D73" s="6">
        <v>0</v>
      </c>
      <c r="E73" s="6">
        <v>4</v>
      </c>
      <c r="F73" s="6">
        <v>0</v>
      </c>
      <c r="G73" s="6">
        <v>0</v>
      </c>
      <c r="H73" s="6">
        <v>4</v>
      </c>
      <c r="I73" s="6">
        <v>0</v>
      </c>
      <c r="J73" s="12">
        <v>0.35</v>
      </c>
      <c r="K73" s="12">
        <v>0.2</v>
      </c>
      <c r="L73" s="6">
        <v>-1</v>
      </c>
      <c r="M73" s="12">
        <v>0.2</v>
      </c>
      <c r="N73" s="12">
        <v>0</v>
      </c>
      <c r="O73" s="6">
        <v>-1</v>
      </c>
    </row>
    <row r="74" spans="1:15">
      <c r="A74" s="8">
        <v>46173</v>
      </c>
      <c r="B74" s="6">
        <v>0</v>
      </c>
      <c r="C74" s="6">
        <v>7</v>
      </c>
      <c r="D74" s="6">
        <v>0</v>
      </c>
      <c r="E74" s="6">
        <v>4</v>
      </c>
      <c r="F74" s="6">
        <v>0</v>
      </c>
      <c r="G74" s="6">
        <v>0</v>
      </c>
      <c r="H74" s="6">
        <v>4</v>
      </c>
      <c r="I74" s="6">
        <v>0</v>
      </c>
      <c r="J74" s="12">
        <v>0.35</v>
      </c>
      <c r="K74" s="12">
        <v>0.2</v>
      </c>
      <c r="L74" s="6">
        <v>-1</v>
      </c>
      <c r="M74" s="12">
        <v>0.2</v>
      </c>
      <c r="N74" s="12">
        <v>0</v>
      </c>
      <c r="O74" s="6">
        <v>-1</v>
      </c>
    </row>
    <row r="75" spans="1:15">
      <c r="A75" s="8">
        <v>46174</v>
      </c>
      <c r="B75" s="6">
        <v>1</v>
      </c>
      <c r="C75" s="6">
        <v>8</v>
      </c>
      <c r="D75" s="6">
        <v>0</v>
      </c>
      <c r="E75" s="6">
        <v>4</v>
      </c>
      <c r="F75" s="6">
        <v>1</v>
      </c>
      <c r="G75" s="6">
        <v>0</v>
      </c>
      <c r="H75" s="6">
        <v>5</v>
      </c>
      <c r="I75" s="6">
        <v>0</v>
      </c>
      <c r="J75" s="12">
        <v>0.4</v>
      </c>
      <c r="K75" s="12">
        <v>0.2</v>
      </c>
      <c r="L75" s="6">
        <v>-1</v>
      </c>
      <c r="M75" s="12">
        <v>0.25</v>
      </c>
      <c r="N75" s="12">
        <v>0</v>
      </c>
      <c r="O75" s="6">
        <v>-1</v>
      </c>
    </row>
    <row r="76" spans="1:15">
      <c r="A76" s="8">
        <v>46175</v>
      </c>
      <c r="B76" s="6">
        <v>0</v>
      </c>
      <c r="C76" s="6">
        <v>8</v>
      </c>
      <c r="D76" s="6">
        <v>1</v>
      </c>
      <c r="E76" s="6">
        <v>5</v>
      </c>
      <c r="F76" s="6">
        <v>1</v>
      </c>
      <c r="G76" s="6">
        <v>0</v>
      </c>
      <c r="H76" s="6">
        <v>6</v>
      </c>
      <c r="I76" s="6">
        <v>0</v>
      </c>
      <c r="J76" s="12">
        <v>0.4</v>
      </c>
      <c r="K76" s="12">
        <v>0.25</v>
      </c>
      <c r="L76" s="6">
        <v>-1</v>
      </c>
      <c r="M76" s="12">
        <v>0.3</v>
      </c>
      <c r="N76" s="12">
        <v>0</v>
      </c>
      <c r="O76" s="6">
        <v>-1</v>
      </c>
    </row>
    <row r="77" spans="1:15">
      <c r="A77" s="8">
        <v>46176</v>
      </c>
      <c r="B77" s="6">
        <v>0</v>
      </c>
      <c r="C77" s="6">
        <v>8</v>
      </c>
      <c r="D77" s="6">
        <v>1</v>
      </c>
      <c r="E77" s="6">
        <v>6</v>
      </c>
      <c r="F77" s="6">
        <v>0</v>
      </c>
      <c r="G77" s="6">
        <v>0</v>
      </c>
      <c r="H77" s="6">
        <v>6</v>
      </c>
      <c r="I77" s="6">
        <v>0</v>
      </c>
      <c r="J77" s="12">
        <v>0.4</v>
      </c>
      <c r="K77" s="12">
        <v>0.3</v>
      </c>
      <c r="L77" s="6">
        <v>-1</v>
      </c>
      <c r="M77" s="12">
        <v>0.3</v>
      </c>
      <c r="N77" s="12">
        <v>0</v>
      </c>
      <c r="O77" s="6">
        <v>-1</v>
      </c>
    </row>
    <row r="78" spans="1:15">
      <c r="A78" s="8">
        <v>46177</v>
      </c>
      <c r="B78" s="6">
        <v>1</v>
      </c>
      <c r="C78" s="6">
        <v>9</v>
      </c>
      <c r="D78" s="6">
        <v>0</v>
      </c>
      <c r="E78" s="6">
        <v>6</v>
      </c>
      <c r="F78" s="6">
        <v>0</v>
      </c>
      <c r="G78" s="6">
        <v>0</v>
      </c>
      <c r="H78" s="6">
        <v>6</v>
      </c>
      <c r="I78" s="6">
        <v>0</v>
      </c>
      <c r="J78" s="12">
        <v>0.45</v>
      </c>
      <c r="K78" s="12">
        <v>0.3</v>
      </c>
      <c r="L78" s="6">
        <v>-1</v>
      </c>
      <c r="M78" s="12">
        <v>0.3</v>
      </c>
      <c r="N78" s="12">
        <v>0</v>
      </c>
      <c r="O78" s="6">
        <v>-1</v>
      </c>
    </row>
    <row r="79" spans="1:15">
      <c r="A79" s="8">
        <v>46178</v>
      </c>
      <c r="B79" s="6">
        <v>0</v>
      </c>
      <c r="C79" s="6">
        <v>9</v>
      </c>
      <c r="D79" s="6">
        <v>1</v>
      </c>
      <c r="E79" s="6">
        <v>7</v>
      </c>
      <c r="F79" s="6">
        <v>1</v>
      </c>
      <c r="G79" s="6">
        <v>0</v>
      </c>
      <c r="H79" s="6">
        <v>7</v>
      </c>
      <c r="I79" s="6">
        <v>0</v>
      </c>
      <c r="J79" s="12">
        <v>0.45</v>
      </c>
      <c r="K79" s="12">
        <v>0.35</v>
      </c>
      <c r="L79" s="6">
        <v>-1</v>
      </c>
      <c r="M79" s="12">
        <v>0.35</v>
      </c>
      <c r="N79" s="12">
        <v>0</v>
      </c>
      <c r="O79" s="6">
        <v>-1</v>
      </c>
    </row>
    <row r="80" spans="1:15">
      <c r="A80" s="8">
        <v>46179</v>
      </c>
      <c r="B80" s="6">
        <v>0</v>
      </c>
      <c r="C80" s="6">
        <v>9</v>
      </c>
      <c r="D80" s="6">
        <v>0</v>
      </c>
      <c r="E80" s="6">
        <v>7</v>
      </c>
      <c r="F80" s="6">
        <v>0</v>
      </c>
      <c r="G80" s="6">
        <v>0</v>
      </c>
      <c r="H80" s="6">
        <v>7</v>
      </c>
      <c r="I80" s="6">
        <v>0</v>
      </c>
      <c r="J80" s="12">
        <v>0.45</v>
      </c>
      <c r="K80" s="12">
        <v>0.35</v>
      </c>
      <c r="L80" s="6">
        <v>-1</v>
      </c>
      <c r="M80" s="12">
        <v>0.35</v>
      </c>
      <c r="N80" s="12">
        <v>0</v>
      </c>
      <c r="O80" s="6">
        <v>-1</v>
      </c>
    </row>
    <row r="81" spans="1:15">
      <c r="A81" s="8">
        <v>46180</v>
      </c>
      <c r="B81" s="6">
        <v>0</v>
      </c>
      <c r="C81" s="6">
        <v>9</v>
      </c>
      <c r="D81" s="6">
        <v>0</v>
      </c>
      <c r="E81" s="6">
        <v>7</v>
      </c>
      <c r="F81" s="6">
        <v>0</v>
      </c>
      <c r="G81" s="6">
        <v>0</v>
      </c>
      <c r="H81" s="6">
        <v>7</v>
      </c>
      <c r="I81" s="6">
        <v>0</v>
      </c>
      <c r="J81" s="12">
        <v>0.45</v>
      </c>
      <c r="K81" s="12">
        <v>0.35</v>
      </c>
      <c r="L81" s="6">
        <v>-1</v>
      </c>
      <c r="M81" s="12">
        <v>0.35</v>
      </c>
      <c r="N81" s="12">
        <v>0</v>
      </c>
      <c r="O81" s="6">
        <v>-1</v>
      </c>
    </row>
    <row r="82" spans="1:15">
      <c r="A82" s="8">
        <v>46181</v>
      </c>
      <c r="B82" s="6">
        <v>0</v>
      </c>
      <c r="C82" s="6">
        <v>9</v>
      </c>
      <c r="D82" s="6">
        <v>0</v>
      </c>
      <c r="E82" s="6">
        <v>7</v>
      </c>
      <c r="F82" s="6">
        <v>0</v>
      </c>
      <c r="G82" s="6">
        <v>0</v>
      </c>
      <c r="H82" s="6">
        <v>7</v>
      </c>
      <c r="I82" s="6">
        <v>0</v>
      </c>
      <c r="J82" s="12">
        <v>0.45</v>
      </c>
      <c r="K82" s="12">
        <v>0.35</v>
      </c>
      <c r="L82" s="6">
        <v>-1</v>
      </c>
      <c r="M82" s="12">
        <v>0.35</v>
      </c>
      <c r="N82" s="12">
        <v>0</v>
      </c>
      <c r="O82" s="6">
        <v>-1</v>
      </c>
    </row>
    <row r="83" spans="1:15">
      <c r="A83" s="8">
        <v>46182</v>
      </c>
      <c r="B83" s="6">
        <v>0</v>
      </c>
      <c r="C83" s="6">
        <v>9</v>
      </c>
      <c r="D83" s="6">
        <v>0</v>
      </c>
      <c r="E83" s="6">
        <v>7</v>
      </c>
      <c r="F83" s="6">
        <v>0</v>
      </c>
      <c r="G83" s="6">
        <v>0</v>
      </c>
      <c r="H83" s="6">
        <v>7</v>
      </c>
      <c r="I83" s="6">
        <v>0</v>
      </c>
      <c r="J83" s="12">
        <v>0.45</v>
      </c>
      <c r="K83" s="12">
        <v>0.35</v>
      </c>
      <c r="L83" s="6">
        <v>-1</v>
      </c>
      <c r="M83" s="12">
        <v>0.35</v>
      </c>
      <c r="N83" s="12">
        <v>0</v>
      </c>
      <c r="O83" s="6">
        <v>-1</v>
      </c>
    </row>
    <row r="84" spans="1:15">
      <c r="A84" s="8">
        <v>46183</v>
      </c>
      <c r="B84" s="6">
        <v>0</v>
      </c>
      <c r="C84" s="6">
        <v>9</v>
      </c>
      <c r="D84" s="6">
        <v>0</v>
      </c>
      <c r="E84" s="6">
        <v>7</v>
      </c>
      <c r="F84" s="6">
        <v>1</v>
      </c>
      <c r="G84" s="6">
        <v>0</v>
      </c>
      <c r="H84" s="6">
        <v>8</v>
      </c>
      <c r="I84" s="6">
        <v>0</v>
      </c>
      <c r="J84" s="12">
        <v>0.45</v>
      </c>
      <c r="K84" s="12">
        <v>0.35</v>
      </c>
      <c r="L84" s="6">
        <v>-1</v>
      </c>
      <c r="M84" s="12">
        <v>0.4</v>
      </c>
      <c r="N84" s="12">
        <v>0</v>
      </c>
      <c r="O84" s="6">
        <v>-1</v>
      </c>
    </row>
    <row r="85" spans="1:15">
      <c r="A85" s="8">
        <v>46184</v>
      </c>
      <c r="B85" s="6">
        <v>0</v>
      </c>
      <c r="C85" s="6">
        <v>9</v>
      </c>
      <c r="D85" s="6">
        <v>0</v>
      </c>
      <c r="E85" s="6">
        <v>7</v>
      </c>
      <c r="F85" s="6">
        <v>0</v>
      </c>
      <c r="G85" s="6">
        <v>0</v>
      </c>
      <c r="H85" s="6">
        <v>8</v>
      </c>
      <c r="I85" s="6">
        <v>0</v>
      </c>
      <c r="J85" s="12">
        <v>0.45</v>
      </c>
      <c r="K85" s="12">
        <v>0.35</v>
      </c>
      <c r="L85" s="6">
        <v>-1</v>
      </c>
      <c r="M85" s="12">
        <v>0.4</v>
      </c>
      <c r="N85" s="12">
        <v>0</v>
      </c>
      <c r="O85" s="6">
        <v>-1</v>
      </c>
    </row>
    <row r="86" spans="1:15">
      <c r="A86" s="8">
        <v>46185</v>
      </c>
      <c r="B86" s="6">
        <v>0</v>
      </c>
      <c r="C86" s="6">
        <v>9</v>
      </c>
      <c r="D86" s="6">
        <v>1</v>
      </c>
      <c r="E86" s="6">
        <v>8</v>
      </c>
      <c r="F86" s="6">
        <v>0</v>
      </c>
      <c r="G86" s="6">
        <v>0</v>
      </c>
      <c r="H86" s="6">
        <v>8</v>
      </c>
      <c r="I86" s="6">
        <v>0</v>
      </c>
      <c r="J86" s="12">
        <v>0.45</v>
      </c>
      <c r="K86" s="12">
        <v>0.4</v>
      </c>
      <c r="L86" s="6">
        <v>-1</v>
      </c>
      <c r="M86" s="12">
        <v>0.4</v>
      </c>
      <c r="N86" s="12">
        <v>0</v>
      </c>
      <c r="O86" s="6">
        <v>-1</v>
      </c>
    </row>
    <row r="87" spans="1:15">
      <c r="A87" s="8">
        <v>46186</v>
      </c>
      <c r="B87" s="6">
        <v>0</v>
      </c>
      <c r="C87" s="6">
        <v>9</v>
      </c>
      <c r="D87" s="6">
        <v>0</v>
      </c>
      <c r="E87" s="6">
        <v>8</v>
      </c>
      <c r="F87" s="6">
        <v>0</v>
      </c>
      <c r="G87" s="6">
        <v>0</v>
      </c>
      <c r="H87" s="6">
        <v>8</v>
      </c>
      <c r="I87" s="6">
        <v>0</v>
      </c>
      <c r="J87" s="12">
        <v>0.45</v>
      </c>
      <c r="K87" s="12">
        <v>0.4</v>
      </c>
      <c r="L87" s="6">
        <v>-1</v>
      </c>
      <c r="M87" s="12">
        <v>0.4</v>
      </c>
      <c r="N87" s="12">
        <v>0</v>
      </c>
      <c r="O87" s="6">
        <v>-1</v>
      </c>
    </row>
    <row r="88" spans="1:15">
      <c r="A88" s="8">
        <v>46187</v>
      </c>
      <c r="B88" s="6">
        <v>0</v>
      </c>
      <c r="C88" s="6">
        <v>9</v>
      </c>
      <c r="D88" s="6">
        <v>0</v>
      </c>
      <c r="E88" s="6">
        <v>8</v>
      </c>
      <c r="F88" s="6">
        <v>0</v>
      </c>
      <c r="G88" s="6">
        <v>0</v>
      </c>
      <c r="H88" s="6">
        <v>8</v>
      </c>
      <c r="I88" s="6">
        <v>0</v>
      </c>
      <c r="J88" s="12">
        <v>0.45</v>
      </c>
      <c r="K88" s="12">
        <v>0.4</v>
      </c>
      <c r="L88" s="6">
        <v>-1</v>
      </c>
      <c r="M88" s="12">
        <v>0.4</v>
      </c>
      <c r="N88" s="12">
        <v>0</v>
      </c>
      <c r="O88" s="6">
        <v>-1</v>
      </c>
    </row>
    <row r="89" spans="1:15">
      <c r="A89" s="8">
        <v>46188</v>
      </c>
      <c r="B89" s="6">
        <v>6</v>
      </c>
      <c r="C89" s="6">
        <v>15</v>
      </c>
      <c r="D89" s="6">
        <v>1</v>
      </c>
      <c r="E89" s="6">
        <v>9</v>
      </c>
      <c r="F89" s="6">
        <v>0</v>
      </c>
      <c r="G89" s="6">
        <v>0</v>
      </c>
      <c r="H89" s="6">
        <v>8</v>
      </c>
      <c r="I89" s="6">
        <v>0</v>
      </c>
      <c r="J89" s="12">
        <v>0.75</v>
      </c>
      <c r="K89" s="12">
        <v>0.45</v>
      </c>
      <c r="L89" s="6">
        <v>-1</v>
      </c>
      <c r="M89" s="12">
        <v>0.4</v>
      </c>
      <c r="N89" s="12">
        <v>0</v>
      </c>
      <c r="O89" s="6">
        <v>-1</v>
      </c>
    </row>
    <row r="90" spans="1:15">
      <c r="A90" s="8">
        <v>46189</v>
      </c>
      <c r="B90" s="6">
        <v>0</v>
      </c>
      <c r="C90" s="6">
        <v>15</v>
      </c>
      <c r="D90" s="6">
        <v>0</v>
      </c>
      <c r="E90" s="6">
        <v>9</v>
      </c>
      <c r="F90" s="6">
        <v>1</v>
      </c>
      <c r="G90" s="6">
        <v>0</v>
      </c>
      <c r="H90" s="6">
        <v>9</v>
      </c>
      <c r="I90" s="6">
        <v>0</v>
      </c>
      <c r="J90" s="12">
        <v>0.75</v>
      </c>
      <c r="K90" s="12">
        <v>0.45</v>
      </c>
      <c r="L90" s="6">
        <v>-1</v>
      </c>
      <c r="M90" s="12">
        <v>0.45</v>
      </c>
      <c r="N90" s="12">
        <v>0</v>
      </c>
      <c r="O90" s="6">
        <v>-1</v>
      </c>
    </row>
    <row r="91" spans="1:15">
      <c r="A91" s="8">
        <v>46190</v>
      </c>
      <c r="B91" s="6">
        <v>0</v>
      </c>
      <c r="C91" s="6">
        <v>15</v>
      </c>
      <c r="D91" s="6">
        <v>0</v>
      </c>
      <c r="E91" s="6">
        <v>9</v>
      </c>
      <c r="F91" s="6">
        <v>0</v>
      </c>
      <c r="G91" s="6">
        <v>0</v>
      </c>
      <c r="H91" s="6">
        <v>9</v>
      </c>
      <c r="I91" s="6">
        <v>0</v>
      </c>
      <c r="J91" s="12">
        <v>0.75</v>
      </c>
      <c r="K91" s="12">
        <v>0.45</v>
      </c>
      <c r="L91" s="6">
        <v>-1</v>
      </c>
      <c r="M91" s="12">
        <v>0.45</v>
      </c>
      <c r="N91" s="12">
        <v>0</v>
      </c>
      <c r="O91" s="6">
        <v>-1</v>
      </c>
    </row>
    <row r="92" spans="1:15">
      <c r="A92" s="10">
        <v>46191</v>
      </c>
      <c r="B92" s="11">
        <v>0</v>
      </c>
      <c r="C92" s="11">
        <v>15</v>
      </c>
      <c r="D92" s="11">
        <v>0</v>
      </c>
      <c r="E92" s="11">
        <v>9</v>
      </c>
      <c r="F92" s="11">
        <v>0</v>
      </c>
      <c r="G92" s="11">
        <v>1</v>
      </c>
      <c r="H92" s="11">
        <v>9</v>
      </c>
      <c r="I92" s="11">
        <v>1</v>
      </c>
      <c r="J92" s="13">
        <v>0.75</v>
      </c>
      <c r="K92" s="13">
        <v>0.45</v>
      </c>
      <c r="L92" s="11">
        <v>-1</v>
      </c>
      <c r="M92" s="13">
        <v>0.45</v>
      </c>
      <c r="N92" s="13">
        <v>0.05</v>
      </c>
      <c r="O92" s="11">
        <v>-1</v>
      </c>
    </row>
    <row r="93" spans="1:15">
      <c r="A93" s="8">
        <v>46192</v>
      </c>
      <c r="B93" s="6">
        <v>2</v>
      </c>
      <c r="C93" s="6">
        <v>17</v>
      </c>
      <c r="D93" s="6">
        <v>0</v>
      </c>
      <c r="E93" s="6"/>
      <c r="F93" s="6">
        <v>6</v>
      </c>
      <c r="G93" s="6">
        <v>0</v>
      </c>
      <c r="H93" s="6">
        <v>15</v>
      </c>
      <c r="I93" s="6"/>
      <c r="J93" s="12">
        <v>0.85</v>
      </c>
      <c r="K93" s="12">
        <v>0.45</v>
      </c>
      <c r="L93" s="6">
        <v>-1</v>
      </c>
      <c r="M93" s="12">
        <v>0.75</v>
      </c>
      <c r="N93" s="12">
        <v>0.05</v>
      </c>
      <c r="O93" s="6">
        <v>-1</v>
      </c>
    </row>
    <row r="94" spans="1:15">
      <c r="A94" s="8">
        <v>46193</v>
      </c>
      <c r="B94" s="6">
        <v>0</v>
      </c>
      <c r="C94" s="6">
        <v>17</v>
      </c>
      <c r="D94" s="6">
        <v>0</v>
      </c>
      <c r="E94" s="6"/>
      <c r="F94" s="6">
        <v>0</v>
      </c>
      <c r="G94" s="6">
        <v>0</v>
      </c>
      <c r="H94" s="6">
        <v>15</v>
      </c>
      <c r="I94" s="6"/>
      <c r="J94" s="12">
        <v>0.85</v>
      </c>
      <c r="K94" s="12">
        <v>0.45</v>
      </c>
      <c r="L94" s="6">
        <v>-1</v>
      </c>
      <c r="M94" s="12">
        <v>0.75</v>
      </c>
      <c r="N94" s="12">
        <v>0.05</v>
      </c>
      <c r="O94" s="6">
        <v>-1</v>
      </c>
    </row>
    <row r="95" spans="1:15">
      <c r="A95" s="8">
        <v>46194</v>
      </c>
      <c r="B95" s="6">
        <v>0</v>
      </c>
      <c r="C95" s="6">
        <v>17</v>
      </c>
      <c r="D95" s="6">
        <v>0</v>
      </c>
      <c r="E95" s="6"/>
      <c r="F95" s="6">
        <v>0</v>
      </c>
      <c r="G95" s="6">
        <v>0</v>
      </c>
      <c r="H95" s="6">
        <v>15</v>
      </c>
      <c r="I95" s="6"/>
      <c r="J95" s="12">
        <v>0.85</v>
      </c>
      <c r="K95" s="12">
        <v>0.45</v>
      </c>
      <c r="L95" s="6">
        <v>-1</v>
      </c>
      <c r="M95" s="12">
        <v>0.75</v>
      </c>
      <c r="N95" s="12">
        <v>0.05</v>
      </c>
      <c r="O95" s="6">
        <v>-1</v>
      </c>
    </row>
    <row r="96" spans="1:15">
      <c r="A96" s="8">
        <v>46195</v>
      </c>
      <c r="B96" s="6">
        <v>1</v>
      </c>
      <c r="C96" s="6">
        <v>18</v>
      </c>
      <c r="D96" s="6">
        <v>0</v>
      </c>
      <c r="E96" s="6"/>
      <c r="F96" s="6">
        <v>0</v>
      </c>
      <c r="G96" s="6">
        <v>0</v>
      </c>
      <c r="H96" s="6">
        <v>15</v>
      </c>
      <c r="I96" s="6"/>
      <c r="J96" s="12">
        <v>0.9</v>
      </c>
      <c r="K96" s="12">
        <v>0.45</v>
      </c>
      <c r="L96" s="6">
        <v>-1</v>
      </c>
      <c r="M96" s="12">
        <v>0.75</v>
      </c>
      <c r="N96" s="12">
        <v>0.05</v>
      </c>
      <c r="O96" s="6">
        <v>-1</v>
      </c>
    </row>
    <row r="97" spans="1:15">
      <c r="A97" s="8">
        <v>46196</v>
      </c>
      <c r="B97" s="6">
        <v>1</v>
      </c>
      <c r="C97" s="6">
        <v>19</v>
      </c>
      <c r="D97" s="6">
        <v>0</v>
      </c>
      <c r="E97" s="6"/>
      <c r="F97" s="6">
        <v>0</v>
      </c>
      <c r="G97" s="6">
        <v>0</v>
      </c>
      <c r="H97" s="6">
        <v>15</v>
      </c>
      <c r="I97" s="6"/>
      <c r="J97" s="12">
        <v>0.95</v>
      </c>
      <c r="K97" s="12">
        <v>0.45</v>
      </c>
      <c r="L97" s="6">
        <v>-1</v>
      </c>
      <c r="M97" s="12">
        <v>0.75</v>
      </c>
      <c r="N97" s="12">
        <v>0.05</v>
      </c>
      <c r="O97" s="6">
        <v>-1</v>
      </c>
    </row>
    <row r="98" spans="1:15">
      <c r="A98" s="8">
        <v>46197</v>
      </c>
      <c r="B98" s="6">
        <v>0</v>
      </c>
      <c r="C98" s="6">
        <v>19</v>
      </c>
      <c r="D98" s="6">
        <v>0</v>
      </c>
      <c r="E98" s="6"/>
      <c r="F98" s="6">
        <v>0</v>
      </c>
      <c r="G98" s="6">
        <v>0</v>
      </c>
      <c r="H98" s="6">
        <v>15</v>
      </c>
      <c r="I98" s="6"/>
      <c r="J98" s="12">
        <v>0.95</v>
      </c>
      <c r="K98" s="12">
        <v>0.45</v>
      </c>
      <c r="L98" s="6">
        <v>-1</v>
      </c>
      <c r="M98" s="12">
        <v>0.75</v>
      </c>
      <c r="N98" s="12">
        <v>0.05</v>
      </c>
      <c r="O98" s="6">
        <v>-1</v>
      </c>
    </row>
    <row r="99" spans="1:15">
      <c r="A99" s="8">
        <v>46198</v>
      </c>
      <c r="B99" s="6">
        <v>0</v>
      </c>
      <c r="C99" s="6">
        <v>19</v>
      </c>
      <c r="D99" s="6">
        <v>0</v>
      </c>
      <c r="E99" s="6"/>
      <c r="F99" s="6">
        <v>2</v>
      </c>
      <c r="G99" s="6">
        <v>0</v>
      </c>
      <c r="H99" s="6">
        <v>17</v>
      </c>
      <c r="I99" s="6"/>
      <c r="J99" s="12">
        <v>0.95</v>
      </c>
      <c r="K99" s="12">
        <v>0.45</v>
      </c>
      <c r="L99" s="6">
        <v>-1</v>
      </c>
      <c r="M99" s="12">
        <v>0.85</v>
      </c>
      <c r="N99" s="12">
        <v>0.05</v>
      </c>
      <c r="O99" s="6">
        <v>-1</v>
      </c>
    </row>
    <row r="100" spans="1:15">
      <c r="A100" s="8">
        <v>46199</v>
      </c>
      <c r="B100" s="6">
        <v>0</v>
      </c>
      <c r="C100" s="6">
        <v>19</v>
      </c>
      <c r="D100" s="6">
        <v>0</v>
      </c>
      <c r="E100" s="6"/>
      <c r="F100" s="6">
        <v>1</v>
      </c>
      <c r="G100" s="6">
        <v>0</v>
      </c>
      <c r="H100" s="6">
        <v>18</v>
      </c>
      <c r="I100" s="6"/>
      <c r="J100" s="12">
        <v>0.95</v>
      </c>
      <c r="K100" s="12">
        <v>0.45</v>
      </c>
      <c r="L100" s="6">
        <v>-1</v>
      </c>
      <c r="M100" s="12">
        <v>0.9</v>
      </c>
      <c r="N100" s="12">
        <v>0.05</v>
      </c>
      <c r="O100" s="6">
        <v>-1</v>
      </c>
    </row>
    <row r="101" spans="1:15">
      <c r="A101" s="8">
        <v>46200</v>
      </c>
      <c r="B101" s="6">
        <v>0</v>
      </c>
      <c r="C101" s="6">
        <v>19</v>
      </c>
      <c r="D101" s="6">
        <v>0</v>
      </c>
      <c r="E101" s="6"/>
      <c r="F101" s="6">
        <v>0</v>
      </c>
      <c r="G101" s="6">
        <v>0</v>
      </c>
      <c r="H101" s="6">
        <v>18</v>
      </c>
      <c r="I101" s="6"/>
      <c r="J101" s="12">
        <v>0.95</v>
      </c>
      <c r="K101" s="12">
        <v>0.45</v>
      </c>
      <c r="L101" s="6">
        <v>-1</v>
      </c>
      <c r="M101" s="12">
        <v>0.9</v>
      </c>
      <c r="N101" s="12">
        <v>0.05</v>
      </c>
      <c r="O101" s="6">
        <v>-1</v>
      </c>
    </row>
    <row r="102" spans="1:15">
      <c r="A102" s="8">
        <v>46201</v>
      </c>
      <c r="B102" s="6">
        <v>0</v>
      </c>
      <c r="C102" s="6">
        <v>19</v>
      </c>
      <c r="D102" s="6">
        <v>0</v>
      </c>
      <c r="E102" s="6"/>
      <c r="F102" s="6">
        <v>0</v>
      </c>
      <c r="G102" s="6">
        <v>0</v>
      </c>
      <c r="H102" s="6">
        <v>18</v>
      </c>
      <c r="I102" s="6"/>
      <c r="J102" s="12">
        <v>0.95</v>
      </c>
      <c r="K102" s="12">
        <v>0.45</v>
      </c>
      <c r="L102" s="6">
        <v>-1</v>
      </c>
      <c r="M102" s="12">
        <v>0.9</v>
      </c>
      <c r="N102" s="12">
        <v>0.05</v>
      </c>
      <c r="O102" s="6">
        <v>-1</v>
      </c>
    </row>
    <row r="103" spans="1:15">
      <c r="A103" s="8">
        <v>46202</v>
      </c>
      <c r="B103" s="6">
        <v>0</v>
      </c>
      <c r="C103" s="6">
        <v>19</v>
      </c>
      <c r="D103" s="6">
        <v>0</v>
      </c>
      <c r="E103" s="6"/>
      <c r="F103" s="6">
        <v>1</v>
      </c>
      <c r="G103" s="6">
        <v>0</v>
      </c>
      <c r="H103" s="6">
        <v>19</v>
      </c>
      <c r="I103" s="6"/>
      <c r="J103" s="12">
        <v>0.95</v>
      </c>
      <c r="K103" s="12">
        <v>0.45</v>
      </c>
      <c r="L103" s="6">
        <v>-1</v>
      </c>
      <c r="M103" s="12">
        <v>0.95</v>
      </c>
      <c r="N103" s="12">
        <v>0.05</v>
      </c>
      <c r="O103" s="6">
        <v>-1</v>
      </c>
    </row>
    <row r="104" spans="1:15">
      <c r="A104" s="8">
        <v>46203</v>
      </c>
      <c r="B104" s="6">
        <v>0</v>
      </c>
      <c r="C104" s="6">
        <v>19</v>
      </c>
      <c r="D104" s="6">
        <v>0</v>
      </c>
      <c r="E104" s="6"/>
      <c r="F104" s="6">
        <v>0</v>
      </c>
      <c r="G104" s="6">
        <v>0</v>
      </c>
      <c r="H104" s="6">
        <v>19</v>
      </c>
      <c r="I104" s="6"/>
      <c r="J104" s="12">
        <v>0.95</v>
      </c>
      <c r="K104" s="12">
        <v>0.45</v>
      </c>
      <c r="L104" s="6">
        <v>-1</v>
      </c>
      <c r="M104" s="12">
        <v>0.95</v>
      </c>
      <c r="N104" s="12">
        <v>0.05</v>
      </c>
      <c r="O104" s="6">
        <v>-1</v>
      </c>
    </row>
    <row r="105" spans="1:15">
      <c r="A105" s="8">
        <v>46204</v>
      </c>
      <c r="B105" s="6">
        <v>0</v>
      </c>
      <c r="C105" s="6">
        <v>19</v>
      </c>
      <c r="D105" s="6">
        <v>0</v>
      </c>
      <c r="E105" s="6"/>
      <c r="F105" s="6">
        <v>0</v>
      </c>
      <c r="G105" s="6">
        <v>0</v>
      </c>
      <c r="H105" s="6">
        <v>19</v>
      </c>
      <c r="I105" s="6"/>
      <c r="J105" s="12">
        <v>0.95</v>
      </c>
      <c r="K105" s="12">
        <v>0.45</v>
      </c>
      <c r="L105" s="6">
        <v>-1</v>
      </c>
      <c r="M105" s="12">
        <v>0.95</v>
      </c>
      <c r="N105" s="12">
        <v>0.05</v>
      </c>
      <c r="O105" s="6">
        <v>-1</v>
      </c>
    </row>
    <row r="106" spans="1:15">
      <c r="A106" s="8">
        <v>46205</v>
      </c>
      <c r="B106" s="6">
        <v>0</v>
      </c>
      <c r="C106" s="6">
        <v>19</v>
      </c>
      <c r="D106" s="6">
        <v>0</v>
      </c>
      <c r="E106" s="6"/>
      <c r="F106" s="6">
        <v>0</v>
      </c>
      <c r="G106" s="6">
        <v>0</v>
      </c>
      <c r="H106" s="6">
        <v>19</v>
      </c>
      <c r="I106" s="6"/>
      <c r="J106" s="12">
        <v>0.95</v>
      </c>
      <c r="K106" s="12">
        <v>0.45</v>
      </c>
      <c r="L106" s="6">
        <v>-1</v>
      </c>
      <c r="M106" s="12">
        <v>0.95</v>
      </c>
      <c r="N106" s="12">
        <v>0.05</v>
      </c>
      <c r="O106" s="6">
        <v>-1</v>
      </c>
    </row>
    <row r="107" spans="1:15">
      <c r="A107" s="8">
        <v>46206</v>
      </c>
      <c r="B107" s="6">
        <v>0</v>
      </c>
      <c r="C107" s="6">
        <v>19</v>
      </c>
      <c r="D107" s="6">
        <v>0</v>
      </c>
      <c r="E107" s="6"/>
      <c r="F107" s="6">
        <v>0</v>
      </c>
      <c r="G107" s="6">
        <v>0</v>
      </c>
      <c r="H107" s="6">
        <v>19</v>
      </c>
      <c r="I107" s="6"/>
      <c r="J107" s="12">
        <v>0.95</v>
      </c>
      <c r="K107" s="12">
        <v>0.45</v>
      </c>
      <c r="L107" s="6">
        <v>-1</v>
      </c>
      <c r="M107" s="12">
        <v>0.95</v>
      </c>
      <c r="N107" s="12">
        <v>0.05</v>
      </c>
      <c r="O107" s="6">
        <v>-1</v>
      </c>
    </row>
    <row r="108" spans="1:15">
      <c r="A108" s="8">
        <v>46207</v>
      </c>
      <c r="B108" s="6">
        <v>0</v>
      </c>
      <c r="C108" s="6">
        <v>19</v>
      </c>
      <c r="D108" s="6">
        <v>0</v>
      </c>
      <c r="E108" s="6"/>
      <c r="F108" s="6">
        <v>0</v>
      </c>
      <c r="G108" s="6">
        <v>0</v>
      </c>
      <c r="H108" s="6">
        <v>19</v>
      </c>
      <c r="I108" s="6"/>
      <c r="J108" s="12">
        <v>0.95</v>
      </c>
      <c r="K108" s="12">
        <v>0.45</v>
      </c>
      <c r="L108" s="6">
        <v>-1</v>
      </c>
      <c r="M108" s="12">
        <v>0.95</v>
      </c>
      <c r="N108" s="12">
        <v>0.05</v>
      </c>
      <c r="O108" s="6">
        <v>-1</v>
      </c>
    </row>
    <row r="109" spans="1:15">
      <c r="A109" s="8">
        <v>46208</v>
      </c>
      <c r="B109" s="6">
        <v>0</v>
      </c>
      <c r="C109" s="6">
        <v>19</v>
      </c>
      <c r="D109" s="6">
        <v>0</v>
      </c>
      <c r="E109" s="6"/>
      <c r="F109" s="6">
        <v>0</v>
      </c>
      <c r="G109" s="6">
        <v>0</v>
      </c>
      <c r="H109" s="6">
        <v>19</v>
      </c>
      <c r="I109" s="6"/>
      <c r="J109" s="12">
        <v>0.95</v>
      </c>
      <c r="K109" s="12">
        <v>0.45</v>
      </c>
      <c r="L109" s="6">
        <v>-1</v>
      </c>
      <c r="M109" s="12">
        <v>0.95</v>
      </c>
      <c r="N109" s="12">
        <v>0.05</v>
      </c>
      <c r="O109" s="6">
        <v>-1</v>
      </c>
    </row>
    <row r="110" spans="1:15">
      <c r="A110" s="8">
        <v>46209</v>
      </c>
      <c r="B110" s="6">
        <v>0</v>
      </c>
      <c r="C110" s="6">
        <v>19</v>
      </c>
      <c r="D110" s="6">
        <v>0</v>
      </c>
      <c r="E110" s="6"/>
      <c r="F110" s="6">
        <v>0</v>
      </c>
      <c r="G110" s="6">
        <v>0</v>
      </c>
      <c r="H110" s="6">
        <v>19</v>
      </c>
      <c r="I110" s="6"/>
      <c r="J110" s="12">
        <v>0.95</v>
      </c>
      <c r="K110" s="12">
        <v>0.45</v>
      </c>
      <c r="L110" s="6">
        <v>-1</v>
      </c>
      <c r="M110" s="12">
        <v>0.95</v>
      </c>
      <c r="N110" s="12">
        <v>0.05</v>
      </c>
      <c r="O110" s="6">
        <v>-1</v>
      </c>
    </row>
    <row r="111" spans="1:15">
      <c r="A111" s="8">
        <v>46210</v>
      </c>
      <c r="B111" s="6">
        <v>0</v>
      </c>
      <c r="C111" s="6">
        <v>19</v>
      </c>
      <c r="D111" s="6">
        <v>0</v>
      </c>
      <c r="E111" s="6"/>
      <c r="F111" s="6">
        <v>0</v>
      </c>
      <c r="G111" s="6">
        <v>0</v>
      </c>
      <c r="H111" s="6">
        <v>19</v>
      </c>
      <c r="I111" s="6"/>
      <c r="J111" s="12">
        <v>0.95</v>
      </c>
      <c r="K111" s="12">
        <v>0.45</v>
      </c>
      <c r="L111" s="6">
        <v>-1</v>
      </c>
      <c r="M111" s="12">
        <v>0.95</v>
      </c>
      <c r="N111" s="12">
        <v>0.05</v>
      </c>
      <c r="O111" s="6">
        <v>-1</v>
      </c>
    </row>
    <row r="112" spans="1:15">
      <c r="A112" s="8">
        <v>46211</v>
      </c>
      <c r="B112" s="6">
        <v>0</v>
      </c>
      <c r="C112" s="6">
        <v>19</v>
      </c>
      <c r="D112" s="6">
        <v>0</v>
      </c>
      <c r="E112" s="6"/>
      <c r="F112" s="6">
        <v>0</v>
      </c>
      <c r="G112" s="6">
        <v>0</v>
      </c>
      <c r="H112" s="6">
        <v>19</v>
      </c>
      <c r="I112" s="6"/>
      <c r="J112" s="12">
        <v>0.95</v>
      </c>
      <c r="K112" s="12">
        <v>0.45</v>
      </c>
      <c r="L112" s="6">
        <v>-1</v>
      </c>
      <c r="M112" s="12">
        <v>0.95</v>
      </c>
      <c r="N112" s="12">
        <v>0.05</v>
      </c>
      <c r="O112" s="6">
        <v>-1</v>
      </c>
    </row>
    <row r="113" spans="1:15">
      <c r="A113" s="8">
        <v>46212</v>
      </c>
      <c r="B113" s="6">
        <v>0</v>
      </c>
      <c r="C113" s="6">
        <v>19</v>
      </c>
      <c r="D113" s="6">
        <v>0</v>
      </c>
      <c r="E113" s="6"/>
      <c r="F113" s="6">
        <v>0</v>
      </c>
      <c r="G113" s="6">
        <v>0</v>
      </c>
      <c r="H113" s="6">
        <v>19</v>
      </c>
      <c r="I113" s="6"/>
      <c r="J113" s="12">
        <v>0.95</v>
      </c>
      <c r="K113" s="12">
        <v>0.45</v>
      </c>
      <c r="L113" s="6">
        <v>-1</v>
      </c>
      <c r="M113" s="12">
        <v>0.95</v>
      </c>
      <c r="N113" s="12">
        <v>0.05</v>
      </c>
      <c r="O113" s="6">
        <v>-1</v>
      </c>
    </row>
    <row r="114" spans="1:15">
      <c r="A114" s="8">
        <v>46213</v>
      </c>
      <c r="B114" s="6">
        <v>0</v>
      </c>
      <c r="C114" s="6">
        <v>19</v>
      </c>
      <c r="D114" s="6">
        <v>0</v>
      </c>
      <c r="E114" s="6"/>
      <c r="F114" s="6">
        <v>0</v>
      </c>
      <c r="G114" s="6">
        <v>0</v>
      </c>
      <c r="H114" s="6">
        <v>19</v>
      </c>
      <c r="I114" s="6"/>
      <c r="J114" s="12">
        <v>0.95</v>
      </c>
      <c r="K114" s="12">
        <v>0.45</v>
      </c>
      <c r="L114" s="6">
        <v>-1</v>
      </c>
      <c r="M114" s="12">
        <v>0.95</v>
      </c>
      <c r="N114" s="12">
        <v>0.05</v>
      </c>
      <c r="O114" s="6">
        <v>-1</v>
      </c>
    </row>
    <row r="115" spans="1:15">
      <c r="A115" s="8">
        <v>46214</v>
      </c>
      <c r="B115" s="6">
        <v>0</v>
      </c>
      <c r="C115" s="6">
        <v>19</v>
      </c>
      <c r="D115" s="6">
        <v>0</v>
      </c>
      <c r="E115" s="6"/>
      <c r="F115" s="6">
        <v>0</v>
      </c>
      <c r="G115" s="6">
        <v>0</v>
      </c>
      <c r="H115" s="6">
        <v>19</v>
      </c>
      <c r="I115" s="6"/>
      <c r="J115" s="12">
        <v>0.95</v>
      </c>
      <c r="K115" s="12">
        <v>0.45</v>
      </c>
      <c r="L115" s="6">
        <v>-1</v>
      </c>
      <c r="M115" s="12">
        <v>0.95</v>
      </c>
      <c r="N115" s="12">
        <v>0.05</v>
      </c>
      <c r="O115" s="6">
        <v>-1</v>
      </c>
    </row>
    <row r="116" spans="1:15">
      <c r="A116" s="8">
        <v>46215</v>
      </c>
      <c r="B116" s="6">
        <v>0</v>
      </c>
      <c r="C116" s="6">
        <v>19</v>
      </c>
      <c r="D116" s="6">
        <v>0</v>
      </c>
      <c r="E116" s="6"/>
      <c r="F116" s="6">
        <v>0</v>
      </c>
      <c r="G116" s="6">
        <v>0</v>
      </c>
      <c r="H116" s="6">
        <v>19</v>
      </c>
      <c r="I116" s="6"/>
      <c r="J116" s="12">
        <v>0.95</v>
      </c>
      <c r="K116" s="12">
        <v>0.45</v>
      </c>
      <c r="L116" s="6">
        <v>-1</v>
      </c>
      <c r="M116" s="12">
        <v>0.95</v>
      </c>
      <c r="N116" s="12">
        <v>0.05</v>
      </c>
      <c r="O116" s="6">
        <v>-1</v>
      </c>
    </row>
    <row r="117" spans="1:15">
      <c r="A117" s="8">
        <v>46216</v>
      </c>
      <c r="B117" s="6">
        <v>0</v>
      </c>
      <c r="C117" s="6">
        <v>19</v>
      </c>
      <c r="D117" s="6">
        <v>0</v>
      </c>
      <c r="E117" s="6"/>
      <c r="F117" s="6">
        <v>0</v>
      </c>
      <c r="G117" s="6">
        <v>0</v>
      </c>
      <c r="H117" s="6">
        <v>19</v>
      </c>
      <c r="I117" s="6"/>
      <c r="J117" s="12">
        <v>0.95</v>
      </c>
      <c r="K117" s="12">
        <v>0.45</v>
      </c>
      <c r="L117" s="6">
        <v>-1</v>
      </c>
      <c r="M117" s="12">
        <v>0.95</v>
      </c>
      <c r="N117" s="12">
        <v>0.05</v>
      </c>
      <c r="O117" s="6">
        <v>-1</v>
      </c>
    </row>
    <row r="118" spans="1:15">
      <c r="A118" s="8">
        <v>46217</v>
      </c>
      <c r="B118" s="6">
        <v>0</v>
      </c>
      <c r="C118" s="6">
        <v>19</v>
      </c>
      <c r="D118" s="6">
        <v>0</v>
      </c>
      <c r="E118" s="6"/>
      <c r="F118" s="6">
        <v>0</v>
      </c>
      <c r="G118" s="6">
        <v>0</v>
      </c>
      <c r="H118" s="6">
        <v>19</v>
      </c>
      <c r="I118" s="6"/>
      <c r="J118" s="12">
        <v>0.95</v>
      </c>
      <c r="K118" s="12">
        <v>0.45</v>
      </c>
      <c r="L118" s="6">
        <v>-1</v>
      </c>
      <c r="M118" s="12">
        <v>0.95</v>
      </c>
      <c r="N118" s="12">
        <v>0.05</v>
      </c>
      <c r="O118" s="6">
        <v>-1</v>
      </c>
    </row>
    <row r="119" spans="1:15">
      <c r="A119" s="8">
        <v>46218</v>
      </c>
      <c r="B119" s="6">
        <v>0</v>
      </c>
      <c r="C119" s="6">
        <v>19</v>
      </c>
      <c r="D119" s="6">
        <v>0</v>
      </c>
      <c r="E119" s="6"/>
      <c r="F119" s="6">
        <v>0</v>
      </c>
      <c r="G119" s="6">
        <v>0</v>
      </c>
      <c r="H119" s="6">
        <v>19</v>
      </c>
      <c r="I119" s="6"/>
      <c r="J119" s="12">
        <v>0.95</v>
      </c>
      <c r="K119" s="12">
        <v>0.45</v>
      </c>
      <c r="L119" s="6">
        <v>-1</v>
      </c>
      <c r="M119" s="12">
        <v>0.95</v>
      </c>
      <c r="N119" s="12">
        <v>0.05</v>
      </c>
      <c r="O119" s="6">
        <v>-1</v>
      </c>
    </row>
    <row r="120" spans="1:15">
      <c r="A120" s="8">
        <v>46219</v>
      </c>
      <c r="B120" s="6">
        <v>0</v>
      </c>
      <c r="C120" s="6">
        <v>19</v>
      </c>
      <c r="D120" s="6">
        <v>0</v>
      </c>
      <c r="E120" s="6"/>
      <c r="F120" s="6">
        <v>0</v>
      </c>
      <c r="G120" s="6">
        <v>0</v>
      </c>
      <c r="H120" s="6">
        <v>19</v>
      </c>
      <c r="I120" s="6"/>
      <c r="J120" s="12">
        <v>0.95</v>
      </c>
      <c r="K120" s="12">
        <v>0.45</v>
      </c>
      <c r="L120" s="6">
        <v>-1</v>
      </c>
      <c r="M120" s="12">
        <v>0.95</v>
      </c>
      <c r="N120" s="12">
        <v>0.05</v>
      </c>
      <c r="O120" s="6">
        <v>-1</v>
      </c>
    </row>
    <row r="121" spans="1:15">
      <c r="A121" s="8">
        <v>46220</v>
      </c>
      <c r="B121" s="6">
        <v>0</v>
      </c>
      <c r="C121" s="6">
        <v>19</v>
      </c>
      <c r="D121" s="6">
        <v>0</v>
      </c>
      <c r="E121" s="6"/>
      <c r="F121" s="6">
        <v>0</v>
      </c>
      <c r="G121" s="6">
        <v>0</v>
      </c>
      <c r="H121" s="6">
        <v>19</v>
      </c>
      <c r="I121" s="6"/>
      <c r="J121" s="12">
        <v>0.95</v>
      </c>
      <c r="K121" s="12">
        <v>0.45</v>
      </c>
      <c r="L121" s="6">
        <v>-1</v>
      </c>
      <c r="M121" s="12">
        <v>0.95</v>
      </c>
      <c r="N121" s="12">
        <v>0.05</v>
      </c>
      <c r="O121" s="6">
        <v>-1</v>
      </c>
    </row>
    <row r="122" spans="1:15">
      <c r="A122" s="8">
        <v>46221</v>
      </c>
      <c r="B122" s="6">
        <v>0</v>
      </c>
      <c r="C122" s="6">
        <v>19</v>
      </c>
      <c r="D122" s="6">
        <v>0</v>
      </c>
      <c r="E122" s="6"/>
      <c r="F122" s="6">
        <v>0</v>
      </c>
      <c r="G122" s="6">
        <v>0</v>
      </c>
      <c r="H122" s="6">
        <v>19</v>
      </c>
      <c r="I122" s="6"/>
      <c r="J122" s="12">
        <v>0.95</v>
      </c>
      <c r="K122" s="12">
        <v>0.45</v>
      </c>
      <c r="L122" s="6">
        <v>-1</v>
      </c>
      <c r="M122" s="12">
        <v>0.95</v>
      </c>
      <c r="N122" s="12">
        <v>0.05</v>
      </c>
      <c r="O122" s="6">
        <v>-1</v>
      </c>
    </row>
    <row r="123" spans="1:15">
      <c r="A123" s="8">
        <v>46222</v>
      </c>
      <c r="B123" s="6">
        <v>0</v>
      </c>
      <c r="C123" s="6">
        <v>19</v>
      </c>
      <c r="D123" s="6">
        <v>0</v>
      </c>
      <c r="E123" s="6"/>
      <c r="F123" s="6">
        <v>0</v>
      </c>
      <c r="G123" s="6">
        <v>0</v>
      </c>
      <c r="H123" s="6">
        <v>19</v>
      </c>
      <c r="I123" s="6"/>
      <c r="J123" s="12">
        <v>0.95</v>
      </c>
      <c r="K123" s="12">
        <v>0.45</v>
      </c>
      <c r="L123" s="6">
        <v>-1</v>
      </c>
      <c r="M123" s="12">
        <v>0.95</v>
      </c>
      <c r="N123" s="12">
        <v>0.05</v>
      </c>
      <c r="O123" s="6">
        <v>-1</v>
      </c>
    </row>
    <row r="124" spans="1:15">
      <c r="A124" s="8">
        <v>46223</v>
      </c>
      <c r="B124" s="6">
        <v>0</v>
      </c>
      <c r="C124" s="6">
        <v>19</v>
      </c>
      <c r="D124" s="6">
        <v>0</v>
      </c>
      <c r="E124" s="6"/>
      <c r="F124" s="6">
        <v>0</v>
      </c>
      <c r="G124" s="6">
        <v>0</v>
      </c>
      <c r="H124" s="6">
        <v>19</v>
      </c>
      <c r="I124" s="6"/>
      <c r="J124" s="12">
        <v>0.95</v>
      </c>
      <c r="K124" s="12">
        <v>0.45</v>
      </c>
      <c r="L124" s="6">
        <v>-1</v>
      </c>
      <c r="M124" s="12">
        <v>0.95</v>
      </c>
      <c r="N124" s="12">
        <v>0.05</v>
      </c>
      <c r="O124" s="6">
        <v>-1</v>
      </c>
    </row>
    <row r="125" spans="1:15">
      <c r="A125" s="8">
        <v>46224</v>
      </c>
      <c r="B125" s="6">
        <v>0</v>
      </c>
      <c r="C125" s="6">
        <v>19</v>
      </c>
      <c r="D125" s="6">
        <v>0</v>
      </c>
      <c r="E125" s="6"/>
      <c r="F125" s="6">
        <v>0</v>
      </c>
      <c r="G125" s="6">
        <v>0</v>
      </c>
      <c r="H125" s="6">
        <v>19</v>
      </c>
      <c r="I125" s="6"/>
      <c r="J125" s="12">
        <v>0.95</v>
      </c>
      <c r="K125" s="12">
        <v>0.45</v>
      </c>
      <c r="L125" s="6">
        <v>-1</v>
      </c>
      <c r="M125" s="12">
        <v>0.95</v>
      </c>
      <c r="N125" s="12">
        <v>0.05</v>
      </c>
      <c r="O125" s="6">
        <v>-1</v>
      </c>
    </row>
    <row r="126" spans="1:15">
      <c r="A126" s="8">
        <v>46225</v>
      </c>
      <c r="B126" s="6">
        <v>1</v>
      </c>
      <c r="C126" s="6">
        <v>20</v>
      </c>
      <c r="D126" s="6">
        <v>0</v>
      </c>
      <c r="E126" s="6"/>
      <c r="F126" s="6">
        <v>0</v>
      </c>
      <c r="G126" s="6">
        <v>0</v>
      </c>
      <c r="H126" s="6">
        <v>19</v>
      </c>
      <c r="I126" s="6"/>
      <c r="J126" s="12">
        <v>1</v>
      </c>
      <c r="K126" s="12">
        <v>0.45</v>
      </c>
      <c r="L126" s="6">
        <v>-1</v>
      </c>
      <c r="M126" s="12">
        <v>0.95</v>
      </c>
      <c r="N126" s="12">
        <v>0.05</v>
      </c>
      <c r="O126" s="6">
        <v>-1</v>
      </c>
    </row>
    <row r="127" spans="1:15">
      <c r="A127" s="8">
        <v>46226</v>
      </c>
      <c r="B127" s="6">
        <v>0</v>
      </c>
      <c r="C127" s="6">
        <v>20</v>
      </c>
      <c r="D127" s="6">
        <v>0</v>
      </c>
      <c r="E127" s="6"/>
      <c r="F127" s="6">
        <v>0</v>
      </c>
      <c r="G127" s="6">
        <v>0</v>
      </c>
      <c r="H127" s="6">
        <v>19</v>
      </c>
      <c r="I127" s="6"/>
      <c r="J127" s="12">
        <v>1</v>
      </c>
      <c r="K127" s="12">
        <v>0.45</v>
      </c>
      <c r="L127" s="6">
        <v>-1</v>
      </c>
      <c r="M127" s="12">
        <v>0.95</v>
      </c>
      <c r="N127" s="12">
        <v>0.05</v>
      </c>
      <c r="O127" s="6">
        <v>-1</v>
      </c>
    </row>
    <row r="128" spans="1:15">
      <c r="A128" s="8">
        <v>46227</v>
      </c>
      <c r="B128" s="6">
        <v>0</v>
      </c>
      <c r="C128" s="6">
        <v>20</v>
      </c>
      <c r="D128" s="6">
        <v>0</v>
      </c>
      <c r="E128" s="6"/>
      <c r="F128" s="6">
        <v>0</v>
      </c>
      <c r="G128" s="6">
        <v>0</v>
      </c>
      <c r="H128" s="6">
        <v>19</v>
      </c>
      <c r="I128" s="6"/>
      <c r="J128" s="12">
        <v>1</v>
      </c>
      <c r="K128" s="12">
        <v>0.45</v>
      </c>
      <c r="L128" s="6">
        <v>-1</v>
      </c>
      <c r="M128" s="12">
        <v>0.95</v>
      </c>
      <c r="N128" s="12">
        <v>0.05</v>
      </c>
      <c r="O128" s="6">
        <v>-1</v>
      </c>
    </row>
    <row r="129" spans="1:15">
      <c r="A129" s="8">
        <v>46228</v>
      </c>
      <c r="B129" s="6">
        <v>0</v>
      </c>
      <c r="C129" s="6">
        <v>20</v>
      </c>
      <c r="D129" s="6">
        <v>0</v>
      </c>
      <c r="E129" s="6"/>
      <c r="F129" s="6">
        <v>0</v>
      </c>
      <c r="G129" s="6">
        <v>0</v>
      </c>
      <c r="H129" s="6">
        <v>19</v>
      </c>
      <c r="I129" s="6"/>
      <c r="J129" s="12">
        <v>1</v>
      </c>
      <c r="K129" s="12">
        <v>0.45</v>
      </c>
      <c r="L129" s="6">
        <v>-1</v>
      </c>
      <c r="M129" s="12">
        <v>0.95</v>
      </c>
      <c r="N129" s="12">
        <v>0.05</v>
      </c>
      <c r="O129" s="6">
        <v>-1</v>
      </c>
    </row>
    <row r="130" spans="1:15">
      <c r="A130" s="8">
        <v>46229</v>
      </c>
      <c r="B130" s="6">
        <v>0</v>
      </c>
      <c r="C130" s="6">
        <v>20</v>
      </c>
      <c r="D130" s="6">
        <v>0</v>
      </c>
      <c r="E130" s="6"/>
      <c r="F130" s="6">
        <v>0</v>
      </c>
      <c r="G130" s="6">
        <v>0</v>
      </c>
      <c r="H130" s="6">
        <v>19</v>
      </c>
      <c r="I130" s="6"/>
      <c r="J130" s="12">
        <v>1</v>
      </c>
      <c r="K130" s="12">
        <v>0.45</v>
      </c>
      <c r="L130" s="6">
        <v>-1</v>
      </c>
      <c r="M130" s="12">
        <v>0.95</v>
      </c>
      <c r="N130" s="12">
        <v>0.05</v>
      </c>
      <c r="O130" s="6">
        <v>-1</v>
      </c>
    </row>
    <row r="131" spans="1:15">
      <c r="A131" s="8">
        <v>46230</v>
      </c>
      <c r="B131" s="6">
        <v>0</v>
      </c>
      <c r="C131" s="6">
        <v>20</v>
      </c>
      <c r="D131" s="6">
        <v>0</v>
      </c>
      <c r="E131" s="6"/>
      <c r="F131" s="6">
        <v>0</v>
      </c>
      <c r="G131" s="6">
        <v>0</v>
      </c>
      <c r="H131" s="6">
        <v>19</v>
      </c>
      <c r="I131" s="6"/>
      <c r="J131" s="12">
        <v>1</v>
      </c>
      <c r="K131" s="12">
        <v>0.45</v>
      </c>
      <c r="L131" s="6">
        <v>-1</v>
      </c>
      <c r="M131" s="12">
        <v>0.95</v>
      </c>
      <c r="N131" s="12">
        <v>0.05</v>
      </c>
      <c r="O131" s="6">
        <v>-1</v>
      </c>
    </row>
    <row r="132" spans="1:15">
      <c r="A132" s="8">
        <v>46231</v>
      </c>
      <c r="B132" s="6">
        <v>0</v>
      </c>
      <c r="C132" s="6">
        <v>20</v>
      </c>
      <c r="D132" s="6">
        <v>0</v>
      </c>
      <c r="E132" s="6"/>
      <c r="F132" s="6">
        <v>1</v>
      </c>
      <c r="G132" s="6">
        <v>0</v>
      </c>
      <c r="H132" s="6">
        <v>20</v>
      </c>
      <c r="I132" s="6"/>
      <c r="J132" s="12">
        <v>1</v>
      </c>
      <c r="K132" s="12">
        <v>0.45</v>
      </c>
      <c r="L132" s="6">
        <v>-1</v>
      </c>
      <c r="M132" s="12">
        <v>1</v>
      </c>
      <c r="N132" s="12">
        <v>0.05</v>
      </c>
      <c r="O132" s="6">
        <v>-1</v>
      </c>
    </row>
    <row r="133" spans="1:15">
      <c r="A133" s="8">
        <v>46232</v>
      </c>
      <c r="B133" s="6">
        <v>0</v>
      </c>
      <c r="C133" s="6">
        <v>20</v>
      </c>
      <c r="D133" s="6">
        <v>0</v>
      </c>
      <c r="E133" s="6"/>
      <c r="F133" s="6">
        <v>0</v>
      </c>
      <c r="G133" s="6">
        <v>0</v>
      </c>
      <c r="H133" s="6">
        <v>20</v>
      </c>
      <c r="I133" s="6"/>
      <c r="J133" s="12">
        <v>1</v>
      </c>
      <c r="K133" s="12">
        <v>0.45</v>
      </c>
      <c r="L133" s="6">
        <v>-1</v>
      </c>
      <c r="M133" s="12">
        <v>1</v>
      </c>
      <c r="N133" s="12">
        <v>0.05</v>
      </c>
      <c r="O133" s="6">
        <v>-1</v>
      </c>
    </row>
    <row r="134" spans="1:15">
      <c r="A134" s="8">
        <v>46233</v>
      </c>
      <c r="B134" s="6">
        <v>0</v>
      </c>
      <c r="C134" s="6">
        <v>20</v>
      </c>
      <c r="D134" s="6">
        <v>0</v>
      </c>
      <c r="E134" s="6"/>
      <c r="F134" s="6">
        <v>0</v>
      </c>
      <c r="G134" s="6">
        <v>0</v>
      </c>
      <c r="H134" s="6">
        <v>20</v>
      </c>
      <c r="I134" s="6"/>
      <c r="J134" s="12">
        <v>1</v>
      </c>
      <c r="K134" s="12">
        <v>0.45</v>
      </c>
      <c r="L134" s="6">
        <v>-1</v>
      </c>
      <c r="M134" s="12">
        <v>1</v>
      </c>
      <c r="N134" s="12">
        <v>0.05</v>
      </c>
      <c r="O134" s="6">
        <v>-1</v>
      </c>
    </row>
    <row r="135" spans="1:15">
      <c r="A135" s="8">
        <v>46234</v>
      </c>
      <c r="B135" s="6">
        <v>0</v>
      </c>
      <c r="C135" s="6">
        <v>20</v>
      </c>
      <c r="D135" s="6">
        <v>0</v>
      </c>
      <c r="E135" s="6"/>
      <c r="F135" s="6">
        <v>0</v>
      </c>
      <c r="G135" s="6">
        <v>0</v>
      </c>
      <c r="H135" s="6">
        <v>20</v>
      </c>
      <c r="I135" s="6"/>
      <c r="J135" s="12">
        <v>1</v>
      </c>
      <c r="K135" s="12">
        <v>0.45</v>
      </c>
      <c r="L135" s="6">
        <v>-1</v>
      </c>
      <c r="M135" s="12">
        <v>1</v>
      </c>
      <c r="N135" s="12">
        <v>0.05</v>
      </c>
      <c r="O135" s="6">
        <v>-1</v>
      </c>
    </row>
    <row r="136" spans="1:15">
      <c r="A136" s="8">
        <v>46235</v>
      </c>
      <c r="B136" s="6">
        <v>0</v>
      </c>
      <c r="C136" s="6">
        <v>20</v>
      </c>
      <c r="D136" s="6">
        <v>0</v>
      </c>
      <c r="E136" s="6"/>
      <c r="F136" s="6">
        <v>0</v>
      </c>
      <c r="G136" s="6">
        <v>0</v>
      </c>
      <c r="H136" s="6">
        <v>20</v>
      </c>
      <c r="I136" s="6"/>
      <c r="J136" s="12">
        <v>1</v>
      </c>
      <c r="K136" s="12">
        <v>0.45</v>
      </c>
      <c r="L136" s="6">
        <v>-1</v>
      </c>
      <c r="M136" s="12">
        <v>1</v>
      </c>
      <c r="N136" s="12">
        <v>0.05</v>
      </c>
      <c r="O136" s="6">
        <v>-1</v>
      </c>
    </row>
    <row r="137" spans="1:15">
      <c r="A137" s="8">
        <v>46236</v>
      </c>
      <c r="B137" s="6">
        <v>0</v>
      </c>
      <c r="C137" s="6">
        <v>20</v>
      </c>
      <c r="D137" s="6">
        <v>0</v>
      </c>
      <c r="E137" s="6"/>
      <c r="F137" s="6">
        <v>0</v>
      </c>
      <c r="G137" s="6">
        <v>0</v>
      </c>
      <c r="H137" s="6">
        <v>20</v>
      </c>
      <c r="I137" s="6"/>
      <c r="J137" s="12">
        <v>1</v>
      </c>
      <c r="K137" s="12">
        <v>0.45</v>
      </c>
      <c r="L137" s="6">
        <v>-1</v>
      </c>
      <c r="M137" s="12">
        <v>1</v>
      </c>
      <c r="N137" s="12">
        <v>0.05</v>
      </c>
      <c r="O137" s="6">
        <v>-1</v>
      </c>
    </row>
    <row r="138" spans="1:15">
      <c r="A138" s="8">
        <v>46237</v>
      </c>
      <c r="B138" s="6">
        <v>0</v>
      </c>
      <c r="C138" s="6">
        <v>20</v>
      </c>
      <c r="D138" s="6">
        <v>0</v>
      </c>
      <c r="E138" s="6"/>
      <c r="F138" s="6">
        <v>0</v>
      </c>
      <c r="G138" s="6">
        <v>0</v>
      </c>
      <c r="H138" s="6">
        <v>20</v>
      </c>
      <c r="I138" s="6"/>
      <c r="J138" s="12">
        <v>1</v>
      </c>
      <c r="K138" s="12">
        <v>0.45</v>
      </c>
      <c r="L138" s="6">
        <v>-1</v>
      </c>
      <c r="M138" s="12">
        <v>1</v>
      </c>
      <c r="N138" s="12">
        <v>0.05</v>
      </c>
      <c r="O138" s="6">
        <v>-1</v>
      </c>
    </row>
    <row r="139" spans="1:15">
      <c r="A139" s="8">
        <v>46238</v>
      </c>
      <c r="B139" s="6">
        <v>0</v>
      </c>
      <c r="C139" s="6">
        <v>20</v>
      </c>
      <c r="D139" s="6">
        <v>0</v>
      </c>
      <c r="E139" s="6"/>
      <c r="F139" s="6">
        <v>0</v>
      </c>
      <c r="G139" s="6">
        <v>0</v>
      </c>
      <c r="H139" s="6">
        <v>20</v>
      </c>
      <c r="I139" s="6"/>
      <c r="J139" s="12">
        <v>1</v>
      </c>
      <c r="K139" s="12">
        <v>0.45</v>
      </c>
      <c r="L139" s="6">
        <v>-1</v>
      </c>
      <c r="M139" s="12">
        <v>1</v>
      </c>
      <c r="N139" s="12">
        <v>0.05</v>
      </c>
      <c r="O139" s="6">
        <v>-1</v>
      </c>
    </row>
    <row r="140" spans="1:15">
      <c r="A140" s="8">
        <v>46239</v>
      </c>
      <c r="B140" s="6">
        <v>0</v>
      </c>
      <c r="C140" s="6">
        <v>20</v>
      </c>
      <c r="D140" s="6">
        <v>0</v>
      </c>
      <c r="E140" s="6"/>
      <c r="F140" s="6">
        <v>0</v>
      </c>
      <c r="G140" s="6">
        <v>0</v>
      </c>
      <c r="H140" s="6">
        <v>20</v>
      </c>
      <c r="I140" s="6"/>
      <c r="J140" s="12">
        <v>1</v>
      </c>
      <c r="K140" s="12">
        <v>0.45</v>
      </c>
      <c r="L140" s="6">
        <v>-1</v>
      </c>
      <c r="M140" s="12">
        <v>1</v>
      </c>
      <c r="N140" s="12">
        <v>0.05</v>
      </c>
      <c r="O140" s="6">
        <v>-1</v>
      </c>
    </row>
    <row r="141" spans="1:15">
      <c r="A141" s="8">
        <v>46240</v>
      </c>
      <c r="B141" s="6">
        <v>0</v>
      </c>
      <c r="C141" s="6">
        <v>20</v>
      </c>
      <c r="D141" s="6">
        <v>0</v>
      </c>
      <c r="E141" s="6"/>
      <c r="F141" s="6">
        <v>0</v>
      </c>
      <c r="G141" s="6">
        <v>0</v>
      </c>
      <c r="H141" s="6">
        <v>20</v>
      </c>
      <c r="I141" s="6"/>
      <c r="J141" s="12">
        <v>1</v>
      </c>
      <c r="K141" s="12">
        <v>0.45</v>
      </c>
      <c r="L141" s="6">
        <v>-1</v>
      </c>
      <c r="M141" s="12">
        <v>1</v>
      </c>
      <c r="N141" s="12">
        <v>0.05</v>
      </c>
      <c r="O141" s="6">
        <v>-1</v>
      </c>
    </row>
    <row r="142" spans="1:15">
      <c r="A142" s="8">
        <v>46241</v>
      </c>
      <c r="B142" s="6">
        <v>0</v>
      </c>
      <c r="C142" s="6">
        <v>20</v>
      </c>
      <c r="D142" s="6">
        <v>0</v>
      </c>
      <c r="E142" s="6"/>
      <c r="F142" s="6">
        <v>0</v>
      </c>
      <c r="G142" s="6">
        <v>0</v>
      </c>
      <c r="H142" s="6">
        <v>20</v>
      </c>
      <c r="I142" s="6"/>
      <c r="J142" s="12">
        <v>1</v>
      </c>
      <c r="K142" s="12">
        <v>0.45</v>
      </c>
      <c r="L142" s="6">
        <v>-1</v>
      </c>
      <c r="M142" s="12">
        <v>1</v>
      </c>
      <c r="N142" s="12">
        <v>0.05</v>
      </c>
      <c r="O142" s="6">
        <v>-1</v>
      </c>
    </row>
    <row r="143" spans="1:15">
      <c r="A143" s="8">
        <v>46242</v>
      </c>
      <c r="B143" s="6">
        <v>0</v>
      </c>
      <c r="C143" s="6">
        <v>20</v>
      </c>
      <c r="D143" s="6">
        <v>0</v>
      </c>
      <c r="E143" s="6"/>
      <c r="F143" s="6">
        <v>0</v>
      </c>
      <c r="G143" s="6">
        <v>0</v>
      </c>
      <c r="H143" s="6">
        <v>20</v>
      </c>
      <c r="I143" s="6"/>
      <c r="J143" s="12">
        <v>1</v>
      </c>
      <c r="K143" s="12">
        <v>0.45</v>
      </c>
      <c r="L143" s="6">
        <v>-1</v>
      </c>
      <c r="M143" s="12">
        <v>1</v>
      </c>
      <c r="N143" s="12">
        <v>0.05</v>
      </c>
      <c r="O143" s="6">
        <v>-1</v>
      </c>
    </row>
    <row r="144" spans="1:15">
      <c r="A144" s="8">
        <v>46243</v>
      </c>
      <c r="B144" s="6">
        <v>0</v>
      </c>
      <c r="C144" s="6">
        <v>20</v>
      </c>
      <c r="D144" s="6">
        <v>0</v>
      </c>
      <c r="E144" s="6"/>
      <c r="F144" s="6">
        <v>0</v>
      </c>
      <c r="G144" s="6">
        <v>0</v>
      </c>
      <c r="H144" s="6">
        <v>20</v>
      </c>
      <c r="I144" s="6"/>
      <c r="J144" s="12">
        <v>1</v>
      </c>
      <c r="K144" s="12">
        <v>0.45</v>
      </c>
      <c r="L144" s="6">
        <v>-1</v>
      </c>
      <c r="M144" s="12">
        <v>1</v>
      </c>
      <c r="N144" s="12">
        <v>0.05</v>
      </c>
      <c r="O144" s="6">
        <v>-1</v>
      </c>
    </row>
    <row r="145" spans="1:15">
      <c r="A145" s="8">
        <v>46244</v>
      </c>
      <c r="B145" s="6">
        <v>0</v>
      </c>
      <c r="C145" s="6">
        <v>20</v>
      </c>
      <c r="D145" s="6">
        <v>0</v>
      </c>
      <c r="E145" s="6"/>
      <c r="F145" s="6">
        <v>0</v>
      </c>
      <c r="G145" s="6">
        <v>0</v>
      </c>
      <c r="H145" s="6">
        <v>20</v>
      </c>
      <c r="I145" s="6"/>
      <c r="J145" s="12">
        <v>1</v>
      </c>
      <c r="K145" s="12">
        <v>0.45</v>
      </c>
      <c r="L145" s="6">
        <v>-1</v>
      </c>
      <c r="M145" s="12">
        <v>1</v>
      </c>
      <c r="N145" s="12">
        <v>0.05</v>
      </c>
      <c r="O145" s="6">
        <v>-1</v>
      </c>
    </row>
    <row r="146" spans="1:15">
      <c r="A146" s="8">
        <v>46245</v>
      </c>
      <c r="B146" s="6">
        <v>0</v>
      </c>
      <c r="C146" s="6">
        <v>20</v>
      </c>
      <c r="D146" s="6">
        <v>0</v>
      </c>
      <c r="E146" s="6"/>
      <c r="F146" s="6">
        <v>0</v>
      </c>
      <c r="G146" s="6">
        <v>0</v>
      </c>
      <c r="H146" s="6">
        <v>20</v>
      </c>
      <c r="I146" s="6"/>
      <c r="J146" s="12">
        <v>1</v>
      </c>
      <c r="K146" s="12">
        <v>0.45</v>
      </c>
      <c r="L146" s="6">
        <v>-1</v>
      </c>
      <c r="M146" s="12">
        <v>1</v>
      </c>
      <c r="N146" s="12">
        <v>0.05</v>
      </c>
      <c r="O146" s="6">
        <v>-1</v>
      </c>
    </row>
    <row r="147" spans="1:15">
      <c r="A147" s="8">
        <v>46246</v>
      </c>
      <c r="B147" s="6">
        <v>0</v>
      </c>
      <c r="C147" s="6">
        <v>20</v>
      </c>
      <c r="D147" s="6">
        <v>0</v>
      </c>
      <c r="E147" s="6"/>
      <c r="F147" s="6">
        <v>0</v>
      </c>
      <c r="G147" s="6">
        <v>0</v>
      </c>
      <c r="H147" s="6">
        <v>20</v>
      </c>
      <c r="I147" s="6"/>
      <c r="J147" s="12">
        <v>1</v>
      </c>
      <c r="K147" s="12">
        <v>0.45</v>
      </c>
      <c r="L147" s="6">
        <v>-1</v>
      </c>
      <c r="M147" s="12">
        <v>1</v>
      </c>
      <c r="N147" s="12">
        <v>0.05</v>
      </c>
      <c r="O147" s="6">
        <v>-1</v>
      </c>
    </row>
    <row r="148" spans="1:15">
      <c r="A148" s="8">
        <v>46247</v>
      </c>
      <c r="B148" s="6">
        <v>0</v>
      </c>
      <c r="C148" s="6">
        <v>20</v>
      </c>
      <c r="D148" s="6">
        <v>0</v>
      </c>
      <c r="E148" s="6"/>
      <c r="F148" s="6">
        <v>0</v>
      </c>
      <c r="G148" s="6">
        <v>0</v>
      </c>
      <c r="H148" s="6">
        <v>20</v>
      </c>
      <c r="I148" s="6"/>
      <c r="J148" s="12">
        <v>1</v>
      </c>
      <c r="K148" s="12">
        <v>0.45</v>
      </c>
      <c r="L148" s="6">
        <v>-1</v>
      </c>
      <c r="M148" s="12">
        <v>1</v>
      </c>
      <c r="N148" s="12">
        <v>0.05</v>
      </c>
      <c r="O148" s="6">
        <v>-1</v>
      </c>
    </row>
    <row r="149" spans="1:15">
      <c r="A149" s="8">
        <v>46248</v>
      </c>
      <c r="B149" s="6">
        <v>0</v>
      </c>
      <c r="C149" s="6">
        <v>20</v>
      </c>
      <c r="D149" s="6">
        <v>0</v>
      </c>
      <c r="E149" s="6"/>
      <c r="F149" s="6">
        <v>0</v>
      </c>
      <c r="G149" s="6">
        <v>0</v>
      </c>
      <c r="H149" s="6">
        <v>20</v>
      </c>
      <c r="I149" s="6"/>
      <c r="J149" s="12">
        <v>1</v>
      </c>
      <c r="K149" s="12">
        <v>0.45</v>
      </c>
      <c r="L149" s="6">
        <v>-1</v>
      </c>
      <c r="M149" s="12">
        <v>1</v>
      </c>
      <c r="N149" s="12">
        <v>0.05</v>
      </c>
      <c r="O149" s="6">
        <v>-1</v>
      </c>
    </row>
    <row r="150" spans="1:15">
      <c r="A150" s="8">
        <v>46249</v>
      </c>
      <c r="B150" s="6">
        <v>0</v>
      </c>
      <c r="C150" s="6">
        <v>20</v>
      </c>
      <c r="D150" s="6">
        <v>0</v>
      </c>
      <c r="E150" s="6"/>
      <c r="F150" s="6">
        <v>0</v>
      </c>
      <c r="G150" s="6">
        <v>0</v>
      </c>
      <c r="H150" s="6">
        <v>20</v>
      </c>
      <c r="I150" s="6"/>
      <c r="J150" s="12">
        <v>1</v>
      </c>
      <c r="K150" s="12">
        <v>0.45</v>
      </c>
      <c r="L150" s="6">
        <v>-1</v>
      </c>
      <c r="M150" s="12">
        <v>1</v>
      </c>
      <c r="N150" s="12">
        <v>0.05</v>
      </c>
      <c r="O150" s="6">
        <v>-1</v>
      </c>
    </row>
    <row r="151" spans="1:15">
      <c r="A151" s="8">
        <v>46250</v>
      </c>
      <c r="B151" s="6">
        <v>0</v>
      </c>
      <c r="C151" s="6">
        <v>20</v>
      </c>
      <c r="D151" s="6">
        <v>0</v>
      </c>
      <c r="E151" s="6"/>
      <c r="F151" s="6">
        <v>0</v>
      </c>
      <c r="G151" s="6">
        <v>0</v>
      </c>
      <c r="H151" s="6">
        <v>20</v>
      </c>
      <c r="I151" s="6"/>
      <c r="J151" s="12">
        <v>1</v>
      </c>
      <c r="K151" s="12">
        <v>0.45</v>
      </c>
      <c r="L151" s="6">
        <v>-1</v>
      </c>
      <c r="M151" s="12">
        <v>1</v>
      </c>
      <c r="N151" s="12">
        <v>0.05</v>
      </c>
      <c r="O151" s="6">
        <v>-1</v>
      </c>
    </row>
    <row r="152" spans="1:15">
      <c r="A152" s="8">
        <v>46251</v>
      </c>
      <c r="B152" s="6">
        <v>0</v>
      </c>
      <c r="C152" s="6">
        <v>20</v>
      </c>
      <c r="D152" s="6">
        <v>0</v>
      </c>
      <c r="E152" s="6"/>
      <c r="F152" s="6">
        <v>0</v>
      </c>
      <c r="G152" s="6">
        <v>0</v>
      </c>
      <c r="H152" s="6">
        <v>20</v>
      </c>
      <c r="I152" s="6"/>
      <c r="J152" s="12">
        <v>1</v>
      </c>
      <c r="K152" s="12">
        <v>0.45</v>
      </c>
      <c r="L152" s="6">
        <v>-1</v>
      </c>
      <c r="M152" s="12">
        <v>1</v>
      </c>
      <c r="N152" s="12">
        <v>0.05</v>
      </c>
      <c r="O152" s="6">
        <v>-1</v>
      </c>
    </row>
    <row r="153" spans="1:15">
      <c r="A153" s="8">
        <v>46252</v>
      </c>
      <c r="B153" s="6">
        <v>0</v>
      </c>
      <c r="C153" s="6">
        <v>20</v>
      </c>
      <c r="D153" s="6">
        <v>0</v>
      </c>
      <c r="E153" s="6"/>
      <c r="F153" s="6">
        <v>0</v>
      </c>
      <c r="G153" s="6">
        <v>0</v>
      </c>
      <c r="H153" s="6">
        <v>20</v>
      </c>
      <c r="I153" s="6"/>
      <c r="J153" s="14">
        <v>1</v>
      </c>
      <c r="K153" s="14">
        <v>0.45</v>
      </c>
      <c r="L153" s="6">
        <v>-1</v>
      </c>
      <c r="M153" s="14">
        <v>1</v>
      </c>
      <c r="N153" s="14">
        <v>0.05</v>
      </c>
      <c r="O153" s="6">
        <v>-1</v>
      </c>
    </row>
    <row r="154" spans="1:15">
      <c r="A154" s="8">
        <v>46253</v>
      </c>
      <c r="B154" s="6">
        <v>0</v>
      </c>
      <c r="C154" s="6">
        <v>20</v>
      </c>
      <c r="D154" s="6">
        <v>0</v>
      </c>
      <c r="E154" s="6"/>
      <c r="F154" s="6">
        <v>0</v>
      </c>
      <c r="G154" s="6">
        <v>0</v>
      </c>
      <c r="H154" s="6"/>
      <c r="I154" s="6"/>
      <c r="J154" s="12">
        <v>1</v>
      </c>
      <c r="K154" s="12">
        <v>0.45</v>
      </c>
      <c r="L154" s="6">
        <v>-1</v>
      </c>
      <c r="M154" s="12">
        <v>1</v>
      </c>
      <c r="N154" s="12">
        <v>0.05</v>
      </c>
      <c r="O154" s="6">
        <v>-1</v>
      </c>
    </row>
    <row r="155" spans="1:15">
      <c r="A155" s="8">
        <v>46254</v>
      </c>
      <c r="B155" s="6">
        <v>0</v>
      </c>
      <c r="C155" s="6">
        <v>20</v>
      </c>
      <c r="D155" s="6">
        <v>0</v>
      </c>
      <c r="E155" s="6"/>
      <c r="F155" s="6">
        <v>0</v>
      </c>
      <c r="G155" s="6">
        <v>0</v>
      </c>
      <c r="H155" s="6"/>
      <c r="I155" s="6"/>
      <c r="J155" s="12">
        <v>1</v>
      </c>
      <c r="K155" s="12">
        <v>0.45</v>
      </c>
      <c r="L155" s="6">
        <v>-1</v>
      </c>
      <c r="M155" s="12">
        <v>1</v>
      </c>
      <c r="N155" s="12">
        <v>0.05</v>
      </c>
      <c r="O155" s="6">
        <v>-1</v>
      </c>
    </row>
    <row r="156" spans="1:15">
      <c r="A156" s="8">
        <v>46255</v>
      </c>
      <c r="B156" s="6">
        <v>0</v>
      </c>
      <c r="C156" s="6">
        <v>20</v>
      </c>
      <c r="D156" s="6">
        <v>0</v>
      </c>
      <c r="E156" s="6"/>
      <c r="F156" s="6">
        <v>0</v>
      </c>
      <c r="G156" s="6">
        <v>0</v>
      </c>
      <c r="H156" s="6"/>
      <c r="I156" s="6"/>
      <c r="J156" s="12">
        <v>1</v>
      </c>
      <c r="K156" s="12">
        <v>0.45</v>
      </c>
      <c r="L156" s="6">
        <v>-1</v>
      </c>
      <c r="M156" s="12">
        <v>1</v>
      </c>
      <c r="N156" s="12">
        <v>0.05</v>
      </c>
      <c r="O156" s="6">
        <v>-1</v>
      </c>
    </row>
    <row r="157" spans="1:15">
      <c r="A157" s="8">
        <v>46256</v>
      </c>
      <c r="B157" s="6">
        <v>0</v>
      </c>
      <c r="C157" s="6">
        <v>20</v>
      </c>
      <c r="D157" s="6">
        <v>0</v>
      </c>
      <c r="E157" s="6"/>
      <c r="F157" s="6">
        <v>0</v>
      </c>
      <c r="G157" s="6">
        <v>0</v>
      </c>
      <c r="H157" s="6"/>
      <c r="I157" s="6"/>
      <c r="J157" s="12">
        <v>1</v>
      </c>
      <c r="K157" s="12">
        <v>0.45</v>
      </c>
      <c r="L157" s="6">
        <v>-1</v>
      </c>
      <c r="M157" s="12">
        <v>1</v>
      </c>
      <c r="N157" s="12">
        <v>0.05</v>
      </c>
      <c r="O157" s="6">
        <v>-1</v>
      </c>
    </row>
    <row r="158" spans="1:15">
      <c r="A158" s="8">
        <v>46257</v>
      </c>
      <c r="B158" s="6">
        <v>0</v>
      </c>
      <c r="C158" s="6">
        <v>20</v>
      </c>
      <c r="D158" s="6">
        <v>0</v>
      </c>
      <c r="E158" s="6"/>
      <c r="F158" s="6">
        <v>0</v>
      </c>
      <c r="G158" s="6">
        <v>0</v>
      </c>
      <c r="H158" s="6"/>
      <c r="I158" s="6"/>
      <c r="J158" s="12">
        <v>1</v>
      </c>
      <c r="K158" s="12">
        <v>0.45</v>
      </c>
      <c r="L158" s="6">
        <v>-1</v>
      </c>
      <c r="M158" s="12">
        <v>1</v>
      </c>
      <c r="N158" s="12">
        <v>0.05</v>
      </c>
      <c r="O158" s="6">
        <v>-1</v>
      </c>
    </row>
    <row r="159" spans="1:15">
      <c r="A159" s="8">
        <v>46258</v>
      </c>
      <c r="B159" s="6">
        <v>0</v>
      </c>
      <c r="C159" s="6">
        <v>20</v>
      </c>
      <c r="D159" s="6">
        <v>0</v>
      </c>
      <c r="E159" s="6"/>
      <c r="F159" s="6">
        <v>0</v>
      </c>
      <c r="G159" s="6">
        <v>0</v>
      </c>
      <c r="H159" s="6"/>
      <c r="I159" s="6"/>
      <c r="J159" s="12">
        <v>1</v>
      </c>
      <c r="K159" s="12">
        <v>0.45</v>
      </c>
      <c r="L159" s="6">
        <v>-1</v>
      </c>
      <c r="M159" s="12">
        <v>1</v>
      </c>
      <c r="N159" s="12">
        <v>0.05</v>
      </c>
      <c r="O159" s="6">
        <v>-1</v>
      </c>
    </row>
    <row r="160" spans="1:15">
      <c r="A160" s="8">
        <v>46259</v>
      </c>
      <c r="B160" s="6">
        <v>0</v>
      </c>
      <c r="C160" s="6">
        <v>20</v>
      </c>
      <c r="D160" s="6">
        <v>0</v>
      </c>
      <c r="E160" s="6"/>
      <c r="F160" s="6">
        <v>0</v>
      </c>
      <c r="G160" s="6">
        <v>0</v>
      </c>
      <c r="H160" s="6"/>
      <c r="I160" s="6"/>
      <c r="J160" s="12">
        <v>1</v>
      </c>
      <c r="K160" s="12">
        <v>0.45</v>
      </c>
      <c r="L160" s="6">
        <v>-1</v>
      </c>
      <c r="M160" s="12">
        <v>1</v>
      </c>
      <c r="N160" s="12">
        <v>0.05</v>
      </c>
      <c r="O160" s="6">
        <v>-1</v>
      </c>
    </row>
    <row r="161" spans="1:15">
      <c r="A161" s="8">
        <v>46260</v>
      </c>
      <c r="B161" s="6">
        <v>0</v>
      </c>
      <c r="C161" s="6">
        <v>20</v>
      </c>
      <c r="D161" s="6">
        <v>0</v>
      </c>
      <c r="E161" s="6"/>
      <c r="F161" s="6">
        <v>0</v>
      </c>
      <c r="G161" s="6">
        <v>0</v>
      </c>
      <c r="H161" s="6"/>
      <c r="I161" s="6"/>
      <c r="J161" s="12">
        <v>1</v>
      </c>
      <c r="K161" s="12">
        <v>0.45</v>
      </c>
      <c r="L161" s="6">
        <v>-1</v>
      </c>
      <c r="M161" s="12">
        <v>1</v>
      </c>
      <c r="N161" s="12">
        <v>0.05</v>
      </c>
      <c r="O161" s="6">
        <v>-1</v>
      </c>
    </row>
    <row r="162" spans="1:15">
      <c r="A162" s="8">
        <v>46261</v>
      </c>
      <c r="B162" s="6">
        <v>0</v>
      </c>
      <c r="C162" s="6">
        <v>20</v>
      </c>
      <c r="D162" s="6">
        <v>0</v>
      </c>
      <c r="E162" s="6"/>
      <c r="F162" s="6">
        <v>0</v>
      </c>
      <c r="G162" s="6">
        <v>0</v>
      </c>
      <c r="H162" s="6"/>
      <c r="I162" s="6"/>
      <c r="J162" s="12">
        <v>1</v>
      </c>
      <c r="K162" s="12">
        <v>0.45</v>
      </c>
      <c r="L162" s="6">
        <v>-1</v>
      </c>
      <c r="M162" s="12">
        <v>1</v>
      </c>
      <c r="N162" s="12">
        <v>0.05</v>
      </c>
      <c r="O162" s="6">
        <v>-1</v>
      </c>
    </row>
    <row r="163" spans="1:15">
      <c r="A163" s="8">
        <v>46262</v>
      </c>
      <c r="B163" s="6">
        <v>0</v>
      </c>
      <c r="C163" s="6">
        <v>20</v>
      </c>
      <c r="D163" s="6">
        <v>0</v>
      </c>
      <c r="E163" s="6"/>
      <c r="F163" s="6">
        <v>0</v>
      </c>
      <c r="G163" s="6">
        <v>0</v>
      </c>
      <c r="H163" s="6"/>
      <c r="I163" s="6"/>
      <c r="J163" s="12">
        <v>1</v>
      </c>
      <c r="K163" s="12">
        <v>0.45</v>
      </c>
      <c r="L163" s="6">
        <v>-1</v>
      </c>
      <c r="M163" s="12">
        <v>1</v>
      </c>
      <c r="N163" s="12">
        <v>0.05</v>
      </c>
      <c r="O163" s="6">
        <v>-1</v>
      </c>
    </row>
    <row r="164" spans="1:15">
      <c r="A164" s="8">
        <v>46263</v>
      </c>
      <c r="B164" s="6">
        <v>0</v>
      </c>
      <c r="C164" s="6">
        <v>20</v>
      </c>
      <c r="D164" s="6">
        <v>0</v>
      </c>
      <c r="E164" s="6"/>
      <c r="F164" s="6">
        <v>0</v>
      </c>
      <c r="G164" s="6">
        <v>0</v>
      </c>
      <c r="H164" s="6"/>
      <c r="I164" s="6"/>
      <c r="J164" s="12">
        <v>1</v>
      </c>
      <c r="K164" s="12">
        <v>0.45</v>
      </c>
      <c r="L164" s="6">
        <v>-1</v>
      </c>
      <c r="M164" s="12">
        <v>1</v>
      </c>
      <c r="N164" s="12">
        <v>0.05</v>
      </c>
      <c r="O164" s="6">
        <v>-1</v>
      </c>
    </row>
    <row r="165" spans="1:15">
      <c r="A165" s="8">
        <v>46264</v>
      </c>
      <c r="B165" s="6">
        <v>0</v>
      </c>
      <c r="C165" s="6">
        <v>20</v>
      </c>
      <c r="D165" s="6">
        <v>0</v>
      </c>
      <c r="E165" s="6"/>
      <c r="F165" s="6">
        <v>0</v>
      </c>
      <c r="G165" s="6">
        <v>0</v>
      </c>
      <c r="H165" s="6"/>
      <c r="I165" s="6"/>
      <c r="J165" s="12">
        <v>1</v>
      </c>
      <c r="K165" s="12">
        <v>0.45</v>
      </c>
      <c r="L165" s="6">
        <v>-1</v>
      </c>
      <c r="M165" s="12">
        <v>1</v>
      </c>
      <c r="N165" s="12">
        <v>0.05</v>
      </c>
      <c r="O165" s="6">
        <v>-1</v>
      </c>
    </row>
    <row r="166" spans="1:15">
      <c r="A166" s="8">
        <v>46265</v>
      </c>
      <c r="B166" s="6">
        <v>0</v>
      </c>
      <c r="C166" s="6">
        <v>20</v>
      </c>
      <c r="D166" s="6">
        <v>0</v>
      </c>
      <c r="E166" s="6"/>
      <c r="F166" s="6">
        <v>0</v>
      </c>
      <c r="G166" s="6">
        <v>0</v>
      </c>
      <c r="H166" s="6"/>
      <c r="I166" s="6"/>
      <c r="J166" s="12">
        <v>1</v>
      </c>
      <c r="K166" s="12">
        <v>0.45</v>
      </c>
      <c r="L166" s="6">
        <v>-1</v>
      </c>
      <c r="M166" s="12">
        <v>1</v>
      </c>
      <c r="N166" s="12">
        <v>0.05</v>
      </c>
      <c r="O166" s="6">
        <v>-1</v>
      </c>
    </row>
    <row r="167" spans="1:15">
      <c r="A167" s="8">
        <v>46266</v>
      </c>
      <c r="B167" s="6">
        <v>0</v>
      </c>
      <c r="C167" s="6">
        <v>20</v>
      </c>
      <c r="D167" s="6">
        <v>0</v>
      </c>
      <c r="E167" s="6"/>
      <c r="F167" s="6">
        <v>0</v>
      </c>
      <c r="G167" s="6">
        <v>0</v>
      </c>
      <c r="H167" s="6"/>
      <c r="I167" s="6"/>
      <c r="J167" s="12">
        <v>1</v>
      </c>
      <c r="K167" s="12">
        <v>0.45</v>
      </c>
      <c r="L167" s="6">
        <v>-1</v>
      </c>
      <c r="M167" s="12">
        <v>1</v>
      </c>
      <c r="N167" s="12">
        <v>0.05</v>
      </c>
      <c r="O167" s="6">
        <v>-1</v>
      </c>
    </row>
    <row r="168" spans="1:15">
      <c r="A168" s="8">
        <v>46267</v>
      </c>
      <c r="B168" s="6">
        <v>0</v>
      </c>
      <c r="C168" s="6">
        <v>20</v>
      </c>
      <c r="D168" s="6">
        <v>0</v>
      </c>
      <c r="E168" s="6"/>
      <c r="F168" s="6">
        <v>0</v>
      </c>
      <c r="G168" s="6">
        <v>0</v>
      </c>
      <c r="H168" s="6"/>
      <c r="I168" s="6"/>
      <c r="J168" s="12">
        <v>1</v>
      </c>
      <c r="K168" s="12">
        <v>0.45</v>
      </c>
      <c r="L168" s="6">
        <v>-1</v>
      </c>
      <c r="M168" s="12">
        <v>1</v>
      </c>
      <c r="N168" s="12">
        <v>0.05</v>
      </c>
      <c r="O168" s="6">
        <v>-1</v>
      </c>
    </row>
    <row r="169" spans="1:15">
      <c r="A169" s="8">
        <v>46268</v>
      </c>
      <c r="B169" s="6">
        <v>0</v>
      </c>
      <c r="C169" s="6">
        <v>20</v>
      </c>
      <c r="D169" s="6">
        <v>0</v>
      </c>
      <c r="E169" s="6"/>
      <c r="F169" s="6">
        <v>0</v>
      </c>
      <c r="G169" s="6">
        <v>0</v>
      </c>
      <c r="H169" s="6"/>
      <c r="I169" s="6"/>
      <c r="J169" s="12">
        <v>1</v>
      </c>
      <c r="K169" s="12">
        <v>0.45</v>
      </c>
      <c r="L169" s="6">
        <v>-1</v>
      </c>
      <c r="M169" s="12">
        <v>1</v>
      </c>
      <c r="N169" s="12">
        <v>0.05</v>
      </c>
      <c r="O169" s="6">
        <v>-1</v>
      </c>
    </row>
    <row r="170" spans="1:15">
      <c r="A170" s="8">
        <v>46269</v>
      </c>
      <c r="B170" s="6">
        <v>0</v>
      </c>
      <c r="C170" s="6">
        <v>20</v>
      </c>
      <c r="D170" s="6">
        <v>0</v>
      </c>
      <c r="E170" s="6"/>
      <c r="F170" s="6">
        <v>0</v>
      </c>
      <c r="G170" s="6">
        <v>0</v>
      </c>
      <c r="H170" s="6"/>
      <c r="I170" s="6"/>
      <c r="J170" s="12">
        <v>1</v>
      </c>
      <c r="K170" s="12">
        <v>0.45</v>
      </c>
      <c r="L170" s="6">
        <v>-1</v>
      </c>
      <c r="M170" s="12">
        <v>1</v>
      </c>
      <c r="N170" s="12">
        <v>0.05</v>
      </c>
      <c r="O170" s="6">
        <v>-1</v>
      </c>
    </row>
    <row r="171" spans="1:15">
      <c r="A171" s="8">
        <v>46270</v>
      </c>
      <c r="B171" s="6">
        <v>0</v>
      </c>
      <c r="C171" s="6">
        <v>20</v>
      </c>
      <c r="D171" s="6">
        <v>0</v>
      </c>
      <c r="E171" s="6"/>
      <c r="F171" s="6">
        <v>0</v>
      </c>
      <c r="G171" s="6">
        <v>0</v>
      </c>
      <c r="H171" s="6"/>
      <c r="I171" s="6"/>
      <c r="J171" s="12">
        <v>1</v>
      </c>
      <c r="K171" s="12">
        <v>0.45</v>
      </c>
      <c r="L171" s="6">
        <v>-1</v>
      </c>
      <c r="M171" s="12">
        <v>1</v>
      </c>
      <c r="N171" s="12">
        <v>0.05</v>
      </c>
      <c r="O171" s="6">
        <v>-1</v>
      </c>
    </row>
    <row r="172" spans="1:15">
      <c r="A172" s="8">
        <v>46271</v>
      </c>
      <c r="B172" s="6">
        <v>0</v>
      </c>
      <c r="C172" s="6">
        <v>20</v>
      </c>
      <c r="D172" s="6">
        <v>0</v>
      </c>
      <c r="E172" s="6"/>
      <c r="F172" s="6">
        <v>0</v>
      </c>
      <c r="G172" s="6">
        <v>0</v>
      </c>
      <c r="H172" s="6"/>
      <c r="I172" s="6"/>
      <c r="J172" s="12">
        <v>1</v>
      </c>
      <c r="K172" s="12">
        <v>0.45</v>
      </c>
      <c r="L172" s="6">
        <v>-1</v>
      </c>
      <c r="M172" s="12">
        <v>1</v>
      </c>
      <c r="N172" s="12">
        <v>0.05</v>
      </c>
      <c r="O172" s="6">
        <v>-1</v>
      </c>
    </row>
    <row r="173" spans="1:15">
      <c r="A173" s="8">
        <v>46272</v>
      </c>
      <c r="B173" s="6">
        <v>0</v>
      </c>
      <c r="C173" s="6">
        <v>20</v>
      </c>
      <c r="D173" s="6">
        <v>0</v>
      </c>
      <c r="E173" s="6"/>
      <c r="F173" s="6">
        <v>0</v>
      </c>
      <c r="G173" s="6">
        <v>0</v>
      </c>
      <c r="H173" s="6"/>
      <c r="I173" s="6"/>
      <c r="J173" s="12">
        <v>1</v>
      </c>
      <c r="K173" s="12">
        <v>0.45</v>
      </c>
      <c r="L173" s="6">
        <v>-1</v>
      </c>
      <c r="M173" s="12">
        <v>1</v>
      </c>
      <c r="N173" s="12">
        <v>0.05</v>
      </c>
      <c r="O173" s="6">
        <v>-1</v>
      </c>
    </row>
    <row r="175" spans="1:15">
      <c r="L175" s="7">
        <v>1</v>
      </c>
      <c r="O175" s="7">
        <v>1</v>
      </c>
    </row>
    <row r="176" spans="1:15">
      <c r="L176" s="7">
        <v>0</v>
      </c>
      <c r="O176" s="7">
        <v>0</v>
      </c>
    </row>
    <row r="177" spans="12:15">
      <c r="L177" s="7">
        <v>-1</v>
      </c>
      <c r="O177" s="7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7580ED8E-5840-4C0D-A4A0-021FAE22F71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L2:L177</xm:sqref>
        </x14:conditionalFormatting>
        <x14:conditionalFormatting xmlns:xm="http://schemas.microsoft.com/office/excel/2006/main">
          <x14:cfRule type="iconSet" priority="2" id="{E92E5AE9-4346-4C8B-BC35-DD5E26343A6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O175:O177</xm:sqref>
        </x14:conditionalFormatting>
        <x14:conditionalFormatting xmlns:xm="http://schemas.microsoft.com/office/excel/2006/main">
          <x14:cfRule type="iconSet" priority="1" id="{4C824B93-EEE9-4F7C-83F4-4204D94EC35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O2:O177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4"/>
  <sheetViews>
    <sheetView workbookViewId="0">
      <selection activeCell="F27" sqref="F27"/>
    </sheetView>
  </sheetViews>
  <sheetFormatPr defaultRowHeight="15"/>
  <cols>
    <col min="1" max="1" width="5" style="7" bestFit="1" customWidth="1"/>
    <col min="2" max="2" width="9.28515625" style="7" bestFit="1" customWidth="1"/>
    <col min="3" max="3" width="31.5703125" style="7" bestFit="1" customWidth="1"/>
    <col min="4" max="4" width="18.5703125" style="7" bestFit="1" customWidth="1"/>
    <col min="5" max="5" width="10.42578125" style="7" bestFit="1" customWidth="1"/>
    <col min="6" max="7" width="10.7109375" style="9" bestFit="1" customWidth="1"/>
    <col min="8" max="8" width="16.140625" style="7" bestFit="1" customWidth="1"/>
    <col min="9" max="9" width="13.7109375" style="7" bestFit="1" customWidth="1"/>
    <col min="10" max="10" width="14.5703125" style="9" bestFit="1" customWidth="1"/>
    <col min="11" max="11" width="9.5703125" style="7" bestFit="1" customWidth="1"/>
    <col min="12" max="12" width="8.85546875" style="7" bestFit="1" customWidth="1"/>
    <col min="13" max="13" width="32.140625" style="7" bestFit="1" customWidth="1"/>
    <col min="14" max="14" width="14.28515625" style="7" bestFit="1" customWidth="1"/>
    <col min="15" max="15" width="17" style="9" bestFit="1" customWidth="1"/>
    <col min="16" max="16" width="14.5703125" style="7" bestFit="1" customWidth="1"/>
    <col min="17" max="17" width="35.28515625" style="7" bestFit="1" customWidth="1"/>
    <col min="18" max="18" width="14.140625" style="7" bestFit="1" customWidth="1"/>
    <col min="19" max="19" width="28.140625" style="7" bestFit="1" customWidth="1"/>
    <col min="20" max="20" width="21.28515625" style="7" bestFit="1" customWidth="1"/>
    <col min="21" max="21" width="9.5703125" style="7" bestFit="1" customWidth="1"/>
    <col min="22" max="22" width="21" style="7" bestFit="1" customWidth="1"/>
    <col min="23" max="23" width="25.42578125" style="7" bestFit="1" customWidth="1"/>
    <col min="24" max="24" width="24.7109375" style="7" bestFit="1" customWidth="1"/>
    <col min="25" max="25" width="17.28515625" style="7" bestFit="1" customWidth="1"/>
    <col min="26" max="26" width="30.42578125" style="7" bestFit="1" customWidth="1"/>
    <col min="27" max="27" width="27.140625" style="7" bestFit="1" customWidth="1"/>
    <col min="28" max="28" width="38.28515625" style="7" bestFit="1" customWidth="1"/>
    <col min="29" max="29" width="23.85546875" style="7" bestFit="1" customWidth="1"/>
    <col min="30" max="30" width="21.7109375" style="7" bestFit="1" customWidth="1"/>
    <col min="31" max="31" width="21" style="7" bestFit="1" customWidth="1"/>
    <col min="32" max="32" width="12.28515625" style="7" bestFit="1" customWidth="1"/>
    <col min="33" max="16384" width="9.140625" style="7"/>
  </cols>
  <sheetData>
    <row r="1" spans="1:3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>
      <c r="A2" s="7">
        <v>3</v>
      </c>
      <c r="B2" s="7" t="s">
        <v>41</v>
      </c>
      <c r="C2" s="7" t="s">
        <v>42</v>
      </c>
      <c r="E2" s="7" t="s">
        <v>43</v>
      </c>
      <c r="F2" s="9">
        <v>46160</v>
      </c>
      <c r="G2" s="9">
        <v>46160</v>
      </c>
      <c r="I2" s="7">
        <v>1</v>
      </c>
      <c r="J2" s="9">
        <v>46160</v>
      </c>
      <c r="K2" s="7" t="s">
        <v>44</v>
      </c>
      <c r="L2" s="7" t="s">
        <v>45</v>
      </c>
      <c r="M2" s="7" t="s">
        <v>36</v>
      </c>
      <c r="N2" s="7" t="s">
        <v>37</v>
      </c>
      <c r="O2" s="9">
        <v>46139</v>
      </c>
      <c r="P2" s="7" t="s">
        <v>38</v>
      </c>
      <c r="Q2" s="7" t="s">
        <v>46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</row>
    <row r="3" spans="1:32">
      <c r="A3" s="7">
        <v>4</v>
      </c>
      <c r="B3" s="7" t="s">
        <v>47</v>
      </c>
      <c r="C3" s="7" t="s">
        <v>48</v>
      </c>
      <c r="E3" s="7" t="s">
        <v>43</v>
      </c>
      <c r="F3" s="9">
        <v>46160</v>
      </c>
      <c r="G3" s="9">
        <v>46160</v>
      </c>
      <c r="I3" s="7">
        <v>1</v>
      </c>
      <c r="J3" s="9">
        <v>46160</v>
      </c>
      <c r="K3" s="7" t="s">
        <v>44</v>
      </c>
      <c r="L3" s="7" t="s">
        <v>45</v>
      </c>
      <c r="M3" s="7" t="s">
        <v>49</v>
      </c>
      <c r="N3" s="7" t="s">
        <v>50</v>
      </c>
      <c r="O3" s="9">
        <v>46141</v>
      </c>
      <c r="P3" s="7" t="s">
        <v>38</v>
      </c>
      <c r="U3" s="7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</row>
    <row r="4" spans="1:32">
      <c r="A4" s="7">
        <v>5</v>
      </c>
      <c r="B4" s="7" t="s">
        <v>51</v>
      </c>
      <c r="C4" s="7" t="s">
        <v>52</v>
      </c>
      <c r="E4" s="7" t="s">
        <v>43</v>
      </c>
      <c r="F4" s="9">
        <v>46160</v>
      </c>
      <c r="G4" s="9">
        <v>46160</v>
      </c>
      <c r="H4" s="7">
        <v>3</v>
      </c>
      <c r="I4" s="7">
        <v>1</v>
      </c>
      <c r="J4" s="9">
        <v>46160</v>
      </c>
      <c r="K4" s="7" t="s">
        <v>44</v>
      </c>
      <c r="L4" s="7" t="s">
        <v>45</v>
      </c>
      <c r="M4" s="7" t="s">
        <v>49</v>
      </c>
      <c r="N4" s="7" t="s">
        <v>50</v>
      </c>
      <c r="O4" s="9">
        <v>46141</v>
      </c>
      <c r="P4" s="7" t="s">
        <v>38</v>
      </c>
      <c r="U4" s="7">
        <v>1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</row>
    <row r="5" spans="1:32">
      <c r="A5" s="7">
        <v>8</v>
      </c>
      <c r="B5" s="7" t="s">
        <v>61</v>
      </c>
      <c r="C5" s="7" t="s">
        <v>62</v>
      </c>
      <c r="E5" s="7" t="s">
        <v>63</v>
      </c>
      <c r="F5" s="9">
        <v>46174</v>
      </c>
      <c r="G5" s="9">
        <v>46175</v>
      </c>
      <c r="H5" s="7" t="s">
        <v>64</v>
      </c>
      <c r="I5" s="7">
        <v>1</v>
      </c>
      <c r="J5" s="9">
        <v>46175</v>
      </c>
      <c r="K5" s="7" t="s">
        <v>44</v>
      </c>
      <c r="L5" s="7" t="s">
        <v>45</v>
      </c>
      <c r="M5" s="7" t="s">
        <v>57</v>
      </c>
      <c r="N5" s="7" t="s">
        <v>37</v>
      </c>
      <c r="O5" s="9">
        <v>46141</v>
      </c>
      <c r="P5" s="7" t="s">
        <v>38</v>
      </c>
      <c r="Q5" s="7" t="s">
        <v>65</v>
      </c>
      <c r="U5" s="7">
        <v>1</v>
      </c>
      <c r="V5" s="7">
        <v>1</v>
      </c>
      <c r="W5" s="7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1</v>
      </c>
    </row>
    <row r="6" spans="1:32">
      <c r="A6" s="7">
        <v>9</v>
      </c>
      <c r="B6" s="7" t="s">
        <v>66</v>
      </c>
      <c r="C6" s="7" t="s">
        <v>67</v>
      </c>
      <c r="E6" s="7" t="s">
        <v>68</v>
      </c>
      <c r="F6" s="9">
        <v>46176</v>
      </c>
      <c r="G6" s="9">
        <v>46176</v>
      </c>
      <c r="H6" s="7">
        <v>8</v>
      </c>
      <c r="I6" s="7">
        <v>1</v>
      </c>
      <c r="J6" s="9">
        <v>46176</v>
      </c>
      <c r="K6" s="7" t="s">
        <v>44</v>
      </c>
      <c r="L6" s="7" t="s">
        <v>45</v>
      </c>
      <c r="M6" s="7" t="s">
        <v>57</v>
      </c>
      <c r="N6" s="7" t="s">
        <v>69</v>
      </c>
      <c r="O6" s="9">
        <v>46142</v>
      </c>
      <c r="P6" s="7" t="s">
        <v>38</v>
      </c>
      <c r="Q6" s="7" t="s">
        <v>70</v>
      </c>
      <c r="U6" s="7">
        <v>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>
      <c r="A7" s="7">
        <v>13</v>
      </c>
      <c r="B7" s="7" t="s">
        <v>84</v>
      </c>
      <c r="C7" s="7" t="s">
        <v>62</v>
      </c>
      <c r="E7" s="7" t="s">
        <v>85</v>
      </c>
      <c r="F7" s="9">
        <v>46176</v>
      </c>
      <c r="G7" s="9">
        <v>46178</v>
      </c>
      <c r="H7" s="7">
        <v>8</v>
      </c>
      <c r="I7" s="7">
        <v>1</v>
      </c>
      <c r="J7" s="9">
        <v>46178</v>
      </c>
      <c r="K7" s="7" t="s">
        <v>44</v>
      </c>
      <c r="L7" s="7" t="s">
        <v>45</v>
      </c>
      <c r="M7" s="7" t="s">
        <v>57</v>
      </c>
      <c r="N7" s="7" t="s">
        <v>69</v>
      </c>
      <c r="O7" s="9">
        <v>46146</v>
      </c>
      <c r="P7" s="7" t="s">
        <v>38</v>
      </c>
      <c r="Q7" s="7" t="s">
        <v>86</v>
      </c>
      <c r="U7" s="7">
        <v>1</v>
      </c>
      <c r="V7" s="7">
        <v>1</v>
      </c>
      <c r="W7" s="7">
        <v>1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1</v>
      </c>
    </row>
    <row r="8" spans="1:32">
      <c r="A8" s="7">
        <v>14</v>
      </c>
      <c r="B8" s="7" t="s">
        <v>87</v>
      </c>
      <c r="C8" s="7" t="s">
        <v>67</v>
      </c>
      <c r="E8" s="7" t="s">
        <v>85</v>
      </c>
      <c r="F8" s="9">
        <v>46181</v>
      </c>
      <c r="G8" s="9">
        <v>46183</v>
      </c>
      <c r="H8" s="7">
        <v>13</v>
      </c>
      <c r="I8" s="7">
        <v>1</v>
      </c>
      <c r="J8" s="9">
        <v>46183</v>
      </c>
      <c r="K8" s="7" t="s">
        <v>44</v>
      </c>
      <c r="L8" s="7" t="s">
        <v>45</v>
      </c>
      <c r="M8" s="7" t="s">
        <v>57</v>
      </c>
      <c r="N8" s="7" t="s">
        <v>88</v>
      </c>
      <c r="O8" s="9">
        <v>46147</v>
      </c>
      <c r="P8" s="7" t="s">
        <v>38</v>
      </c>
      <c r="Q8" s="7" t="s">
        <v>89</v>
      </c>
      <c r="U8" s="7">
        <v>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>
      <c r="A9" s="7">
        <v>24</v>
      </c>
      <c r="B9" s="7" t="s">
        <v>116</v>
      </c>
      <c r="C9" s="7" t="s">
        <v>62</v>
      </c>
      <c r="E9" s="7" t="s">
        <v>85</v>
      </c>
      <c r="F9" s="9">
        <v>46174</v>
      </c>
      <c r="G9" s="9">
        <v>46176</v>
      </c>
      <c r="H9" s="7" t="s">
        <v>64</v>
      </c>
      <c r="I9" s="7">
        <v>1</v>
      </c>
      <c r="J9" s="9">
        <v>46176</v>
      </c>
      <c r="K9" s="7" t="s">
        <v>44</v>
      </c>
      <c r="L9" s="7" t="s">
        <v>45</v>
      </c>
      <c r="M9" s="7" t="s">
        <v>98</v>
      </c>
      <c r="N9" s="7" t="s">
        <v>37</v>
      </c>
      <c r="O9" s="9">
        <v>46141</v>
      </c>
      <c r="P9" s="7" t="s">
        <v>38</v>
      </c>
      <c r="Q9" s="7">
        <v>25</v>
      </c>
      <c r="U9" s="7">
        <v>1</v>
      </c>
      <c r="V9" s="7">
        <v>1</v>
      </c>
      <c r="W9" s="7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1</v>
      </c>
    </row>
    <row r="10" spans="1:32">
      <c r="A10" s="7">
        <v>25</v>
      </c>
      <c r="B10" s="7" t="s">
        <v>117</v>
      </c>
      <c r="C10" s="7" t="s">
        <v>67</v>
      </c>
      <c r="E10" s="7" t="s">
        <v>68</v>
      </c>
      <c r="F10" s="9">
        <v>46177</v>
      </c>
      <c r="G10" s="9">
        <v>46177</v>
      </c>
      <c r="H10" s="7">
        <v>24</v>
      </c>
      <c r="I10" s="7">
        <v>1</v>
      </c>
      <c r="J10" s="9">
        <v>46177</v>
      </c>
      <c r="K10" s="7" t="s">
        <v>44</v>
      </c>
      <c r="L10" s="7" t="s">
        <v>45</v>
      </c>
      <c r="M10" s="7" t="s">
        <v>98</v>
      </c>
      <c r="N10" s="7" t="s">
        <v>69</v>
      </c>
      <c r="O10" s="9">
        <v>46142</v>
      </c>
      <c r="P10" s="7" t="s">
        <v>38</v>
      </c>
      <c r="Q10" s="7" t="s">
        <v>118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</row>
    <row r="11" spans="1:32">
      <c r="A11" s="7">
        <v>40</v>
      </c>
      <c r="B11" s="7" t="s">
        <v>156</v>
      </c>
      <c r="C11" s="7" t="s">
        <v>62</v>
      </c>
      <c r="E11" s="7" t="s">
        <v>43</v>
      </c>
      <c r="F11" s="9">
        <v>46170</v>
      </c>
      <c r="G11" s="9">
        <v>46170</v>
      </c>
      <c r="H11" s="7" t="s">
        <v>157</v>
      </c>
      <c r="I11" s="7">
        <v>1</v>
      </c>
      <c r="J11" s="9">
        <v>46170</v>
      </c>
      <c r="K11" s="7" t="s">
        <v>44</v>
      </c>
      <c r="L11" s="7" t="s">
        <v>45</v>
      </c>
      <c r="M11" s="7" t="s">
        <v>127</v>
      </c>
      <c r="N11" s="7" t="s">
        <v>79</v>
      </c>
      <c r="O11" s="9">
        <v>46161</v>
      </c>
      <c r="P11" s="7" t="s">
        <v>38</v>
      </c>
      <c r="Q11" s="7">
        <v>41</v>
      </c>
      <c r="U11" s="7">
        <v>1</v>
      </c>
      <c r="V11" s="7">
        <v>1</v>
      </c>
      <c r="W11" s="7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1</v>
      </c>
    </row>
    <row r="12" spans="1:32">
      <c r="A12" s="7">
        <v>41</v>
      </c>
      <c r="B12" s="7" t="s">
        <v>158</v>
      </c>
      <c r="C12" s="7" t="s">
        <v>67</v>
      </c>
      <c r="E12" s="7" t="s">
        <v>68</v>
      </c>
      <c r="F12" s="9">
        <v>46171</v>
      </c>
      <c r="G12" s="9">
        <v>46171</v>
      </c>
      <c r="H12" s="7">
        <v>40</v>
      </c>
      <c r="I12" s="7">
        <v>1</v>
      </c>
      <c r="J12" s="9">
        <v>46171</v>
      </c>
      <c r="K12" s="7" t="s">
        <v>44</v>
      </c>
      <c r="L12" s="7" t="s">
        <v>45</v>
      </c>
      <c r="M12" s="7" t="s">
        <v>127</v>
      </c>
      <c r="N12" s="7" t="s">
        <v>159</v>
      </c>
      <c r="O12" s="9">
        <v>46162</v>
      </c>
      <c r="P12" s="7" t="s">
        <v>38</v>
      </c>
      <c r="Q12" s="7">
        <v>42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</row>
    <row r="13" spans="1:32">
      <c r="A13" s="7">
        <v>45</v>
      </c>
      <c r="B13" s="7" t="s">
        <v>167</v>
      </c>
      <c r="C13" s="7" t="s">
        <v>62</v>
      </c>
      <c r="E13" s="7" t="s">
        <v>43</v>
      </c>
      <c r="F13" s="9">
        <v>46170</v>
      </c>
      <c r="G13" s="9">
        <v>46170</v>
      </c>
      <c r="H13" s="7" t="s">
        <v>157</v>
      </c>
      <c r="I13" s="7">
        <v>1</v>
      </c>
      <c r="J13" s="9">
        <v>46170</v>
      </c>
      <c r="K13" s="7" t="s">
        <v>44</v>
      </c>
      <c r="L13" s="7" t="s">
        <v>45</v>
      </c>
      <c r="M13" s="7" t="s">
        <v>127</v>
      </c>
      <c r="N13" s="7" t="s">
        <v>79</v>
      </c>
      <c r="O13" s="9">
        <v>46161</v>
      </c>
      <c r="P13" s="7" t="s">
        <v>38</v>
      </c>
      <c r="Q13" s="7">
        <v>46</v>
      </c>
      <c r="U13" s="7">
        <v>1</v>
      </c>
      <c r="V13" s="7">
        <v>1</v>
      </c>
      <c r="W13" s="7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1</v>
      </c>
    </row>
    <row r="14" spans="1:32">
      <c r="A14" s="7">
        <v>46</v>
      </c>
      <c r="B14" s="7" t="s">
        <v>168</v>
      </c>
      <c r="C14" s="7" t="s">
        <v>67</v>
      </c>
      <c r="E14" s="7" t="s">
        <v>68</v>
      </c>
      <c r="F14" s="9">
        <v>46199</v>
      </c>
      <c r="G14" s="9">
        <v>46199</v>
      </c>
      <c r="H14" s="7">
        <v>45</v>
      </c>
      <c r="I14" s="7">
        <v>1</v>
      </c>
      <c r="J14" s="9">
        <v>46199</v>
      </c>
      <c r="K14" s="7" t="s">
        <v>44</v>
      </c>
      <c r="L14" s="7" t="s">
        <v>45</v>
      </c>
      <c r="M14" s="7" t="s">
        <v>127</v>
      </c>
      <c r="N14" s="7" t="s">
        <v>159</v>
      </c>
      <c r="O14" s="9">
        <v>46162</v>
      </c>
      <c r="P14" s="7" t="s">
        <v>38</v>
      </c>
      <c r="Q14" s="7">
        <v>47</v>
      </c>
      <c r="U14" s="7">
        <v>1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</row>
    <row r="15" spans="1:32">
      <c r="A15" s="7">
        <v>51</v>
      </c>
      <c r="B15" s="7" t="s">
        <v>178</v>
      </c>
      <c r="C15" s="7" t="s">
        <v>62</v>
      </c>
      <c r="E15" s="7" t="s">
        <v>63</v>
      </c>
      <c r="F15" s="9">
        <v>46160</v>
      </c>
      <c r="G15" s="9">
        <v>46161</v>
      </c>
      <c r="H15" s="7" t="s">
        <v>179</v>
      </c>
      <c r="I15" s="7">
        <v>1</v>
      </c>
      <c r="J15" s="9">
        <v>46161</v>
      </c>
      <c r="K15" s="7" t="s">
        <v>44</v>
      </c>
      <c r="L15" s="7" t="s">
        <v>45</v>
      </c>
      <c r="M15" s="7" t="s">
        <v>174</v>
      </c>
      <c r="N15" s="7" t="s">
        <v>132</v>
      </c>
      <c r="O15" s="9">
        <v>46188</v>
      </c>
      <c r="P15" s="7" t="s">
        <v>38</v>
      </c>
      <c r="Q15" s="7" t="s">
        <v>180</v>
      </c>
      <c r="U15" s="7">
        <v>1</v>
      </c>
      <c r="V15" s="7">
        <v>1</v>
      </c>
      <c r="W15" s="7">
        <v>1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1</v>
      </c>
    </row>
    <row r="16" spans="1:32">
      <c r="A16" s="7">
        <v>61</v>
      </c>
      <c r="B16" s="7" t="s">
        <v>199</v>
      </c>
      <c r="C16" s="7" t="s">
        <v>200</v>
      </c>
      <c r="D16" s="7" t="s">
        <v>130</v>
      </c>
      <c r="E16" s="7" t="s">
        <v>131</v>
      </c>
      <c r="F16" s="9">
        <v>46181</v>
      </c>
      <c r="G16" s="9">
        <v>46191</v>
      </c>
      <c r="I16" s="7">
        <v>1</v>
      </c>
      <c r="J16" s="9">
        <v>46191</v>
      </c>
      <c r="K16" s="7" t="s">
        <v>44</v>
      </c>
      <c r="L16" s="7" t="s">
        <v>45</v>
      </c>
      <c r="M16" s="7" t="s">
        <v>198</v>
      </c>
      <c r="N16" s="7" t="s">
        <v>201</v>
      </c>
      <c r="O16" s="9">
        <v>46192</v>
      </c>
      <c r="P16" s="7" t="s">
        <v>38</v>
      </c>
      <c r="U16" s="7">
        <v>1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</row>
    <row r="17" spans="1:32">
      <c r="A17" s="7">
        <v>62</v>
      </c>
      <c r="B17" s="7" t="s">
        <v>202</v>
      </c>
      <c r="C17" s="7" t="s">
        <v>62</v>
      </c>
      <c r="E17" s="7" t="s">
        <v>134</v>
      </c>
      <c r="F17" s="9">
        <v>46181</v>
      </c>
      <c r="G17" s="9">
        <v>46185</v>
      </c>
      <c r="H17" s="7" t="s">
        <v>179</v>
      </c>
      <c r="I17" s="7">
        <v>1</v>
      </c>
      <c r="J17" s="9">
        <v>46185</v>
      </c>
      <c r="K17" s="7" t="s">
        <v>44</v>
      </c>
      <c r="L17" s="7" t="s">
        <v>45</v>
      </c>
      <c r="M17" s="7" t="s">
        <v>198</v>
      </c>
      <c r="N17" s="7" t="s">
        <v>201</v>
      </c>
      <c r="O17" s="9">
        <v>46188</v>
      </c>
      <c r="P17" s="7" t="s">
        <v>38</v>
      </c>
      <c r="Q17" s="7" t="s">
        <v>203</v>
      </c>
      <c r="U17" s="7">
        <v>1</v>
      </c>
      <c r="V17" s="7">
        <v>1</v>
      </c>
      <c r="W17" s="7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1</v>
      </c>
    </row>
    <row r="18" spans="1:32">
      <c r="A18" s="7">
        <v>63</v>
      </c>
      <c r="B18" s="7" t="s">
        <v>204</v>
      </c>
      <c r="C18" s="7" t="s">
        <v>67</v>
      </c>
      <c r="E18" s="7" t="s">
        <v>68</v>
      </c>
      <c r="F18" s="9">
        <v>46188</v>
      </c>
      <c r="G18" s="9">
        <v>46188</v>
      </c>
      <c r="H18" s="7">
        <v>62</v>
      </c>
      <c r="I18" s="7">
        <v>1</v>
      </c>
      <c r="J18" s="9">
        <v>46188</v>
      </c>
      <c r="K18" s="7" t="s">
        <v>44</v>
      </c>
      <c r="L18" s="7" t="s">
        <v>45</v>
      </c>
      <c r="M18" s="7" t="s">
        <v>198</v>
      </c>
      <c r="N18" s="7" t="s">
        <v>123</v>
      </c>
      <c r="O18" s="9">
        <v>46189</v>
      </c>
      <c r="P18" s="7" t="s">
        <v>38</v>
      </c>
      <c r="Q18" s="7">
        <v>64</v>
      </c>
      <c r="U18" s="7">
        <v>1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</row>
    <row r="19" spans="1:32">
      <c r="A19" s="7">
        <v>64</v>
      </c>
      <c r="B19" s="7" t="s">
        <v>205</v>
      </c>
      <c r="C19" s="7" t="s">
        <v>72</v>
      </c>
      <c r="E19" s="7" t="s">
        <v>63</v>
      </c>
      <c r="F19" s="9">
        <v>46189</v>
      </c>
      <c r="G19" s="9">
        <v>46190</v>
      </c>
      <c r="H19" s="7">
        <v>63</v>
      </c>
      <c r="I19" s="7">
        <v>1</v>
      </c>
      <c r="J19" s="9">
        <v>46190</v>
      </c>
      <c r="K19" s="7" t="s">
        <v>44</v>
      </c>
      <c r="L19" s="7" t="s">
        <v>45</v>
      </c>
      <c r="M19" s="7" t="s">
        <v>198</v>
      </c>
      <c r="N19" s="7" t="s">
        <v>138</v>
      </c>
      <c r="O19" s="9">
        <v>46191</v>
      </c>
      <c r="P19" s="7" t="s">
        <v>38</v>
      </c>
      <c r="Q19" s="7">
        <v>65</v>
      </c>
      <c r="U19" s="7">
        <v>1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</row>
    <row r="20" spans="1:32">
      <c r="A20" s="7">
        <v>65</v>
      </c>
      <c r="B20" s="7" t="s">
        <v>206</v>
      </c>
      <c r="C20" s="7" t="s">
        <v>77</v>
      </c>
      <c r="E20" s="7" t="s">
        <v>68</v>
      </c>
      <c r="F20" s="9">
        <v>46191</v>
      </c>
      <c r="G20" s="9">
        <v>46191</v>
      </c>
      <c r="H20" s="7">
        <v>64</v>
      </c>
      <c r="I20" s="7">
        <v>1</v>
      </c>
      <c r="J20" s="9">
        <v>46191</v>
      </c>
      <c r="K20" s="7" t="s">
        <v>44</v>
      </c>
      <c r="L20" s="7" t="s">
        <v>45</v>
      </c>
      <c r="M20" s="7" t="s">
        <v>198</v>
      </c>
      <c r="N20" s="7" t="s">
        <v>140</v>
      </c>
      <c r="O20" s="9">
        <v>46192</v>
      </c>
      <c r="P20" s="7" t="s">
        <v>38</v>
      </c>
      <c r="U20" s="7">
        <v>1</v>
      </c>
      <c r="V20" s="7">
        <v>0</v>
      </c>
      <c r="W20" s="7">
        <v>0</v>
      </c>
      <c r="X20" s="7">
        <v>0</v>
      </c>
      <c r="Y20" s="7">
        <v>1</v>
      </c>
      <c r="Z20" s="7">
        <v>0</v>
      </c>
      <c r="AA20" s="7">
        <v>0</v>
      </c>
      <c r="AB20" s="7">
        <v>0</v>
      </c>
      <c r="AC20" s="7">
        <v>0</v>
      </c>
      <c r="AD20" s="7">
        <v>1</v>
      </c>
      <c r="AE20" s="7">
        <v>0</v>
      </c>
      <c r="AF20" s="7">
        <v>0</v>
      </c>
    </row>
    <row r="21" spans="1:32">
      <c r="A21" s="7">
        <v>94</v>
      </c>
      <c r="B21" s="7" t="s">
        <v>262</v>
      </c>
      <c r="C21" s="7" t="s">
        <v>62</v>
      </c>
      <c r="E21" s="7" t="s">
        <v>177</v>
      </c>
      <c r="F21" s="9">
        <v>46181</v>
      </c>
      <c r="G21" s="9">
        <v>46188</v>
      </c>
      <c r="H21" s="7" t="s">
        <v>179</v>
      </c>
      <c r="I21" s="7">
        <v>1</v>
      </c>
      <c r="J21" s="9">
        <v>46188</v>
      </c>
      <c r="K21" s="7" t="s">
        <v>44</v>
      </c>
      <c r="L21" s="7" t="s">
        <v>45</v>
      </c>
      <c r="M21" s="7" t="s">
        <v>258</v>
      </c>
      <c r="N21" s="7" t="s">
        <v>132</v>
      </c>
      <c r="O21" s="9">
        <v>46188</v>
      </c>
      <c r="P21" s="7" t="s">
        <v>38</v>
      </c>
      <c r="Q21" s="7">
        <v>95</v>
      </c>
      <c r="U21" s="7">
        <v>1</v>
      </c>
      <c r="V21" s="7">
        <v>1</v>
      </c>
      <c r="W21" s="7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1</v>
      </c>
    </row>
    <row r="22" spans="1:32">
      <c r="A22" s="7">
        <v>95</v>
      </c>
      <c r="B22" s="7" t="s">
        <v>263</v>
      </c>
      <c r="C22" s="7" t="s">
        <v>67</v>
      </c>
      <c r="E22" s="7" t="s">
        <v>68</v>
      </c>
      <c r="F22" s="9">
        <v>46188</v>
      </c>
      <c r="G22" s="9">
        <v>46188</v>
      </c>
      <c r="H22" s="7">
        <v>94</v>
      </c>
      <c r="I22" s="7">
        <v>1</v>
      </c>
      <c r="J22" s="9">
        <v>46188</v>
      </c>
      <c r="K22" s="7" t="s">
        <v>44</v>
      </c>
      <c r="L22" s="7" t="s">
        <v>45</v>
      </c>
      <c r="M22" s="7" t="s">
        <v>258</v>
      </c>
      <c r="N22" s="7" t="s">
        <v>123</v>
      </c>
      <c r="O22" s="9">
        <v>46189</v>
      </c>
      <c r="P22" s="7" t="s">
        <v>38</v>
      </c>
      <c r="Q22" s="7">
        <v>96</v>
      </c>
      <c r="U22" s="7">
        <v>1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</row>
    <row r="23" spans="1:32">
      <c r="A23" s="7">
        <v>105</v>
      </c>
      <c r="B23" s="7" t="s">
        <v>281</v>
      </c>
      <c r="C23" s="7" t="s">
        <v>62</v>
      </c>
      <c r="E23" s="7" t="s">
        <v>43</v>
      </c>
      <c r="F23" s="9">
        <v>46170</v>
      </c>
      <c r="G23" s="9">
        <v>46170</v>
      </c>
      <c r="H23" s="7" t="s">
        <v>179</v>
      </c>
      <c r="I23" s="7">
        <v>1</v>
      </c>
      <c r="J23" s="9">
        <v>46170</v>
      </c>
      <c r="K23" s="7" t="s">
        <v>44</v>
      </c>
      <c r="L23" s="7" t="s">
        <v>45</v>
      </c>
      <c r="M23" s="7" t="s">
        <v>278</v>
      </c>
      <c r="N23" s="7" t="s">
        <v>132</v>
      </c>
      <c r="O23" s="9">
        <v>46188</v>
      </c>
      <c r="P23" s="7" t="s">
        <v>38</v>
      </c>
      <c r="Q23" s="7" t="s">
        <v>282</v>
      </c>
      <c r="U23" s="7">
        <v>1</v>
      </c>
      <c r="V23" s="7">
        <v>1</v>
      </c>
      <c r="W23" s="7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1</v>
      </c>
    </row>
    <row r="24" spans="1:32">
      <c r="A24" s="7">
        <v>106</v>
      </c>
      <c r="B24" s="7" t="s">
        <v>283</v>
      </c>
      <c r="C24" s="7" t="s">
        <v>67</v>
      </c>
      <c r="E24" s="7" t="s">
        <v>68</v>
      </c>
      <c r="F24" s="9">
        <v>46171</v>
      </c>
      <c r="G24" s="9">
        <v>46171</v>
      </c>
      <c r="H24" s="7">
        <v>105</v>
      </c>
      <c r="I24" s="7">
        <v>1</v>
      </c>
      <c r="J24" s="9">
        <v>46171</v>
      </c>
      <c r="K24" s="7" t="s">
        <v>44</v>
      </c>
      <c r="L24" s="7" t="s">
        <v>45</v>
      </c>
      <c r="M24" s="7" t="s">
        <v>278</v>
      </c>
      <c r="N24" s="7" t="s">
        <v>123</v>
      </c>
      <c r="O24" s="9">
        <v>46189</v>
      </c>
      <c r="P24" s="7" t="s">
        <v>38</v>
      </c>
      <c r="Q24" s="7">
        <v>107</v>
      </c>
      <c r="U24" s="7">
        <v>1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7"/>
  <sheetViews>
    <sheetView workbookViewId="0">
      <selection activeCell="G30" sqref="G30"/>
    </sheetView>
  </sheetViews>
  <sheetFormatPr defaultRowHeight="15"/>
  <cols>
    <col min="1" max="1" width="5" style="7" bestFit="1" customWidth="1"/>
    <col min="2" max="2" width="9.28515625" style="7" bestFit="1" customWidth="1"/>
    <col min="3" max="3" width="27.28515625" style="7" bestFit="1" customWidth="1"/>
    <col min="4" max="4" width="29.85546875" style="7" bestFit="1" customWidth="1"/>
    <col min="5" max="5" width="10.42578125" style="7" bestFit="1" customWidth="1"/>
    <col min="6" max="7" width="10.7109375" style="9" bestFit="1" customWidth="1"/>
    <col min="8" max="8" width="16.140625" style="7" bestFit="1" customWidth="1"/>
    <col min="9" max="9" width="13.7109375" style="7" bestFit="1" customWidth="1"/>
    <col min="10" max="10" width="14.5703125" style="7" bestFit="1" customWidth="1"/>
    <col min="11" max="11" width="12.42578125" style="7" bestFit="1" customWidth="1"/>
    <col min="12" max="12" width="8.85546875" style="7" bestFit="1" customWidth="1"/>
    <col min="13" max="13" width="32.140625" style="7" bestFit="1" customWidth="1"/>
    <col min="14" max="14" width="14.28515625" style="7" bestFit="1" customWidth="1"/>
    <col min="15" max="15" width="17" style="9" bestFit="1" customWidth="1"/>
    <col min="16" max="16" width="14.5703125" style="7" bestFit="1" customWidth="1"/>
    <col min="17" max="17" width="73.5703125" style="7" bestFit="1" customWidth="1"/>
    <col min="18" max="18" width="14.140625" style="7" bestFit="1" customWidth="1"/>
    <col min="19" max="19" width="28.140625" style="7" bestFit="1" customWidth="1"/>
    <col min="20" max="20" width="21.28515625" style="7" bestFit="1" customWidth="1"/>
    <col min="21" max="21" width="9.5703125" style="7" bestFit="1" customWidth="1"/>
    <col min="22" max="22" width="21" style="7" bestFit="1" customWidth="1"/>
    <col min="23" max="23" width="25.42578125" style="7" bestFit="1" customWidth="1"/>
    <col min="24" max="24" width="24.7109375" style="7" bestFit="1" customWidth="1"/>
    <col min="25" max="25" width="17.28515625" style="7" bestFit="1" customWidth="1"/>
    <col min="26" max="26" width="30.42578125" style="7" bestFit="1" customWidth="1"/>
    <col min="27" max="27" width="27.140625" style="7" bestFit="1" customWidth="1"/>
    <col min="28" max="28" width="38.28515625" style="7" bestFit="1" customWidth="1"/>
    <col min="29" max="29" width="23.85546875" style="7" bestFit="1" customWidth="1"/>
    <col min="30" max="30" width="21.7109375" style="7" bestFit="1" customWidth="1"/>
    <col min="31" max="31" width="21" style="7" bestFit="1" customWidth="1"/>
    <col min="32" max="32" width="12.28515625" style="7" bestFit="1" customWidth="1"/>
    <col min="33" max="16384" width="9.140625" style="7"/>
  </cols>
  <sheetData>
    <row r="1" spans="1:3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>
      <c r="A2" s="7">
        <v>29</v>
      </c>
      <c r="B2" s="7" t="s">
        <v>128</v>
      </c>
      <c r="C2" s="7" t="s">
        <v>129</v>
      </c>
      <c r="D2" s="7" t="s">
        <v>130</v>
      </c>
      <c r="E2" s="7" t="s">
        <v>131</v>
      </c>
      <c r="F2" s="9">
        <v>46181</v>
      </c>
      <c r="G2" s="9">
        <v>46191</v>
      </c>
      <c r="I2" s="15">
        <v>0</v>
      </c>
      <c r="K2" s="7" t="s">
        <v>56</v>
      </c>
      <c r="L2" s="7" t="s">
        <v>45</v>
      </c>
      <c r="M2" s="7" t="s">
        <v>127</v>
      </c>
      <c r="N2" s="7" t="s">
        <v>132</v>
      </c>
      <c r="O2" s="9">
        <v>46192</v>
      </c>
      <c r="P2" s="7" t="s">
        <v>38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</row>
    <row r="3" spans="1:32">
      <c r="A3" s="7">
        <v>30</v>
      </c>
      <c r="B3" s="7" t="s">
        <v>133</v>
      </c>
      <c r="C3" s="7" t="s">
        <v>62</v>
      </c>
      <c r="E3" s="7" t="s">
        <v>134</v>
      </c>
      <c r="F3" s="9">
        <v>46181</v>
      </c>
      <c r="G3" s="9">
        <v>46185</v>
      </c>
      <c r="H3" s="7">
        <v>13</v>
      </c>
      <c r="I3" s="15">
        <v>0</v>
      </c>
      <c r="K3" s="7" t="s">
        <v>56</v>
      </c>
      <c r="L3" s="7" t="s">
        <v>45</v>
      </c>
      <c r="M3" s="7" t="s">
        <v>127</v>
      </c>
      <c r="N3" s="7" t="s">
        <v>132</v>
      </c>
      <c r="O3" s="9">
        <v>46188</v>
      </c>
      <c r="P3" s="7" t="s">
        <v>38</v>
      </c>
      <c r="Q3" s="7" t="s">
        <v>135</v>
      </c>
      <c r="U3" s="7">
        <v>0</v>
      </c>
      <c r="V3" s="7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</row>
    <row r="4" spans="1:32">
      <c r="A4" s="7">
        <v>31</v>
      </c>
      <c r="B4" s="7" t="s">
        <v>136</v>
      </c>
      <c r="C4" s="7" t="s">
        <v>67</v>
      </c>
      <c r="E4" s="7" t="s">
        <v>68</v>
      </c>
      <c r="F4" s="9">
        <v>46188</v>
      </c>
      <c r="G4" s="9">
        <v>46188</v>
      </c>
      <c r="H4" s="7">
        <v>30</v>
      </c>
      <c r="I4" s="15">
        <v>0</v>
      </c>
      <c r="K4" s="7" t="s">
        <v>56</v>
      </c>
      <c r="L4" s="7" t="s">
        <v>45</v>
      </c>
      <c r="M4" s="7" t="s">
        <v>127</v>
      </c>
      <c r="N4" s="7" t="s">
        <v>123</v>
      </c>
      <c r="O4" s="9">
        <v>46189</v>
      </c>
      <c r="P4" s="7" t="s">
        <v>38</v>
      </c>
      <c r="Q4" s="7">
        <v>32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</row>
    <row r="5" spans="1:32">
      <c r="A5" s="7">
        <v>32</v>
      </c>
      <c r="B5" s="7" t="s">
        <v>137</v>
      </c>
      <c r="C5" s="7" t="s">
        <v>72</v>
      </c>
      <c r="E5" s="7" t="s">
        <v>63</v>
      </c>
      <c r="F5" s="9">
        <v>46189</v>
      </c>
      <c r="G5" s="9">
        <v>46190</v>
      </c>
      <c r="H5" s="7">
        <v>31</v>
      </c>
      <c r="I5" s="15">
        <v>0</v>
      </c>
      <c r="K5" s="7" t="s">
        <v>56</v>
      </c>
      <c r="L5" s="7" t="s">
        <v>45</v>
      </c>
      <c r="M5" s="7" t="s">
        <v>127</v>
      </c>
      <c r="N5" s="7" t="s">
        <v>138</v>
      </c>
      <c r="O5" s="9">
        <v>46191</v>
      </c>
      <c r="P5" s="7" t="s">
        <v>38</v>
      </c>
      <c r="Q5" s="7">
        <v>33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</row>
    <row r="6" spans="1:32">
      <c r="A6" s="7">
        <v>33</v>
      </c>
      <c r="B6" s="7" t="s">
        <v>139</v>
      </c>
      <c r="C6" s="7" t="s">
        <v>77</v>
      </c>
      <c r="E6" s="7" t="s">
        <v>68</v>
      </c>
      <c r="F6" s="9">
        <v>46191</v>
      </c>
      <c r="G6" s="9">
        <v>46191</v>
      </c>
      <c r="H6" s="7">
        <v>32</v>
      </c>
      <c r="I6" s="15">
        <v>0</v>
      </c>
      <c r="K6" s="7" t="s">
        <v>56</v>
      </c>
      <c r="L6" s="7" t="s">
        <v>45</v>
      </c>
      <c r="M6" s="7" t="s">
        <v>127</v>
      </c>
      <c r="N6" s="7" t="s">
        <v>140</v>
      </c>
      <c r="O6" s="9">
        <v>46192</v>
      </c>
      <c r="P6" s="7" t="s">
        <v>38</v>
      </c>
      <c r="U6" s="7">
        <v>0</v>
      </c>
      <c r="V6" s="7">
        <v>0</v>
      </c>
      <c r="W6" s="7">
        <v>0</v>
      </c>
      <c r="X6" s="7">
        <v>0</v>
      </c>
      <c r="Y6" s="7">
        <v>1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>
      <c r="A7" s="7">
        <v>39</v>
      </c>
      <c r="B7" s="7" t="s">
        <v>152</v>
      </c>
      <c r="C7" s="7" t="s">
        <v>153</v>
      </c>
      <c r="D7" s="7" t="s">
        <v>154</v>
      </c>
      <c r="E7" s="7" t="s">
        <v>155</v>
      </c>
      <c r="F7" s="9">
        <v>46170</v>
      </c>
      <c r="G7" s="9">
        <v>46176</v>
      </c>
      <c r="I7" s="15">
        <v>0.63</v>
      </c>
      <c r="K7" s="7" t="s">
        <v>56</v>
      </c>
      <c r="L7" s="7" t="s">
        <v>45</v>
      </c>
      <c r="M7" s="7" t="s">
        <v>127</v>
      </c>
      <c r="N7" s="7" t="s">
        <v>79</v>
      </c>
      <c r="O7" s="9">
        <v>46167</v>
      </c>
      <c r="P7" s="7" t="s">
        <v>38</v>
      </c>
      <c r="U7" s="7">
        <v>0.63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</row>
    <row r="8" spans="1:32">
      <c r="A8" s="7">
        <v>42</v>
      </c>
      <c r="B8" s="7" t="s">
        <v>160</v>
      </c>
      <c r="C8" s="7" t="s">
        <v>72</v>
      </c>
      <c r="E8" s="7" t="s">
        <v>63</v>
      </c>
      <c r="F8" s="9">
        <v>46174</v>
      </c>
      <c r="G8" s="9">
        <v>46175</v>
      </c>
      <c r="H8" s="7">
        <v>41</v>
      </c>
      <c r="I8" s="15">
        <v>0.75</v>
      </c>
      <c r="K8" s="7" t="s">
        <v>56</v>
      </c>
      <c r="L8" s="7" t="s">
        <v>45</v>
      </c>
      <c r="M8" s="7" t="s">
        <v>127</v>
      </c>
      <c r="N8" s="7" t="s">
        <v>161</v>
      </c>
      <c r="O8" s="9">
        <v>46164</v>
      </c>
      <c r="P8" s="7" t="s">
        <v>38</v>
      </c>
      <c r="Q8" s="7">
        <v>43</v>
      </c>
      <c r="U8" s="7">
        <v>0.75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>
      <c r="A9" s="7">
        <v>43</v>
      </c>
      <c r="B9" s="7" t="s">
        <v>162</v>
      </c>
      <c r="C9" s="7" t="s">
        <v>77</v>
      </c>
      <c r="E9" s="7" t="s">
        <v>68</v>
      </c>
      <c r="F9" s="9">
        <v>46176</v>
      </c>
      <c r="G9" s="9">
        <v>46176</v>
      </c>
      <c r="H9" s="7">
        <v>42</v>
      </c>
      <c r="I9" s="15">
        <v>0</v>
      </c>
      <c r="K9" s="7" t="s">
        <v>56</v>
      </c>
      <c r="L9" s="7" t="s">
        <v>45</v>
      </c>
      <c r="M9" s="7" t="s">
        <v>127</v>
      </c>
      <c r="N9" s="7" t="s">
        <v>163</v>
      </c>
      <c r="O9" s="9">
        <v>46167</v>
      </c>
      <c r="P9" s="7" t="s">
        <v>38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</row>
    <row r="10" spans="1:32">
      <c r="A10" s="7">
        <v>50</v>
      </c>
      <c r="B10" s="7" t="s">
        <v>175</v>
      </c>
      <c r="C10" s="7" t="s">
        <v>176</v>
      </c>
      <c r="D10" s="7" t="s">
        <v>130</v>
      </c>
      <c r="E10" s="7" t="s">
        <v>177</v>
      </c>
      <c r="F10" s="9">
        <v>46160</v>
      </c>
      <c r="G10" s="9">
        <v>46167</v>
      </c>
      <c r="I10" s="15">
        <v>0.46</v>
      </c>
      <c r="K10" s="7" t="s">
        <v>34</v>
      </c>
      <c r="L10" s="7" t="s">
        <v>45</v>
      </c>
      <c r="M10" s="7" t="s">
        <v>174</v>
      </c>
      <c r="N10" s="7" t="s">
        <v>132</v>
      </c>
      <c r="O10" s="9">
        <v>46192</v>
      </c>
      <c r="P10" s="7" t="s">
        <v>38</v>
      </c>
      <c r="U10" s="7">
        <v>0.46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</row>
    <row r="11" spans="1:32">
      <c r="A11" s="7">
        <v>52</v>
      </c>
      <c r="B11" s="7" t="s">
        <v>181</v>
      </c>
      <c r="C11" s="7" t="s">
        <v>67</v>
      </c>
      <c r="E11" s="7" t="s">
        <v>68</v>
      </c>
      <c r="F11" s="9">
        <v>46162</v>
      </c>
      <c r="G11" s="9">
        <v>46162</v>
      </c>
      <c r="H11" s="7">
        <v>51</v>
      </c>
      <c r="I11" s="15">
        <v>0.75</v>
      </c>
      <c r="K11" s="7" t="s">
        <v>56</v>
      </c>
      <c r="L11" s="7" t="s">
        <v>45</v>
      </c>
      <c r="M11" s="7" t="s">
        <v>174</v>
      </c>
      <c r="N11" s="7" t="s">
        <v>123</v>
      </c>
      <c r="O11" s="9">
        <v>46189</v>
      </c>
      <c r="P11" s="7" t="s">
        <v>38</v>
      </c>
      <c r="Q11" s="7">
        <v>53</v>
      </c>
      <c r="U11" s="7">
        <v>0.75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</row>
    <row r="12" spans="1:32">
      <c r="A12" s="7">
        <v>53</v>
      </c>
      <c r="B12" s="7" t="s">
        <v>182</v>
      </c>
      <c r="C12" s="7" t="s">
        <v>72</v>
      </c>
      <c r="E12" s="7" t="s">
        <v>63</v>
      </c>
      <c r="F12" s="9">
        <v>46163</v>
      </c>
      <c r="G12" s="9">
        <v>46164</v>
      </c>
      <c r="H12" s="7">
        <v>52</v>
      </c>
      <c r="I12" s="15">
        <v>0</v>
      </c>
      <c r="K12" s="7" t="s">
        <v>56</v>
      </c>
      <c r="L12" s="7" t="s">
        <v>45</v>
      </c>
      <c r="M12" s="7" t="s">
        <v>174</v>
      </c>
      <c r="N12" s="7" t="s">
        <v>138</v>
      </c>
      <c r="O12" s="9">
        <v>46191</v>
      </c>
      <c r="P12" s="7" t="s">
        <v>38</v>
      </c>
      <c r="Q12" s="7">
        <v>54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</row>
    <row r="13" spans="1:32">
      <c r="A13" s="7">
        <v>54</v>
      </c>
      <c r="B13" s="7" t="s">
        <v>183</v>
      </c>
      <c r="C13" s="7" t="s">
        <v>77</v>
      </c>
      <c r="E13" s="7" t="s">
        <v>68</v>
      </c>
      <c r="F13" s="9">
        <v>46167</v>
      </c>
      <c r="G13" s="9">
        <v>46167</v>
      </c>
      <c r="H13" s="7">
        <v>53</v>
      </c>
      <c r="I13" s="15">
        <v>0</v>
      </c>
      <c r="K13" s="7" t="s">
        <v>56</v>
      </c>
      <c r="L13" s="7" t="s">
        <v>45</v>
      </c>
      <c r="M13" s="7" t="s">
        <v>174</v>
      </c>
      <c r="N13" s="7" t="s">
        <v>140</v>
      </c>
      <c r="O13" s="9">
        <v>46192</v>
      </c>
      <c r="P13" s="7" t="s">
        <v>38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</row>
    <row r="14" spans="1:32">
      <c r="A14" s="7">
        <v>82</v>
      </c>
      <c r="B14" s="7" t="s">
        <v>241</v>
      </c>
      <c r="C14" s="7" t="s">
        <v>242</v>
      </c>
      <c r="D14" s="7" t="s">
        <v>130</v>
      </c>
      <c r="E14" s="7" t="s">
        <v>102</v>
      </c>
      <c r="F14" s="9">
        <v>46183</v>
      </c>
      <c r="G14" s="9">
        <v>46191</v>
      </c>
      <c r="I14" s="15">
        <v>0</v>
      </c>
      <c r="K14" s="7" t="s">
        <v>56</v>
      </c>
      <c r="L14" s="7" t="s">
        <v>45</v>
      </c>
      <c r="M14" s="7" t="s">
        <v>239</v>
      </c>
      <c r="N14" s="7" t="s">
        <v>132</v>
      </c>
      <c r="O14" s="9">
        <v>46192</v>
      </c>
      <c r="P14" s="7" t="s">
        <v>38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</row>
    <row r="15" spans="1:32">
      <c r="A15" s="7">
        <v>83</v>
      </c>
      <c r="B15" s="7" t="s">
        <v>243</v>
      </c>
      <c r="C15" s="7" t="s">
        <v>62</v>
      </c>
      <c r="E15" s="7" t="s">
        <v>85</v>
      </c>
      <c r="F15" s="9">
        <v>46183</v>
      </c>
      <c r="G15" s="9">
        <v>46185</v>
      </c>
      <c r="H15" s="7" t="s">
        <v>179</v>
      </c>
      <c r="I15" s="15">
        <v>0</v>
      </c>
      <c r="K15" s="7" t="s">
        <v>56</v>
      </c>
      <c r="L15" s="7" t="s">
        <v>45</v>
      </c>
      <c r="M15" s="7" t="s">
        <v>239</v>
      </c>
      <c r="N15" s="7" t="s">
        <v>132</v>
      </c>
      <c r="O15" s="9">
        <v>46188</v>
      </c>
      <c r="P15" s="7" t="s">
        <v>38</v>
      </c>
      <c r="Q15" s="7" t="s">
        <v>244</v>
      </c>
      <c r="U15" s="7">
        <v>0</v>
      </c>
      <c r="V15" s="7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</row>
    <row r="16" spans="1:32">
      <c r="A16" s="7">
        <v>84</v>
      </c>
      <c r="B16" s="7" t="s">
        <v>245</v>
      </c>
      <c r="C16" s="7" t="s">
        <v>67</v>
      </c>
      <c r="E16" s="7" t="s">
        <v>68</v>
      </c>
      <c r="F16" s="9">
        <v>46188</v>
      </c>
      <c r="G16" s="9">
        <v>46188</v>
      </c>
      <c r="H16" s="7">
        <v>83</v>
      </c>
      <c r="I16" s="15">
        <v>0</v>
      </c>
      <c r="K16" s="7" t="s">
        <v>56</v>
      </c>
      <c r="L16" s="7" t="s">
        <v>45</v>
      </c>
      <c r="M16" s="7" t="s">
        <v>239</v>
      </c>
      <c r="N16" s="7" t="s">
        <v>123</v>
      </c>
      <c r="O16" s="9">
        <v>46189</v>
      </c>
      <c r="P16" s="7" t="s">
        <v>38</v>
      </c>
      <c r="Q16" s="7">
        <v>85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</row>
    <row r="17" spans="1:32">
      <c r="A17" s="7">
        <v>85</v>
      </c>
      <c r="B17" s="7" t="s">
        <v>246</v>
      </c>
      <c r="C17" s="7" t="s">
        <v>72</v>
      </c>
      <c r="E17" s="7" t="s">
        <v>63</v>
      </c>
      <c r="F17" s="9">
        <v>46189</v>
      </c>
      <c r="G17" s="9">
        <v>46190</v>
      </c>
      <c r="H17" s="7">
        <v>84</v>
      </c>
      <c r="I17" s="15">
        <v>0</v>
      </c>
      <c r="K17" s="7" t="s">
        <v>56</v>
      </c>
      <c r="L17" s="7" t="s">
        <v>45</v>
      </c>
      <c r="M17" s="7" t="s">
        <v>239</v>
      </c>
      <c r="N17" s="7" t="s">
        <v>138</v>
      </c>
      <c r="O17" s="9">
        <v>46191</v>
      </c>
      <c r="P17" s="7" t="s">
        <v>38</v>
      </c>
      <c r="Q17" s="7">
        <v>86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</row>
    <row r="18" spans="1:32">
      <c r="A18" s="7">
        <v>86</v>
      </c>
      <c r="B18" s="7" t="s">
        <v>247</v>
      </c>
      <c r="C18" s="7" t="s">
        <v>77</v>
      </c>
      <c r="E18" s="7" t="s">
        <v>68</v>
      </c>
      <c r="F18" s="9">
        <v>46191</v>
      </c>
      <c r="G18" s="9">
        <v>46191</v>
      </c>
      <c r="H18" s="7">
        <v>85</v>
      </c>
      <c r="I18" s="15">
        <v>0</v>
      </c>
      <c r="K18" s="7" t="s">
        <v>56</v>
      </c>
      <c r="L18" s="7" t="s">
        <v>45</v>
      </c>
      <c r="M18" s="7" t="s">
        <v>239</v>
      </c>
      <c r="N18" s="7" t="s">
        <v>140</v>
      </c>
      <c r="O18" s="9">
        <v>46192</v>
      </c>
      <c r="P18" s="7" t="s">
        <v>38</v>
      </c>
      <c r="U18" s="7">
        <v>0</v>
      </c>
      <c r="V18" s="7">
        <v>0</v>
      </c>
      <c r="W18" s="7">
        <v>0</v>
      </c>
      <c r="X18" s="7">
        <v>0</v>
      </c>
      <c r="Y18" s="7">
        <v>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</row>
    <row r="19" spans="1:32">
      <c r="A19" s="7">
        <v>93</v>
      </c>
      <c r="B19" s="7" t="s">
        <v>259</v>
      </c>
      <c r="C19" s="7" t="s">
        <v>260</v>
      </c>
      <c r="D19" s="7" t="s">
        <v>130</v>
      </c>
      <c r="E19" s="7" t="s">
        <v>131</v>
      </c>
      <c r="F19" s="9">
        <v>46181</v>
      </c>
      <c r="G19" s="9">
        <v>46191</v>
      </c>
      <c r="I19" s="15">
        <v>0.8</v>
      </c>
      <c r="K19" s="7" t="s">
        <v>56</v>
      </c>
      <c r="L19" s="7" t="s">
        <v>45</v>
      </c>
      <c r="M19" s="7" t="s">
        <v>258</v>
      </c>
      <c r="N19" s="7" t="s">
        <v>132</v>
      </c>
      <c r="O19" s="9">
        <v>46192</v>
      </c>
      <c r="P19" s="7" t="s">
        <v>38</v>
      </c>
      <c r="Q19" s="7" t="s">
        <v>261</v>
      </c>
      <c r="U19" s="7">
        <v>0.8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</row>
    <row r="20" spans="1:32">
      <c r="A20" s="7">
        <v>96</v>
      </c>
      <c r="B20" s="7" t="s">
        <v>264</v>
      </c>
      <c r="C20" s="7" t="s">
        <v>72</v>
      </c>
      <c r="E20" s="7" t="s">
        <v>63</v>
      </c>
      <c r="F20" s="9">
        <v>46189</v>
      </c>
      <c r="G20" s="9">
        <v>46190</v>
      </c>
      <c r="H20" s="7">
        <v>95</v>
      </c>
      <c r="I20" s="15">
        <v>0.5</v>
      </c>
      <c r="K20" s="7" t="s">
        <v>56</v>
      </c>
      <c r="L20" s="7" t="s">
        <v>45</v>
      </c>
      <c r="M20" s="7" t="s">
        <v>258</v>
      </c>
      <c r="N20" s="7" t="s">
        <v>138</v>
      </c>
      <c r="O20" s="9">
        <v>46191</v>
      </c>
      <c r="P20" s="7" t="s">
        <v>38</v>
      </c>
      <c r="Q20" s="7">
        <v>97</v>
      </c>
      <c r="U20" s="7">
        <v>0.5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</row>
    <row r="21" spans="1:32">
      <c r="A21" s="7">
        <v>97</v>
      </c>
      <c r="B21" s="7" t="s">
        <v>265</v>
      </c>
      <c r="C21" s="7" t="s">
        <v>77</v>
      </c>
      <c r="E21" s="7" t="s">
        <v>68</v>
      </c>
      <c r="F21" s="9">
        <v>46191</v>
      </c>
      <c r="G21" s="9">
        <v>46191</v>
      </c>
      <c r="H21" s="7">
        <v>96</v>
      </c>
      <c r="I21" s="15">
        <v>0</v>
      </c>
      <c r="K21" s="7" t="s">
        <v>56</v>
      </c>
      <c r="L21" s="7" t="s">
        <v>45</v>
      </c>
      <c r="M21" s="7" t="s">
        <v>258</v>
      </c>
      <c r="N21" s="7" t="s">
        <v>140</v>
      </c>
      <c r="O21" s="9">
        <v>46192</v>
      </c>
      <c r="P21" s="7" t="s">
        <v>38</v>
      </c>
      <c r="U21" s="7">
        <v>0</v>
      </c>
      <c r="V21" s="7">
        <v>0</v>
      </c>
      <c r="W21" s="7">
        <v>0</v>
      </c>
      <c r="X21" s="7">
        <v>0</v>
      </c>
      <c r="Y21" s="7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</row>
    <row r="22" spans="1:32">
      <c r="A22" s="7">
        <v>104</v>
      </c>
      <c r="B22" s="7" t="s">
        <v>279</v>
      </c>
      <c r="C22" s="7" t="s">
        <v>280</v>
      </c>
      <c r="D22" s="7" t="s">
        <v>130</v>
      </c>
      <c r="E22" s="7" t="s">
        <v>155</v>
      </c>
      <c r="F22" s="9">
        <v>46170</v>
      </c>
      <c r="G22" s="9">
        <v>46176</v>
      </c>
      <c r="I22" s="15">
        <v>0.5</v>
      </c>
      <c r="K22" s="7" t="s">
        <v>56</v>
      </c>
      <c r="L22" s="7" t="s">
        <v>45</v>
      </c>
      <c r="M22" s="7" t="s">
        <v>278</v>
      </c>
      <c r="N22" s="7" t="s">
        <v>132</v>
      </c>
      <c r="O22" s="9">
        <v>46192</v>
      </c>
      <c r="P22" s="7" t="s">
        <v>38</v>
      </c>
      <c r="U22" s="7">
        <v>0.5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</row>
    <row r="23" spans="1:32">
      <c r="A23" s="7">
        <v>107</v>
      </c>
      <c r="B23" s="7" t="s">
        <v>284</v>
      </c>
      <c r="C23" s="7" t="s">
        <v>72</v>
      </c>
      <c r="E23" s="7" t="s">
        <v>63</v>
      </c>
      <c r="F23" s="9">
        <v>46174</v>
      </c>
      <c r="G23" s="9">
        <v>46175</v>
      </c>
      <c r="H23" s="7">
        <v>106</v>
      </c>
      <c r="I23" s="15">
        <v>0.5</v>
      </c>
      <c r="K23" s="7" t="s">
        <v>56</v>
      </c>
      <c r="L23" s="7" t="s">
        <v>45</v>
      </c>
      <c r="M23" s="7" t="s">
        <v>278</v>
      </c>
      <c r="N23" s="7" t="s">
        <v>138</v>
      </c>
      <c r="O23" s="9">
        <v>46191</v>
      </c>
      <c r="P23" s="7" t="s">
        <v>38</v>
      </c>
      <c r="Q23" s="7">
        <v>108</v>
      </c>
      <c r="U23" s="7">
        <v>0.5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</row>
    <row r="24" spans="1:32">
      <c r="A24" s="7">
        <v>108</v>
      </c>
      <c r="B24" s="7" t="s">
        <v>285</v>
      </c>
      <c r="C24" s="7" t="s">
        <v>77</v>
      </c>
      <c r="E24" s="7" t="s">
        <v>68</v>
      </c>
      <c r="F24" s="9">
        <v>46176</v>
      </c>
      <c r="G24" s="9">
        <v>46176</v>
      </c>
      <c r="H24" s="7">
        <v>107</v>
      </c>
      <c r="I24" s="15">
        <v>0</v>
      </c>
      <c r="K24" s="7" t="s">
        <v>56</v>
      </c>
      <c r="L24" s="7" t="s">
        <v>45</v>
      </c>
      <c r="M24" s="7" t="s">
        <v>278</v>
      </c>
      <c r="N24" s="7" t="s">
        <v>140</v>
      </c>
      <c r="O24" s="9">
        <v>46192</v>
      </c>
      <c r="P24" s="7" t="s">
        <v>38</v>
      </c>
      <c r="U24" s="7">
        <v>0</v>
      </c>
      <c r="V24" s="7">
        <v>0</v>
      </c>
      <c r="W24" s="7">
        <v>0</v>
      </c>
      <c r="X24" s="7">
        <v>0</v>
      </c>
      <c r="Y24" s="7">
        <v>1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</row>
    <row r="25" spans="1:32">
      <c r="I25" s="15"/>
    </row>
    <row r="26" spans="1:32">
      <c r="I26" s="15">
        <v>0</v>
      </c>
    </row>
    <row r="27" spans="1:32">
      <c r="I27" s="15">
        <v>1</v>
      </c>
    </row>
  </sheetData>
  <conditionalFormatting sqref="I2:I2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{0D04D085-641D-46D6-AF83-71C83988A4B9}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04D085-641D-46D6-AF83-71C83988A4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I2:I27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1"/>
  <sheetViews>
    <sheetView workbookViewId="0">
      <selection sqref="A1:XFD1048576"/>
    </sheetView>
  </sheetViews>
  <sheetFormatPr defaultRowHeight="15"/>
  <cols>
    <col min="1" max="1" width="14.5703125" style="7" bestFit="1" customWidth="1"/>
    <col min="2" max="2" width="5" style="7" bestFit="1" customWidth="1"/>
    <col min="3" max="3" width="9.28515625" style="7" bestFit="1" customWidth="1"/>
    <col min="4" max="4" width="28.140625" style="7" bestFit="1" customWidth="1"/>
    <col min="5" max="5" width="27.28515625" style="7" bestFit="1" customWidth="1"/>
    <col min="6" max="6" width="12.42578125" style="7" bestFit="1" customWidth="1"/>
    <col min="7" max="7" width="13.7109375" style="7" bestFit="1" customWidth="1"/>
    <col min="8" max="8" width="21.28515625" style="7" bestFit="1" customWidth="1"/>
    <col min="9" max="9" width="32.140625" style="7" bestFit="1" customWidth="1"/>
    <col min="10" max="10" width="8.85546875" style="7" bestFit="1" customWidth="1"/>
    <col min="11" max="16384" width="9.140625" style="7"/>
  </cols>
  <sheetData>
    <row r="1" spans="1:10">
      <c r="A1" s="7" t="s">
        <v>15</v>
      </c>
      <c r="B1" s="7" t="s">
        <v>0</v>
      </c>
      <c r="C1" s="7" t="s">
        <v>1</v>
      </c>
      <c r="D1" s="7" t="s">
        <v>18</v>
      </c>
      <c r="E1" s="7" t="s">
        <v>2</v>
      </c>
      <c r="F1" s="7" t="s">
        <v>10</v>
      </c>
      <c r="G1" s="7" t="s">
        <v>8</v>
      </c>
      <c r="H1" s="7" t="s">
        <v>19</v>
      </c>
      <c r="I1" s="7" t="s">
        <v>12</v>
      </c>
      <c r="J1" s="7" t="s">
        <v>11</v>
      </c>
    </row>
    <row r="2" spans="1:10">
      <c r="A2" s="7" t="s">
        <v>38</v>
      </c>
      <c r="B2" s="7">
        <v>1</v>
      </c>
      <c r="C2" s="7">
        <v>1</v>
      </c>
      <c r="E2" s="7" t="s">
        <v>32</v>
      </c>
      <c r="F2" s="7" t="s">
        <v>34</v>
      </c>
      <c r="G2" s="15">
        <v>0.3</v>
      </c>
      <c r="I2" s="7" t="s">
        <v>36</v>
      </c>
      <c r="J2" s="7" t="s">
        <v>35</v>
      </c>
    </row>
    <row r="3" spans="1:10">
      <c r="A3" s="7" t="s">
        <v>38</v>
      </c>
      <c r="B3" s="7">
        <v>2</v>
      </c>
      <c r="C3" s="7" t="s">
        <v>39</v>
      </c>
      <c r="E3" s="7" t="s">
        <v>40</v>
      </c>
      <c r="F3" s="7" t="s">
        <v>34</v>
      </c>
      <c r="G3" s="15">
        <v>0.3</v>
      </c>
      <c r="I3" s="7" t="s">
        <v>36</v>
      </c>
      <c r="J3" s="7" t="s">
        <v>35</v>
      </c>
    </row>
    <row r="4" spans="1:10">
      <c r="A4" s="7" t="s">
        <v>38</v>
      </c>
      <c r="B4" s="7">
        <v>6</v>
      </c>
      <c r="C4" s="7" t="s">
        <v>53</v>
      </c>
      <c r="E4" s="7" t="s">
        <v>54</v>
      </c>
      <c r="F4" s="7" t="s">
        <v>56</v>
      </c>
      <c r="G4" s="15">
        <v>0.77</v>
      </c>
      <c r="I4" s="7" t="s">
        <v>57</v>
      </c>
      <c r="J4" s="7" t="s">
        <v>35</v>
      </c>
    </row>
    <row r="5" spans="1:10">
      <c r="A5" s="7" t="s">
        <v>38</v>
      </c>
      <c r="B5" s="7">
        <v>7</v>
      </c>
      <c r="C5" s="7" t="s">
        <v>58</v>
      </c>
      <c r="E5" s="7" t="s">
        <v>59</v>
      </c>
      <c r="F5" s="7" t="s">
        <v>56</v>
      </c>
      <c r="G5" s="15">
        <v>0.7</v>
      </c>
      <c r="I5" s="7" t="s">
        <v>57</v>
      </c>
      <c r="J5" s="7" t="s">
        <v>35</v>
      </c>
    </row>
    <row r="6" spans="1:10">
      <c r="A6" s="7" t="s">
        <v>38</v>
      </c>
      <c r="B6" s="7">
        <v>12</v>
      </c>
      <c r="C6" s="7" t="s">
        <v>80</v>
      </c>
      <c r="E6" s="7" t="s">
        <v>81</v>
      </c>
      <c r="F6" s="7" t="s">
        <v>56</v>
      </c>
      <c r="G6" s="15">
        <v>0.81</v>
      </c>
      <c r="I6" s="7" t="s">
        <v>57</v>
      </c>
      <c r="J6" s="7" t="s">
        <v>45</v>
      </c>
    </row>
    <row r="7" spans="1:10">
      <c r="A7" s="7" t="s">
        <v>38</v>
      </c>
      <c r="B7" s="7">
        <v>17</v>
      </c>
      <c r="C7" s="7" t="s">
        <v>95</v>
      </c>
      <c r="E7" s="7" t="s">
        <v>96</v>
      </c>
      <c r="F7" s="7" t="s">
        <v>56</v>
      </c>
      <c r="G7" s="15">
        <v>0.36</v>
      </c>
      <c r="I7" s="7" t="s">
        <v>98</v>
      </c>
      <c r="J7" s="7" t="s">
        <v>45</v>
      </c>
    </row>
    <row r="8" spans="1:10">
      <c r="A8" s="7" t="s">
        <v>38</v>
      </c>
      <c r="B8" s="7">
        <v>23</v>
      </c>
      <c r="C8" s="7" t="s">
        <v>112</v>
      </c>
      <c r="E8" s="7" t="s">
        <v>113</v>
      </c>
      <c r="F8" s="7" t="s">
        <v>56</v>
      </c>
      <c r="G8" s="15">
        <v>0.71</v>
      </c>
      <c r="I8" s="7" t="s">
        <v>98</v>
      </c>
      <c r="J8" s="7" t="s">
        <v>45</v>
      </c>
    </row>
    <row r="9" spans="1:10">
      <c r="A9" s="7" t="s">
        <v>38</v>
      </c>
      <c r="B9" s="7">
        <v>28</v>
      </c>
      <c r="C9" s="7" t="s">
        <v>124</v>
      </c>
      <c r="E9" s="7" t="s">
        <v>125</v>
      </c>
      <c r="F9" s="7" t="s">
        <v>56</v>
      </c>
      <c r="G9" s="15">
        <v>0.21</v>
      </c>
      <c r="I9" s="7" t="s">
        <v>127</v>
      </c>
      <c r="J9" s="7" t="s">
        <v>45</v>
      </c>
    </row>
    <row r="10" spans="1:10">
      <c r="A10" s="7" t="s">
        <v>38</v>
      </c>
      <c r="B10" s="7">
        <v>29</v>
      </c>
      <c r="C10" s="7" t="s">
        <v>128</v>
      </c>
      <c r="E10" s="7" t="s">
        <v>129</v>
      </c>
      <c r="F10" s="7" t="s">
        <v>56</v>
      </c>
      <c r="G10" s="15">
        <v>0</v>
      </c>
      <c r="I10" s="7" t="s">
        <v>127</v>
      </c>
      <c r="J10" s="7" t="s">
        <v>45</v>
      </c>
    </row>
    <row r="11" spans="1:10">
      <c r="A11" s="7" t="s">
        <v>38</v>
      </c>
      <c r="B11" s="7">
        <v>30</v>
      </c>
      <c r="C11" s="7" t="s">
        <v>133</v>
      </c>
      <c r="E11" s="7" t="s">
        <v>62</v>
      </c>
      <c r="F11" s="7" t="s">
        <v>56</v>
      </c>
      <c r="G11" s="15">
        <v>0</v>
      </c>
      <c r="I11" s="7" t="s">
        <v>127</v>
      </c>
      <c r="J11" s="7" t="s">
        <v>45</v>
      </c>
    </row>
    <row r="12" spans="1:10">
      <c r="A12" s="7" t="s">
        <v>38</v>
      </c>
      <c r="B12" s="7">
        <v>31</v>
      </c>
      <c r="C12" s="7" t="s">
        <v>136</v>
      </c>
      <c r="E12" s="7" t="s">
        <v>67</v>
      </c>
      <c r="F12" s="7" t="s">
        <v>56</v>
      </c>
      <c r="G12" s="15">
        <v>0</v>
      </c>
      <c r="I12" s="7" t="s">
        <v>127</v>
      </c>
      <c r="J12" s="7" t="s">
        <v>45</v>
      </c>
    </row>
    <row r="13" spans="1:10">
      <c r="A13" s="7" t="s">
        <v>38</v>
      </c>
      <c r="B13" s="7">
        <v>32</v>
      </c>
      <c r="C13" s="7" t="s">
        <v>137</v>
      </c>
      <c r="E13" s="7" t="s">
        <v>72</v>
      </c>
      <c r="F13" s="7" t="s">
        <v>56</v>
      </c>
      <c r="G13" s="15">
        <v>0</v>
      </c>
      <c r="I13" s="7" t="s">
        <v>127</v>
      </c>
      <c r="J13" s="7" t="s">
        <v>45</v>
      </c>
    </row>
    <row r="14" spans="1:10">
      <c r="A14" s="7" t="s">
        <v>38</v>
      </c>
      <c r="B14" s="7">
        <v>33</v>
      </c>
      <c r="C14" s="7" t="s">
        <v>139</v>
      </c>
      <c r="E14" s="7" t="s">
        <v>77</v>
      </c>
      <c r="F14" s="7" t="s">
        <v>56</v>
      </c>
      <c r="G14" s="15">
        <v>0</v>
      </c>
      <c r="I14" s="7" t="s">
        <v>127</v>
      </c>
      <c r="J14" s="7" t="s">
        <v>45</v>
      </c>
    </row>
    <row r="15" spans="1:10">
      <c r="A15" s="7" t="s">
        <v>38</v>
      </c>
      <c r="B15" s="7">
        <v>39</v>
      </c>
      <c r="C15" s="7" t="s">
        <v>152</v>
      </c>
      <c r="E15" s="7" t="s">
        <v>153</v>
      </c>
      <c r="F15" s="7" t="s">
        <v>56</v>
      </c>
      <c r="G15" s="15">
        <v>0.63</v>
      </c>
      <c r="I15" s="7" t="s">
        <v>127</v>
      </c>
      <c r="J15" s="7" t="s">
        <v>45</v>
      </c>
    </row>
    <row r="16" spans="1:10">
      <c r="A16" s="7" t="s">
        <v>38</v>
      </c>
      <c r="B16" s="7">
        <v>42</v>
      </c>
      <c r="C16" s="7" t="s">
        <v>160</v>
      </c>
      <c r="E16" s="7" t="s">
        <v>72</v>
      </c>
      <c r="F16" s="7" t="s">
        <v>56</v>
      </c>
      <c r="G16" s="15">
        <v>0.75</v>
      </c>
      <c r="I16" s="7" t="s">
        <v>127</v>
      </c>
      <c r="J16" s="7" t="s">
        <v>45</v>
      </c>
    </row>
    <row r="17" spans="1:10">
      <c r="A17" s="7" t="s">
        <v>38</v>
      </c>
      <c r="B17" s="7">
        <v>43</v>
      </c>
      <c r="C17" s="7" t="s">
        <v>162</v>
      </c>
      <c r="E17" s="7" t="s">
        <v>77</v>
      </c>
      <c r="F17" s="7" t="s">
        <v>56</v>
      </c>
      <c r="G17" s="15">
        <v>0</v>
      </c>
      <c r="I17" s="7" t="s">
        <v>127</v>
      </c>
      <c r="J17" s="7" t="s">
        <v>45</v>
      </c>
    </row>
    <row r="18" spans="1:10">
      <c r="A18" s="7" t="s">
        <v>38</v>
      </c>
      <c r="B18" s="7">
        <v>44</v>
      </c>
      <c r="C18" s="7" t="s">
        <v>164</v>
      </c>
      <c r="E18" s="7" t="s">
        <v>153</v>
      </c>
      <c r="F18" s="7" t="s">
        <v>56</v>
      </c>
      <c r="G18" s="15">
        <v>0.63</v>
      </c>
      <c r="I18" s="7" t="s">
        <v>127</v>
      </c>
      <c r="J18" s="7" t="s">
        <v>45</v>
      </c>
    </row>
    <row r="19" spans="1:10">
      <c r="A19" s="7" t="s">
        <v>38</v>
      </c>
      <c r="B19" s="7">
        <v>49</v>
      </c>
      <c r="C19" s="7" t="s">
        <v>171</v>
      </c>
      <c r="E19" s="7" t="s">
        <v>172</v>
      </c>
      <c r="F19" s="7" t="s">
        <v>34</v>
      </c>
      <c r="G19" s="15">
        <v>0.23</v>
      </c>
      <c r="I19" s="7" t="s">
        <v>174</v>
      </c>
      <c r="J19" s="7" t="s">
        <v>45</v>
      </c>
    </row>
    <row r="20" spans="1:10">
      <c r="A20" s="7" t="s">
        <v>38</v>
      </c>
      <c r="B20" s="7">
        <v>50</v>
      </c>
      <c r="C20" s="7" t="s">
        <v>175</v>
      </c>
      <c r="E20" s="7" t="s">
        <v>176</v>
      </c>
      <c r="F20" s="7" t="s">
        <v>34</v>
      </c>
      <c r="G20" s="15">
        <v>0.46</v>
      </c>
      <c r="I20" s="7" t="s">
        <v>174</v>
      </c>
      <c r="J20" s="7" t="s">
        <v>45</v>
      </c>
    </row>
    <row r="21" spans="1:10">
      <c r="A21" s="7" t="s">
        <v>38</v>
      </c>
      <c r="B21" s="7">
        <v>52</v>
      </c>
      <c r="C21" s="7" t="s">
        <v>181</v>
      </c>
      <c r="E21" s="7" t="s">
        <v>67</v>
      </c>
      <c r="F21" s="7" t="s">
        <v>56</v>
      </c>
      <c r="G21" s="15">
        <v>0.75</v>
      </c>
      <c r="I21" s="7" t="s">
        <v>174</v>
      </c>
      <c r="J21" s="7" t="s">
        <v>45</v>
      </c>
    </row>
    <row r="22" spans="1:10">
      <c r="A22" s="7" t="s">
        <v>38</v>
      </c>
      <c r="B22" s="7">
        <v>53</v>
      </c>
      <c r="C22" s="7" t="s">
        <v>182</v>
      </c>
      <c r="E22" s="7" t="s">
        <v>72</v>
      </c>
      <c r="F22" s="7" t="s">
        <v>56</v>
      </c>
      <c r="G22" s="15">
        <v>0</v>
      </c>
      <c r="I22" s="7" t="s">
        <v>174</v>
      </c>
      <c r="J22" s="7" t="s">
        <v>45</v>
      </c>
    </row>
    <row r="23" spans="1:10">
      <c r="A23" s="7" t="s">
        <v>38</v>
      </c>
      <c r="B23" s="7">
        <v>54</v>
      </c>
      <c r="C23" s="7" t="s">
        <v>183</v>
      </c>
      <c r="E23" s="7" t="s">
        <v>77</v>
      </c>
      <c r="F23" s="7" t="s">
        <v>56</v>
      </c>
      <c r="G23" s="15">
        <v>0</v>
      </c>
      <c r="I23" s="7" t="s">
        <v>174</v>
      </c>
      <c r="J23" s="7" t="s">
        <v>45</v>
      </c>
    </row>
    <row r="24" spans="1:10">
      <c r="A24" s="7" t="s">
        <v>38</v>
      </c>
      <c r="B24" s="7">
        <v>60</v>
      </c>
      <c r="C24" s="7" t="s">
        <v>195</v>
      </c>
      <c r="E24" s="7" t="s">
        <v>196</v>
      </c>
      <c r="F24" s="7" t="s">
        <v>56</v>
      </c>
      <c r="G24" s="15">
        <v>0.3</v>
      </c>
      <c r="I24" s="7" t="s">
        <v>198</v>
      </c>
      <c r="J24" s="7" t="s">
        <v>45</v>
      </c>
    </row>
    <row r="25" spans="1:10">
      <c r="A25" s="7" t="s">
        <v>38</v>
      </c>
      <c r="B25" s="7">
        <v>81</v>
      </c>
      <c r="C25" s="7" t="s">
        <v>236</v>
      </c>
      <c r="E25" s="7" t="s">
        <v>237</v>
      </c>
      <c r="F25" s="7" t="s">
        <v>56</v>
      </c>
      <c r="G25" s="15">
        <v>0</v>
      </c>
      <c r="I25" s="7" t="s">
        <v>239</v>
      </c>
      <c r="J25" s="7" t="s">
        <v>45</v>
      </c>
    </row>
    <row r="26" spans="1:10">
      <c r="A26" s="7" t="s">
        <v>38</v>
      </c>
      <c r="B26" s="7">
        <v>82</v>
      </c>
      <c r="C26" s="7" t="s">
        <v>241</v>
      </c>
      <c r="E26" s="7" t="s">
        <v>242</v>
      </c>
      <c r="F26" s="7" t="s">
        <v>56</v>
      </c>
      <c r="G26" s="15">
        <v>0</v>
      </c>
      <c r="I26" s="7" t="s">
        <v>239</v>
      </c>
      <c r="J26" s="7" t="s">
        <v>45</v>
      </c>
    </row>
    <row r="27" spans="1:10">
      <c r="A27" s="7" t="s">
        <v>38</v>
      </c>
      <c r="B27" s="7">
        <v>83</v>
      </c>
      <c r="C27" s="7" t="s">
        <v>243</v>
      </c>
      <c r="E27" s="7" t="s">
        <v>62</v>
      </c>
      <c r="F27" s="7" t="s">
        <v>56</v>
      </c>
      <c r="G27" s="15">
        <v>0</v>
      </c>
      <c r="I27" s="7" t="s">
        <v>239</v>
      </c>
      <c r="J27" s="7" t="s">
        <v>45</v>
      </c>
    </row>
    <row r="28" spans="1:10">
      <c r="A28" s="7" t="s">
        <v>38</v>
      </c>
      <c r="B28" s="7">
        <v>84</v>
      </c>
      <c r="C28" s="7" t="s">
        <v>245</v>
      </c>
      <c r="E28" s="7" t="s">
        <v>67</v>
      </c>
      <c r="F28" s="7" t="s">
        <v>56</v>
      </c>
      <c r="G28" s="15">
        <v>0</v>
      </c>
      <c r="I28" s="7" t="s">
        <v>239</v>
      </c>
      <c r="J28" s="7" t="s">
        <v>45</v>
      </c>
    </row>
    <row r="29" spans="1:10">
      <c r="A29" s="7" t="s">
        <v>38</v>
      </c>
      <c r="B29" s="7">
        <v>85</v>
      </c>
      <c r="C29" s="7" t="s">
        <v>246</v>
      </c>
      <c r="E29" s="7" t="s">
        <v>72</v>
      </c>
      <c r="F29" s="7" t="s">
        <v>56</v>
      </c>
      <c r="G29" s="15">
        <v>0</v>
      </c>
      <c r="I29" s="7" t="s">
        <v>239</v>
      </c>
      <c r="J29" s="7" t="s">
        <v>45</v>
      </c>
    </row>
    <row r="30" spans="1:10">
      <c r="A30" s="7" t="s">
        <v>38</v>
      </c>
      <c r="B30" s="7">
        <v>86</v>
      </c>
      <c r="C30" s="7" t="s">
        <v>247</v>
      </c>
      <c r="E30" s="7" t="s">
        <v>77</v>
      </c>
      <c r="F30" s="7" t="s">
        <v>56</v>
      </c>
      <c r="G30" s="15">
        <v>0</v>
      </c>
      <c r="I30" s="7" t="s">
        <v>239</v>
      </c>
      <c r="J30" s="7" t="s">
        <v>45</v>
      </c>
    </row>
    <row r="31" spans="1:10">
      <c r="A31" s="7" t="s">
        <v>38</v>
      </c>
      <c r="B31" s="7">
        <v>92</v>
      </c>
      <c r="C31" s="7" t="s">
        <v>255</v>
      </c>
      <c r="E31" s="7" t="s">
        <v>256</v>
      </c>
      <c r="F31" s="7" t="s">
        <v>56</v>
      </c>
      <c r="G31" s="15">
        <v>0.38</v>
      </c>
      <c r="I31" s="7" t="s">
        <v>258</v>
      </c>
      <c r="J31" s="7" t="s">
        <v>45</v>
      </c>
    </row>
    <row r="32" spans="1:10">
      <c r="A32" s="7" t="s">
        <v>38</v>
      </c>
      <c r="B32" s="7">
        <v>93</v>
      </c>
      <c r="C32" s="7" t="s">
        <v>259</v>
      </c>
      <c r="E32" s="7" t="s">
        <v>260</v>
      </c>
      <c r="F32" s="7" t="s">
        <v>56</v>
      </c>
      <c r="G32" s="15">
        <v>0.8</v>
      </c>
      <c r="I32" s="7" t="s">
        <v>258</v>
      </c>
      <c r="J32" s="7" t="s">
        <v>45</v>
      </c>
    </row>
    <row r="33" spans="1:10">
      <c r="A33" s="7" t="s">
        <v>38</v>
      </c>
      <c r="B33" s="7">
        <v>96</v>
      </c>
      <c r="C33" s="7" t="s">
        <v>264</v>
      </c>
      <c r="E33" s="7" t="s">
        <v>72</v>
      </c>
      <c r="F33" s="7" t="s">
        <v>56</v>
      </c>
      <c r="G33" s="15">
        <v>0.5</v>
      </c>
      <c r="I33" s="7" t="s">
        <v>258</v>
      </c>
      <c r="J33" s="7" t="s">
        <v>45</v>
      </c>
    </row>
    <row r="34" spans="1:10">
      <c r="A34" s="7" t="s">
        <v>38</v>
      </c>
      <c r="B34" s="7">
        <v>97</v>
      </c>
      <c r="C34" s="7" t="s">
        <v>265</v>
      </c>
      <c r="E34" s="7" t="s">
        <v>77</v>
      </c>
      <c r="F34" s="7" t="s">
        <v>56</v>
      </c>
      <c r="G34" s="15">
        <v>0</v>
      </c>
      <c r="I34" s="7" t="s">
        <v>258</v>
      </c>
      <c r="J34" s="7" t="s">
        <v>45</v>
      </c>
    </row>
    <row r="35" spans="1:10">
      <c r="A35" s="7" t="s">
        <v>38</v>
      </c>
      <c r="B35" s="7">
        <v>103</v>
      </c>
      <c r="C35" s="7" t="s">
        <v>275</v>
      </c>
      <c r="E35" s="7" t="s">
        <v>276</v>
      </c>
      <c r="F35" s="7" t="s">
        <v>56</v>
      </c>
      <c r="G35" s="15">
        <v>0.18</v>
      </c>
      <c r="I35" s="7" t="s">
        <v>278</v>
      </c>
      <c r="J35" s="7" t="s">
        <v>45</v>
      </c>
    </row>
    <row r="36" spans="1:10">
      <c r="A36" s="7" t="s">
        <v>38</v>
      </c>
      <c r="B36" s="7">
        <v>104</v>
      </c>
      <c r="C36" s="7" t="s">
        <v>279</v>
      </c>
      <c r="E36" s="7" t="s">
        <v>280</v>
      </c>
      <c r="F36" s="7" t="s">
        <v>56</v>
      </c>
      <c r="G36" s="15">
        <v>0.5</v>
      </c>
      <c r="I36" s="7" t="s">
        <v>278</v>
      </c>
      <c r="J36" s="7" t="s">
        <v>45</v>
      </c>
    </row>
    <row r="37" spans="1:10">
      <c r="A37" s="7" t="s">
        <v>38</v>
      </c>
      <c r="B37" s="7">
        <v>107</v>
      </c>
      <c r="C37" s="7" t="s">
        <v>284</v>
      </c>
      <c r="E37" s="7" t="s">
        <v>72</v>
      </c>
      <c r="F37" s="7" t="s">
        <v>56</v>
      </c>
      <c r="G37" s="15">
        <v>0.5</v>
      </c>
      <c r="I37" s="7" t="s">
        <v>278</v>
      </c>
      <c r="J37" s="7" t="s">
        <v>45</v>
      </c>
    </row>
    <row r="38" spans="1:10">
      <c r="A38" s="7" t="s">
        <v>38</v>
      </c>
      <c r="B38" s="7">
        <v>108</v>
      </c>
      <c r="C38" s="7" t="s">
        <v>285</v>
      </c>
      <c r="E38" s="7" t="s">
        <v>77</v>
      </c>
      <c r="F38" s="7" t="s">
        <v>56</v>
      </c>
      <c r="G38" s="15">
        <v>0</v>
      </c>
      <c r="I38" s="7" t="s">
        <v>278</v>
      </c>
      <c r="J38" s="7" t="s">
        <v>45</v>
      </c>
    </row>
    <row r="40" spans="1:10">
      <c r="G40" s="15">
        <v>0</v>
      </c>
    </row>
    <row r="41" spans="1:10">
      <c r="G41" s="15">
        <v>1</v>
      </c>
    </row>
  </sheetData>
  <conditionalFormatting sqref="G2:G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{6AC659E4-1D74-49DC-9237-4E354BDA1305}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C659E4-1D74-49DC-9237-4E354BDA13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G2:G41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F15" sqref="F15"/>
    </sheetView>
  </sheetViews>
  <sheetFormatPr defaultRowHeight="15"/>
  <cols>
    <col min="1" max="1" width="14.5703125" style="7" bestFit="1" customWidth="1"/>
    <col min="2" max="2" width="5" style="7" bestFit="1" customWidth="1"/>
    <col min="3" max="3" width="8.28515625" style="7" bestFit="1" customWidth="1"/>
    <col min="4" max="4" width="28.140625" style="7" bestFit="1" customWidth="1"/>
    <col min="5" max="5" width="27.28515625" style="7" bestFit="1" customWidth="1"/>
    <col min="6" max="6" width="12.42578125" style="7" bestFit="1" customWidth="1"/>
    <col min="7" max="7" width="13.7109375" style="7" bestFit="1" customWidth="1"/>
    <col min="8" max="8" width="21.28515625" style="7" bestFit="1" customWidth="1"/>
    <col min="9" max="9" width="15.85546875" style="7" bestFit="1" customWidth="1"/>
    <col min="10" max="10" width="8.85546875" style="7" bestFit="1" customWidth="1"/>
    <col min="11" max="16384" width="9.140625" style="7"/>
  </cols>
  <sheetData>
    <row r="1" spans="1:10">
      <c r="A1" s="7" t="s">
        <v>15</v>
      </c>
      <c r="B1" s="7" t="s">
        <v>0</v>
      </c>
      <c r="C1" s="7" t="s">
        <v>1</v>
      </c>
      <c r="D1" s="7" t="s">
        <v>18</v>
      </c>
      <c r="E1" s="7" t="s">
        <v>2</v>
      </c>
      <c r="F1" s="7" t="s">
        <v>10</v>
      </c>
      <c r="G1" s="7" t="s">
        <v>8</v>
      </c>
      <c r="H1" s="7" t="s">
        <v>19</v>
      </c>
      <c r="I1" s="7" t="s">
        <v>12</v>
      </c>
      <c r="J1" s="7" t="s">
        <v>11</v>
      </c>
    </row>
    <row r="2" spans="1:10">
      <c r="A2" s="7" t="s">
        <v>38</v>
      </c>
      <c r="B2" s="7">
        <v>15</v>
      </c>
      <c r="C2" s="7" t="s">
        <v>90</v>
      </c>
      <c r="E2" s="7" t="s">
        <v>72</v>
      </c>
      <c r="F2" s="7" t="s">
        <v>56</v>
      </c>
      <c r="G2" s="15">
        <v>0.5</v>
      </c>
      <c r="I2" s="7" t="s">
        <v>57</v>
      </c>
      <c r="J2" s="7" t="s">
        <v>45</v>
      </c>
    </row>
    <row r="3" spans="1:10">
      <c r="A3" s="7" t="s">
        <v>38</v>
      </c>
      <c r="B3" s="7">
        <v>16</v>
      </c>
      <c r="C3" s="7" t="s">
        <v>93</v>
      </c>
      <c r="E3" s="7" t="s">
        <v>77</v>
      </c>
      <c r="F3" s="7" t="s">
        <v>56</v>
      </c>
      <c r="G3" s="15">
        <v>0</v>
      </c>
      <c r="I3" s="7" t="s">
        <v>57</v>
      </c>
      <c r="J3" s="7" t="s">
        <v>45</v>
      </c>
    </row>
    <row r="5" spans="1:10">
      <c r="G5" s="15">
        <v>0</v>
      </c>
    </row>
    <row r="6" spans="1:10">
      <c r="G6" s="15">
        <v>0.5</v>
      </c>
    </row>
    <row r="7" spans="1:10">
      <c r="G7" s="15">
        <v>1</v>
      </c>
    </row>
  </sheetData>
  <conditionalFormatting sqref="G2:G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{583A900F-0FE7-41C4-AE8B-3D266B348E2C}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3A900F-0FE7-41C4-AE8B-3D266B348E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5790C16C-0433-459C-944A-3E46EDD963A7}"/>
</file>

<file path=customXml/itemProps2.xml><?xml version="1.0" encoding="utf-8"?>
<ds:datastoreItem xmlns:ds="http://schemas.openxmlformats.org/officeDocument/2006/customXml" ds:itemID="{457E6922-CB8C-4820-9D66-64220ECDAC2A}"/>
</file>

<file path=customXml/itemProps3.xml><?xml version="1.0" encoding="utf-8"?>
<ds:datastoreItem xmlns:ds="http://schemas.openxmlformats.org/officeDocument/2006/customXml" ds:itemID="{91456019-D1AE-40F9-8EE4-686CC0D99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RENATO NETO</cp:lastModifiedBy>
  <cp:revision/>
  <dcterms:created xsi:type="dcterms:W3CDTF">2026-06-18T19:51:29Z</dcterms:created>
  <dcterms:modified xsi:type="dcterms:W3CDTF">2026-06-19T10:34:32Z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2026-06-18T19:53:17Z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a4eb76a9-3d0a-4e10-aa67-da916054f82f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