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76" documentId="11_EED48E6AFF43D7375227193631D5E912D2F457D4" xr6:coauthVersionLast="47" xr6:coauthVersionMax="47" xr10:uidLastSave="{73168A04-F02A-48BD-B07A-B1C979B207A6}"/>
  <bookViews>
    <workbookView xWindow="-120" yWindow="-120" windowWidth="29040" windowHeight="15720" activeTab="3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C36" i="2"/>
  <c r="D36" i="2"/>
  <c r="E36" i="2"/>
  <c r="B17" i="2"/>
  <c r="C17" i="2"/>
  <c r="E17" i="2"/>
  <c r="F17" i="2"/>
  <c r="G17" i="2"/>
</calcChain>
</file>

<file path=xl/sharedStrings.xml><?xml version="1.0" encoding="utf-8"?>
<sst xmlns="http://schemas.openxmlformats.org/spreadsheetml/2006/main" count="3619" uniqueCount="475">
  <si>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</si>
  <si>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</si>
  <si>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</si>
  <si>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</si>
  <si>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</si>
  <si>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</si>
  <si>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</si>
  <si>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</si>
  <si>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</si>
  <si>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</si>
  <si>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</si>
  <si>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</si>
  <si>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</si>
  <si>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</si>
  <si>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</si>
  <si>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</si>
  <si>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</si>
  <si>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</si>
  <si>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</si>
  <si>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</si>
  <si>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</si>
  <si>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</si>
  <si>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</si>
  <si>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</si>
  <si>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</si>
  <si>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</si>
  <si>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</si>
  <si>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</si>
  <si>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</si>
  <si>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</si>
  <si>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</si>
  <si>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</si>
  <si>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</si>
  <si>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166 dias</t>
  </si>
  <si>
    <t>Atrasada</t>
  </si>
  <si>
    <t>Sim</t>
  </si>
  <si>
    <t>GERAL</t>
  </si>
  <si>
    <t>Seg 27/04/26</t>
  </si>
  <si>
    <t>Nenhum Sprint</t>
  </si>
  <si>
    <t>1.1</t>
  </si>
  <si>
    <t>F0009 - Programa Marabá</t>
  </si>
  <si>
    <t>área 0000 -documento geral</t>
  </si>
  <si>
    <t>1.1.1</t>
  </si>
  <si>
    <t>Área 0000 -Documento geral</t>
  </si>
  <si>
    <t>kom - início de projeto</t>
  </si>
  <si>
    <t>0 dias</t>
  </si>
  <si>
    <t>Concluída</t>
  </si>
  <si>
    <t>Não</t>
  </si>
  <si>
    <t>8TI+10 dias;5;34TI+45 dias;39TI+10 dias</t>
  </si>
  <si>
    <t>1.1.2</t>
  </si>
  <si>
    <t>pendências</t>
  </si>
  <si>
    <t>PENDÊNCIAS</t>
  </si>
  <si>
    <t>Qua 29/04/26</t>
  </si>
  <si>
    <t>1.1.2.1</t>
  </si>
  <si>
    <t>Pendências</t>
  </si>
  <si>
    <t>recebimento de dados de entrada</t>
  </si>
  <si>
    <t>1.1.3</t>
  </si>
  <si>
    <t>planejamento</t>
  </si>
  <si>
    <t>147,5 dias</t>
  </si>
  <si>
    <t>PLANEJAMENTO</t>
  </si>
  <si>
    <t>1.1.3.1</t>
  </si>
  <si>
    <t>Planejamento</t>
  </si>
  <si>
    <t>ld-f0009-0000-mb-g-00001</t>
  </si>
  <si>
    <t>Lista de documentos</t>
  </si>
  <si>
    <t>No Prazo</t>
  </si>
  <si>
    <t>Tarefa Incluída</t>
  </si>
  <si>
    <t>1.1.3.1.1</t>
  </si>
  <si>
    <t>LD-F0009-0000-MB-G-00001</t>
  </si>
  <si>
    <t>emissão inicial</t>
  </si>
  <si>
    <t>2 dias</t>
  </si>
  <si>
    <t>3TI+10 dias</t>
  </si>
  <si>
    <t>9;18;13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</si>
  <si>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</si>
  <si>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</si>
  <si>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</si>
  <si>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</si>
  <si>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</si>
  <si>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</si>
  <si>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</si>
  <si>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</si>
  <si>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Tarefa futura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</si>
  <si>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</si>
  <si>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</si>
  <si>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</si>
  <si>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</si>
  <si>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</si>
  <si>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</si>
  <si>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</si>
  <si>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ea-f0009-0000-mb-g-00001</t>
  </si>
  <si>
    <t>EAP</t>
  </si>
  <si>
    <t>16 dias</t>
  </si>
  <si>
    <t>1.1.3.2.1</t>
  </si>
  <si>
    <t>EA-F0009-0000-MB-G-00001</t>
  </si>
  <si>
    <t>3 dias</t>
  </si>
  <si>
    <t>Qua 03/06/26</t>
  </si>
  <si>
    <t>14;45</t>
  </si>
  <si>
    <t>1.1.3.2.2</t>
  </si>
  <si>
    <t>Seg 08/06/26</t>
  </si>
  <si>
    <t>15TI+8 dias</t>
  </si>
  <si>
    <t>1.1.3.2.3</t>
  </si>
  <si>
    <t>14TI+8 dias</t>
  </si>
  <si>
    <t>Ter 23/06/26</t>
  </si>
  <si>
    <t>1.1.3.2.4</t>
  </si>
  <si>
    <t>Qua 24/06/26</t>
  </si>
  <si>
    <t>1.1.3.3</t>
  </si>
  <si>
    <t>cr-f0009-0000-mb-f-00001</t>
  </si>
  <si>
    <t>Cronograma</t>
  </si>
  <si>
    <t>1.1.3.3.1</t>
  </si>
  <si>
    <t>CR-F0009-0000-MB-F-00001</t>
  </si>
  <si>
    <t>19;45</t>
  </si>
  <si>
    <t>1.1.3.3.2</t>
  </si>
  <si>
    <t>Ter 05/05/26</t>
  </si>
  <si>
    <t>20TI+8 dias</t>
  </si>
  <si>
    <t>1.1.3.3.3</t>
  </si>
  <si>
    <t>19TI+8 dias</t>
  </si>
  <si>
    <t>Qua 13/05/26</t>
  </si>
  <si>
    <t>1.1.3.3.4</t>
  </si>
  <si>
    <t>Seg 18/05/26</t>
  </si>
  <si>
    <t>1.1.4</t>
  </si>
  <si>
    <t>coordenação</t>
  </si>
  <si>
    <t>36 dias</t>
  </si>
  <si>
    <t>COORDENAÇÃO</t>
  </si>
  <si>
    <t>1.1.4.1</t>
  </si>
  <si>
    <t>Coordenação</t>
  </si>
  <si>
    <t>rm-f0009-0000-mb-g-00002</t>
  </si>
  <si>
    <t>Relatorio Mensal</t>
  </si>
  <si>
    <t>7 dias</t>
  </si>
  <si>
    <t>Qui 11/06/26</t>
  </si>
  <si>
    <t>1.1.4.1.1</t>
  </si>
  <si>
    <t>RM-F0009-0000-MB-G-00002</t>
  </si>
  <si>
    <t>1.1.4.1.2</t>
  </si>
  <si>
    <t>Ter 16/06/26</t>
  </si>
  <si>
    <t>1.1.4.1.3</t>
  </si>
  <si>
    <t>Qua 17/06/26</t>
  </si>
  <si>
    <t>1.1.4.1.4</t>
  </si>
  <si>
    <t>Sex 19/06/26</t>
  </si>
  <si>
    <t>1.1.4.2</t>
  </si>
  <si>
    <t>rl-f0009-0000-mb-g-00001</t>
  </si>
  <si>
    <t>Ultimo Relatorio</t>
  </si>
  <si>
    <t>4 dias</t>
  </si>
  <si>
    <t>Ter 30/06/26</t>
  </si>
  <si>
    <t>1.1.4.2.1</t>
  </si>
  <si>
    <t>RL-F0009-0000-MB-G-00001</t>
  </si>
  <si>
    <t>1.1.4.2.2</t>
  </si>
  <si>
    <t>Sex 03/07/26</t>
  </si>
  <si>
    <t>1.1.4.2.3</t>
  </si>
  <si>
    <t>Seg 06/07/26</t>
  </si>
  <si>
    <t>1.1.4.2.4</t>
  </si>
  <si>
    <t>Qua 08/07/26</t>
  </si>
  <si>
    <t>1.1.4.3</t>
  </si>
  <si>
    <t>lf-f0009-0000-mb-f-00001</t>
  </si>
  <si>
    <t>Vendor List</t>
  </si>
  <si>
    <t>Seg 20/07/26</t>
  </si>
  <si>
    <t>1.1.4.3.1</t>
  </si>
  <si>
    <t>LF-F0009-0000-MB-F-00001</t>
  </si>
  <si>
    <t>3TI+45 dias</t>
  </si>
  <si>
    <t>1.1.4.3.2</t>
  </si>
  <si>
    <t>Qui 23/07/26</t>
  </si>
  <si>
    <t>1.1.4.3.3</t>
  </si>
  <si>
    <t>Sex 24/07/26</t>
  </si>
  <si>
    <t>1.1.4.3.4</t>
  </si>
  <si>
    <t>Ter 28/07/26</t>
  </si>
  <si>
    <t>1.1.4.4</t>
  </si>
  <si>
    <t>lp-f0009-0000-mb-g-00001</t>
  </si>
  <si>
    <t>Lista de pendências</t>
  </si>
  <si>
    <t>1.1.4.4.1</t>
  </si>
  <si>
    <t>LP-F0009-0000-MB-G-00001</t>
  </si>
  <si>
    <t>1.1.4.4.2</t>
  </si>
  <si>
    <t>41TI+30 dias</t>
  </si>
  <si>
    <t>1.1.4.4.3</t>
  </si>
  <si>
    <t>40TI+30 dias</t>
  </si>
  <si>
    <t>Sex 12/06/26</t>
  </si>
  <si>
    <t>1.1.4.4.4</t>
  </si>
  <si>
    <t>1.1.5</t>
  </si>
  <si>
    <t>processo</t>
  </si>
  <si>
    <t>139 dias</t>
  </si>
  <si>
    <t>PROCESSOS</t>
  </si>
  <si>
    <t>1.1.5.1</t>
  </si>
  <si>
    <t>Processo</t>
  </si>
  <si>
    <t>cp-f0009-0000-mb-p-00001</t>
  </si>
  <si>
    <t>Critério de Projetos</t>
  </si>
  <si>
    <t>9 dias</t>
  </si>
  <si>
    <t>Ter 09/06/26</t>
  </si>
  <si>
    <t>1.1.5.1.1</t>
  </si>
  <si>
    <t>CP-F0009-0000-MB-P-00001</t>
  </si>
  <si>
    <t>5 dias</t>
  </si>
  <si>
    <t>18;13</t>
  </si>
  <si>
    <t>46;55TI+8 dias;60TI+8 dias;50TI+120 dias;66TT;102TT;118TT;134TT;155TT;150TT;176TI+60 dias</t>
  </si>
  <si>
    <t>1.1.5.1.2</t>
  </si>
  <si>
    <t>1.1.5.1.3</t>
  </si>
  <si>
    <t>1.1.5.1.4</t>
  </si>
  <si>
    <t>1.1.5.2</t>
  </si>
  <si>
    <t>md-f0009-0000-mb-p-00001</t>
  </si>
  <si>
    <t>Memorial descritivo</t>
  </si>
  <si>
    <t>1.1.5.2.1</t>
  </si>
  <si>
    <t>MD-F0009-0000-MB-P-00001</t>
  </si>
  <si>
    <t>45TI+120 dias</t>
  </si>
  <si>
    <t>1.1.5.2.2</t>
  </si>
  <si>
    <t>Seg 22/06/26</t>
  </si>
  <si>
    <t>1.1.5.2.3</t>
  </si>
  <si>
    <t>1.1.5.2.4</t>
  </si>
  <si>
    <t>Qui 25/06/26</t>
  </si>
  <si>
    <t>1.1.5.3</t>
  </si>
  <si>
    <t>fg-f0009-0000-mb-p-00001</t>
  </si>
  <si>
    <t>Diagrama de blocos de processo</t>
  </si>
  <si>
    <t>1.1.5.3.1</t>
  </si>
  <si>
    <t>FG-F0009-0000-MB-P-00001</t>
  </si>
  <si>
    <t>45TI+8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</si>
  <si>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</si>
  <si>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</si>
  <si>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</si>
  <si>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</si>
  <si>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</si>
  <si>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</si>
  <si>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</si>
  <si>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fg-f0009-0000-mb-p-00002</t>
  </si>
  <si>
    <t>Fluxograma geral de processo</t>
  </si>
  <si>
    <t>25 dias</t>
  </si>
  <si>
    <t>1.1.5.4.1</t>
  </si>
  <si>
    <t>FG-F0009-0000-MB-P-00002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</si>
  <si>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</si>
  <si>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</si>
  <si>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</si>
  <si>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</si>
  <si>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</si>
  <si>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</si>
  <si>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</si>
  <si>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</si>
  <si>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Mecânica</t>
  </si>
  <si>
    <t>cp-f0009-0000-mb-m-00001</t>
  </si>
  <si>
    <t>6 dias</t>
  </si>
  <si>
    <t>1.1.6.1.1</t>
  </si>
  <si>
    <t>CP-F0009-0000-MB-M-00001</t>
  </si>
  <si>
    <t>45TT</t>
  </si>
  <si>
    <t>67;86TI+120 dias;91TI+120 dias;81TI+120 dias;76TI+120 dias;71TI+120 dias</t>
  </si>
  <si>
    <t>1.1.6.1.2</t>
  </si>
  <si>
    <t>1.1.6.1.3</t>
  </si>
  <si>
    <t>1.1.6.1.4</t>
  </si>
  <si>
    <t>1.1.6.2</t>
  </si>
  <si>
    <t>ag-f0009-0000-mb-l-00001</t>
  </si>
  <si>
    <t>Especificação Técnica</t>
  </si>
  <si>
    <t>Ter 26/05/26</t>
  </si>
  <si>
    <t>1.1.6.2.1</t>
  </si>
  <si>
    <t>AG-F0009-0000-MB-L-00001</t>
  </si>
  <si>
    <t>66TI+120 dias</t>
  </si>
  <si>
    <t>1.1.6.2.2</t>
  </si>
  <si>
    <t>Qui 28/05/26</t>
  </si>
  <si>
    <t>1.1.6.2.3</t>
  </si>
  <si>
    <t>Sex 29/05/26</t>
  </si>
  <si>
    <t>1.1.6.2.4</t>
  </si>
  <si>
    <t>Ter 02/06/26</t>
  </si>
  <si>
    <t>1.1.6.3</t>
  </si>
  <si>
    <t>ag-f0009-0000-mb-l-00002</t>
  </si>
  <si>
    <t>1.1.6.3.1</t>
  </si>
  <si>
    <t>AG-F0009-0000-MB-L-00002</t>
  </si>
  <si>
    <t>1.1.6.3.2</t>
  </si>
  <si>
    <t>1.1.6.3.3</t>
  </si>
  <si>
    <t>1.1.6.3.4</t>
  </si>
  <si>
    <t>1.1.6.4</t>
  </si>
  <si>
    <t>ag-f0009-0000-mb-l-00003</t>
  </si>
  <si>
    <t>1.1.6.4.1</t>
  </si>
  <si>
    <t>AG-F0009-0000-MB-L-00003</t>
  </si>
  <si>
    <t>1.1.6.4.2</t>
  </si>
  <si>
    <t>1.1.6.4.3</t>
  </si>
  <si>
    <t>1.1.6.4.4</t>
  </si>
  <si>
    <t>1.1.6.5</t>
  </si>
  <si>
    <t>ag-f0009-0000-mb-l-00004</t>
  </si>
  <si>
    <t>1.1.6.5.1</t>
  </si>
  <si>
    <t>AG-F0009-0000-MB-L-00004</t>
  </si>
  <si>
    <t>1.1.6.5.2</t>
  </si>
  <si>
    <t>1.1.6.5.3</t>
  </si>
  <si>
    <t>1.1.6.5.4</t>
  </si>
  <si>
    <t>1.1.6.6</t>
  </si>
  <si>
    <t>md-f0009-0000-mb-m-00001</t>
  </si>
  <si>
    <t>1.1.6.6.1</t>
  </si>
  <si>
    <t>MD-F0009-0000-MB-M-00001</t>
  </si>
  <si>
    <t>1.1.6.6.2</t>
  </si>
  <si>
    <t>1.1.6.6.3</t>
  </si>
  <si>
    <t>1.1.6.6.4</t>
  </si>
  <si>
    <t>1.1.6.7</t>
  </si>
  <si>
    <t>et-f0009-0000-mb-m-00001</t>
  </si>
  <si>
    <t>1.1.6.7.1</t>
  </si>
  <si>
    <t>ET-F0009-0000-MB-M-00001</t>
  </si>
  <si>
    <t>1.1.6.7.2</t>
  </si>
  <si>
    <t>1.1.6.7.3</t>
  </si>
  <si>
    <t>1.1.6.7.4</t>
  </si>
  <si>
    <t>1.1.7</t>
  </si>
  <si>
    <t>tubulação/utilidades</t>
  </si>
  <si>
    <t>132 dias</t>
  </si>
  <si>
    <t>TUBULAÇÃO / UTILIDADES</t>
  </si>
  <si>
    <t>1.1.7.1</t>
  </si>
  <si>
    <t>Tubulação/Utilidades</t>
  </si>
  <si>
    <t>cp-f0009-0000-mb-t-00001</t>
  </si>
  <si>
    <t>1.1.7.1.1</t>
  </si>
  <si>
    <t>CP-F0009-0000-MB-T-00001</t>
  </si>
  <si>
    <t>103;107TI+120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</si>
  <si>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</si>
  <si>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</si>
  <si>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</si>
  <si>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</si>
  <si>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</si>
  <si>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</si>
  <si>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</si>
  <si>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MD-F0009-0000-MB-U-00001</t>
  </si>
  <si>
    <t>102TI+120 dias</t>
  </si>
  <si>
    <t>1.1.7.2.2</t>
  </si>
  <si>
    <t>1.1.7.2.3</t>
  </si>
  <si>
    <t>1.1.7.2.4</t>
  </si>
  <si>
    <t>Sex 26/06/26</t>
  </si>
  <si>
    <t>1.1.7.3</t>
  </si>
  <si>
    <t>et-f0009-0000-mb-t-00001</t>
  </si>
  <si>
    <t>1.1.7.3.1</t>
  </si>
  <si>
    <t>ET-F0009-0000-MB-T-00001</t>
  </si>
  <si>
    <t>1.1.7.3.2</t>
  </si>
  <si>
    <t>Sex 05/06/26</t>
  </si>
  <si>
    <t>1.1.7.3.3</t>
  </si>
  <si>
    <t>1.1.7.3.4</t>
  </si>
  <si>
    <t>Qua 10/06/26</t>
  </si>
  <si>
    <t>1.1.8</t>
  </si>
  <si>
    <t>estrutura metálica</t>
  </si>
  <si>
    <t>131 dias</t>
  </si>
  <si>
    <t>ESTRUTURA METÁLICA</t>
  </si>
  <si>
    <t>Seg 15/06/26</t>
  </si>
  <si>
    <t>1.1.8.1</t>
  </si>
  <si>
    <t>Estrutura metálica</t>
  </si>
  <si>
    <t>cp-f0009-0000-mb-s-00001</t>
  </si>
  <si>
    <t>1.1.8.1.1</t>
  </si>
  <si>
    <t>CP-F0009-0000-MB-S-00001</t>
  </si>
  <si>
    <t>119;123TI+120 dias</t>
  </si>
  <si>
    <t>1.1.8.1.2</t>
  </si>
  <si>
    <t>1.1.8.1.3</t>
  </si>
  <si>
    <t>1.1.8.1.4</t>
  </si>
  <si>
    <t>1.1.8.2</t>
  </si>
  <si>
    <t>md-f0009-0000-mb-s-00001</t>
  </si>
  <si>
    <t>1.1.8.2.1</t>
  </si>
  <si>
    <t>MD-F0009-0000-MB-S-00001</t>
  </si>
  <si>
    <t>118TI+120 dias</t>
  </si>
  <si>
    <t>1.1.8.2.2</t>
  </si>
  <si>
    <t>1.1.8.2.3</t>
  </si>
  <si>
    <t>1.1.8.2.4</t>
  </si>
  <si>
    <t>1.1.8.3</t>
  </si>
  <si>
    <t>et-f0009-0000-mb-s-00001</t>
  </si>
  <si>
    <t>1.1.8.3.1</t>
  </si>
  <si>
    <t>ET-F0009-0000-MB-S-00001</t>
  </si>
  <si>
    <t>1.1.8.3.2</t>
  </si>
  <si>
    <t>1.1.8.3.3</t>
  </si>
  <si>
    <t>1.1.8.3.4</t>
  </si>
  <si>
    <t>1.1.9</t>
  </si>
  <si>
    <t>elétrica</t>
  </si>
  <si>
    <t>140 dias</t>
  </si>
  <si>
    <t>ELÉTRICA</t>
  </si>
  <si>
    <t>1.1.9.1</t>
  </si>
  <si>
    <t>Elétrica</t>
  </si>
  <si>
    <t>cp-f0009-0000-mb-e-00001</t>
  </si>
  <si>
    <t>139TI+120 dias</t>
  </si>
  <si>
    <t>1.1.9.1.1</t>
  </si>
  <si>
    <t>CP-F0009-0000-MB-E-00001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</si>
  <si>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</si>
  <si>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</si>
  <si>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</si>
  <si>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</si>
  <si>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</si>
  <si>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</si>
  <si>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</si>
  <si>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MD-F0009-0000-MB-E-00001</t>
  </si>
  <si>
    <t>133TI+120 dias</t>
  </si>
  <si>
    <t>1.1.9.2.2</t>
  </si>
  <si>
    <t>1.1.9.2.3</t>
  </si>
  <si>
    <t>1.1.9.2.4</t>
  </si>
  <si>
    <t>Seg 29/06/26</t>
  </si>
  <si>
    <t>1.1.9.3</t>
  </si>
  <si>
    <t>et-f0009-0000-mb-e-00001</t>
  </si>
  <si>
    <t>1.1.9.3.1</t>
  </si>
  <si>
    <t>ET-F0009-0000-MB-E-00001</t>
  </si>
  <si>
    <t>1.1.9.3.2</t>
  </si>
  <si>
    <t>1.1.9.3.3</t>
  </si>
  <si>
    <t>1.1.9.3.4</t>
  </si>
  <si>
    <t>1.1.10</t>
  </si>
  <si>
    <t>automação e instrumentação</t>
  </si>
  <si>
    <t>127 dias</t>
  </si>
  <si>
    <t>AUTOMAÇÃO E INSTRUMENTAÇÃO</t>
  </si>
  <si>
    <t>1.1.10.1</t>
  </si>
  <si>
    <t>Automação e instrumentação</t>
  </si>
  <si>
    <t>cp-f0009-0000-mb-j-00001</t>
  </si>
  <si>
    <t>1.1.10.1.1</t>
  </si>
  <si>
    <t>CP-F0009-0000-MB-J-00001</t>
  </si>
  <si>
    <t>151;160TI+120 dias</t>
  </si>
  <si>
    <t>1.1.10.1.2</t>
  </si>
  <si>
    <t>1.1.10.1.3</t>
  </si>
  <si>
    <t>1.1.10.1.4</t>
  </si>
  <si>
    <t>1.1.10.2</t>
  </si>
  <si>
    <t>cp-f0009-0000-mb-j-00002</t>
  </si>
  <si>
    <t>1.1.10.2.1</t>
  </si>
  <si>
    <t>CP-F0009-0000-MB-J-00002</t>
  </si>
  <si>
    <t>156;160TI+120 dias</t>
  </si>
  <si>
    <t>1.1.10.2.2</t>
  </si>
  <si>
    <t>1.1.10.2.3</t>
  </si>
  <si>
    <t>1.1.10.2.4</t>
  </si>
  <si>
    <t>1.1.10.3</t>
  </si>
  <si>
    <t>md-f0009-0000-mb-j-00001</t>
  </si>
  <si>
    <t>Sex 22/05/26</t>
  </si>
  <si>
    <t>1.1.10.3.1</t>
  </si>
  <si>
    <t>MD-F0009-0000-MB-J-00001</t>
  </si>
  <si>
    <t>155TI+120 dias;150TI+120 dias</t>
  </si>
  <si>
    <t>1.1.10.3.2</t>
  </si>
  <si>
    <t>Qua 27/05/26</t>
  </si>
  <si>
    <t>1.1.10.3.3</t>
  </si>
  <si>
    <t>1.1.10.3.4</t>
  </si>
  <si>
    <t>Seg 01/06/26</t>
  </si>
  <si>
    <t>1.1.10.4</t>
  </si>
  <si>
    <t>li-f0009-0000-mb-j-00001</t>
  </si>
  <si>
    <t>1.1.10.4.1</t>
  </si>
  <si>
    <t>LI-F0009-0000-MB-J-00001</t>
  </si>
  <si>
    <t>1.1.10.4.2</t>
  </si>
  <si>
    <t>1.1.10.4.3</t>
  </si>
  <si>
    <t>1.1.10.4.4</t>
  </si>
  <si>
    <t>1.1.10.5</t>
  </si>
  <si>
    <t>lw-f0009-0000-mb-j-00001</t>
  </si>
  <si>
    <t>1.1.10.5.1</t>
  </si>
  <si>
    <t>LW-F0009-0000-MB-J-00001</t>
  </si>
  <si>
    <t>1.1.10.5.2</t>
  </si>
  <si>
    <t>1.1.10.5.3</t>
  </si>
  <si>
    <t>1.1.10.5.4</t>
  </si>
  <si>
    <t>1.1.11</t>
  </si>
  <si>
    <t>civil</t>
  </si>
  <si>
    <t>CIVIL</t>
  </si>
  <si>
    <t>1.1.11.1</t>
  </si>
  <si>
    <t>Civil</t>
  </si>
  <si>
    <t>cp-f0009-0000-mb-c-00001</t>
  </si>
  <si>
    <t>Seg 07/09/26</t>
  </si>
  <si>
    <t>1.1.11.1.1</t>
  </si>
  <si>
    <t>CP-F0009-0000-MB-C-00001</t>
  </si>
  <si>
    <t>45TI+60 dias</t>
  </si>
  <si>
    <t>Qua 09/09/26</t>
  </si>
  <si>
    <t>1.1.11.1.2</t>
  </si>
  <si>
    <t>Seg 14/09/26</t>
  </si>
  <si>
    <t>1.1.11.1.3</t>
  </si>
  <si>
    <t>Ter 15/09/26</t>
  </si>
  <si>
    <t>1.1.11.1.4</t>
  </si>
  <si>
    <t>Qui 17/09/26</t>
  </si>
  <si>
    <t>ld-f0009-0000-mb-f-00001</t>
  </si>
  <si>
    <t>149 dias</t>
  </si>
  <si>
    <t xml:space="preserve">PLANEJAMENTO </t>
  </si>
  <si>
    <t>Tarefa Excluída</t>
  </si>
  <si>
    <t>ml-f0009-0000-mb-t-00001</t>
  </si>
  <si>
    <t>TUBULAÇÃO/UTILIDADES</t>
  </si>
  <si>
    <t>1.1.7.4</t>
  </si>
  <si>
    <t>lk-f0009-0000-mb-t-00001</t>
  </si>
  <si>
    <t>avaliações gerais</t>
  </si>
  <si>
    <t>30TI+60 dias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</si>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</sst>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6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1-4CD6-9617-315446915907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1-4CD6-9617-315446915907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0.6</c:v>
                </c:pt>
                <c:pt idx="1">
                  <c:v>0</c:v>
                </c:pt>
                <c:pt idx="2">
                  <c:v>0.5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0.14285714285714279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0.5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1-4CD6-9617-315446915907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1-4CD6-9617-315446915907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1-4CD6-9617-315446915907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E1-4CD6-9617-315446915907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E1-4CD6-9617-315446915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Resumo!$B$22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Resumo!$B$23:$B$35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624-473B-8E64-131569ADA439}"/>
            </c:ext>
          </c:extLst>
        </c:ser>
        <c:ser>
          <c:idx val="1"/>
          <c:order val="1"/>
          <c:tx>
            <c:strRef>
              <c:f>Resumo!$C$22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Resumo!$C$23:$C$35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7624-473B-8E64-131569ADA439}"/>
            </c:ext>
          </c:extLst>
        </c:ser>
        <c:ser>
          <c:idx val="2"/>
          <c:order val="2"/>
          <c:tx>
            <c:strRef>
              <c:f>Resumo!$D$22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Resumo!$D$23:$D$35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7624-473B-8E64-131569ADA439}"/>
            </c:ext>
          </c:extLst>
        </c:ser>
        <c:ser>
          <c:idx val="3"/>
          <c:order val="3"/>
          <c:tx>
            <c:strRef>
              <c:f>Resumo!$E$22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Resumo!$E$23:$E$35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7624-473B-8E64-131569ADA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08/07/2026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S'!$B$2:$B$183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E-4B0A-8F14-CA5EE4C988A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S'!$D$2:$D$183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E-4B0A-8F14-CA5EE4C98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S'!$C$2:$C$183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8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E-4B0A-8F14-CA5EE4C988A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S'!$E$2:$E$183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E-4B0A-8F14-CA5EE4C98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08/07/2026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S'!$B$2:$B$183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E-4F23-9272-AF6AC2184A1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S'!$D$2:$D$183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E-4F23-9272-AF6AC2184A1C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S'!$F$2:$F$183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E-4F23-9272-AF6AC2184A1C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S'!$G$2:$G$183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E-4F23-9272-AF6AC2184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S'!$C$2:$C$183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8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3E-4F23-9272-AF6AC2184A1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S'!$E$2:$E$183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3E-4F23-9272-AF6AC2184A1C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S'!$H$2:$H$183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7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24</c:v>
                </c:pt>
                <c:pt idx="97">
                  <c:v>27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3E-4F23-9272-AF6AC2184A1C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S'!$A$2:$A$183</c:f>
              <c:numCache>
                <c:formatCode>m/d/yyyy</c:formatCode>
                <c:ptCount val="18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</c:numCache>
            </c:numRef>
          </c:cat>
          <c:val>
            <c:numRef>
              <c:f>'Curva S'!$I$2:$I$183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3E-4F23-9272-AF6AC2184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5E36E55-B43A-43B7-9DF1-BF06DB511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D6C5795-0BAC-475E-8CE4-5CF8ACF98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31</xdr:col>
      <xdr:colOff>84375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4817C0-3154-4018-9B33-DF8C373A7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31</xdr:col>
      <xdr:colOff>103425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9E5F09-0208-4A0B-AEFB-210C3FBF5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5/Comparativo%20Cronograma%2006-07-2026_R1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06-07-2026_R1.xlsx" TargetMode="External"/><Relationship Id="rId1" Type="http://schemas.openxmlformats.org/officeDocument/2006/relationships/externalLinkPath" Target="/teams/POP-Planejamento/Shared%20Documents/Automacoes/Comparativo_Cronograma/saida/F0009_305/Comparativo%20Cronograma%2006-07-2026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42</v>
          </cell>
          <cell r="C4">
            <v>37</v>
          </cell>
          <cell r="D4">
            <v>0.88095238095238093</v>
          </cell>
          <cell r="E4">
            <v>3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3</v>
          </cell>
          <cell r="C7">
            <v>3</v>
          </cell>
          <cell r="D7">
            <v>1</v>
          </cell>
          <cell r="E7">
            <v>2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25</v>
          </cell>
          <cell r="C11">
            <v>16</v>
          </cell>
          <cell r="D11">
            <v>0.64</v>
          </cell>
          <cell r="E11">
            <v>4</v>
          </cell>
          <cell r="F11">
            <v>1</v>
          </cell>
          <cell r="G11">
            <v>1</v>
          </cell>
          <cell r="H11">
            <v>0.04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13</v>
          </cell>
          <cell r="C15">
            <v>1</v>
          </cell>
          <cell r="D15">
            <v>7.6923076923076927E-2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3</v>
          </cell>
          <cell r="C22">
            <v>30</v>
          </cell>
          <cell r="D22">
            <v>32</v>
          </cell>
          <cell r="E22">
            <v>32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1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ELÉTRICA</v>
          </cell>
          <cell r="B25">
            <v>0</v>
          </cell>
          <cell r="C25">
            <v>0</v>
          </cell>
          <cell r="D25">
            <v>2</v>
          </cell>
          <cell r="E25">
            <v>2</v>
          </cell>
        </row>
        <row r="26">
          <cell r="A26" t="str">
            <v>ESTRUTURA METÁLICA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1</v>
          </cell>
          <cell r="C29">
            <v>11</v>
          </cell>
          <cell r="D29">
            <v>14</v>
          </cell>
          <cell r="E29">
            <v>8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1</v>
          </cell>
          <cell r="E32">
            <v>0</v>
          </cell>
        </row>
        <row r="33">
          <cell r="A33" t="str">
            <v>TUBULAÇÃO / UTILIDADES</v>
          </cell>
          <cell r="B33">
            <v>1</v>
          </cell>
          <cell r="C33">
            <v>0</v>
          </cell>
          <cell r="D33">
            <v>1</v>
          </cell>
          <cell r="E33">
            <v>1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3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3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3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2</v>
          </cell>
          <cell r="C69">
            <v>12</v>
          </cell>
          <cell r="D69">
            <v>1</v>
          </cell>
          <cell r="E69">
            <v>4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1</v>
          </cell>
          <cell r="C70">
            <v>13</v>
          </cell>
          <cell r="D70">
            <v>1</v>
          </cell>
          <cell r="E70">
            <v>5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5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6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6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6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6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16</v>
          </cell>
          <cell r="D76">
            <v>0</v>
          </cell>
          <cell r="E76">
            <v>6</v>
          </cell>
          <cell r="F76">
            <v>1</v>
          </cell>
          <cell r="G76">
            <v>1</v>
          </cell>
          <cell r="H76">
            <v>11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16</v>
          </cell>
          <cell r="D77">
            <v>1</v>
          </cell>
          <cell r="E77">
            <v>7</v>
          </cell>
          <cell r="F77">
            <v>2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7</v>
          </cell>
          <cell r="C78">
            <v>23</v>
          </cell>
          <cell r="D78">
            <v>0</v>
          </cell>
          <cell r="E78">
            <v>7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0</v>
          </cell>
          <cell r="C79">
            <v>23</v>
          </cell>
          <cell r="D79">
            <v>0</v>
          </cell>
          <cell r="E79">
            <v>7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23</v>
          </cell>
          <cell r="D80">
            <v>0</v>
          </cell>
          <cell r="E80">
            <v>7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23</v>
          </cell>
          <cell r="D81">
            <v>0</v>
          </cell>
          <cell r="E81">
            <v>7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23</v>
          </cell>
          <cell r="D82">
            <v>0</v>
          </cell>
          <cell r="E82">
            <v>7</v>
          </cell>
          <cell r="F82">
            <v>0</v>
          </cell>
          <cell r="G82">
            <v>0</v>
          </cell>
          <cell r="H82">
            <v>15</v>
          </cell>
          <cell r="I82">
            <v>3</v>
          </cell>
        </row>
        <row r="83">
          <cell r="A83">
            <v>46182</v>
          </cell>
          <cell r="B83">
            <v>8</v>
          </cell>
          <cell r="C83">
            <v>31</v>
          </cell>
          <cell r="D83">
            <v>0</v>
          </cell>
          <cell r="E83">
            <v>7</v>
          </cell>
          <cell r="F83">
            <v>0</v>
          </cell>
          <cell r="G83">
            <v>0</v>
          </cell>
          <cell r="H83">
            <v>15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31</v>
          </cell>
          <cell r="D84">
            <v>0</v>
          </cell>
          <cell r="E84">
            <v>7</v>
          </cell>
          <cell r="F84">
            <v>7</v>
          </cell>
          <cell r="G84">
            <v>0</v>
          </cell>
          <cell r="H84">
            <v>22</v>
          </cell>
          <cell r="I84">
            <v>3</v>
          </cell>
        </row>
        <row r="85">
          <cell r="A85">
            <v>46184</v>
          </cell>
          <cell r="B85">
            <v>1</v>
          </cell>
          <cell r="C85">
            <v>32</v>
          </cell>
          <cell r="D85">
            <v>0</v>
          </cell>
          <cell r="E85">
            <v>7</v>
          </cell>
          <cell r="F85">
            <v>0</v>
          </cell>
          <cell r="G85">
            <v>0</v>
          </cell>
          <cell r="H85">
            <v>22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34</v>
          </cell>
          <cell r="D86">
            <v>4</v>
          </cell>
          <cell r="E86">
            <v>11</v>
          </cell>
          <cell r="F86">
            <v>0</v>
          </cell>
          <cell r="G86">
            <v>0</v>
          </cell>
          <cell r="H86">
            <v>22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34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22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34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22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34</v>
          </cell>
          <cell r="D89">
            <v>0</v>
          </cell>
          <cell r="E89">
            <v>11</v>
          </cell>
          <cell r="F89">
            <v>8</v>
          </cell>
          <cell r="G89">
            <v>0</v>
          </cell>
          <cell r="H89">
            <v>30</v>
          </cell>
          <cell r="I89">
            <v>3</v>
          </cell>
        </row>
        <row r="90">
          <cell r="A90">
            <v>46189</v>
          </cell>
          <cell r="B90">
            <v>6</v>
          </cell>
          <cell r="C90">
            <v>40</v>
          </cell>
          <cell r="D90">
            <v>4</v>
          </cell>
          <cell r="E90">
            <v>15</v>
          </cell>
          <cell r="F90">
            <v>1</v>
          </cell>
          <cell r="G90">
            <v>0</v>
          </cell>
          <cell r="H90">
            <v>31</v>
          </cell>
          <cell r="I90">
            <v>3</v>
          </cell>
        </row>
        <row r="91">
          <cell r="A91">
            <v>46190</v>
          </cell>
          <cell r="B91">
            <v>0</v>
          </cell>
          <cell r="C91">
            <v>40</v>
          </cell>
          <cell r="D91">
            <v>0</v>
          </cell>
          <cell r="E91">
            <v>15</v>
          </cell>
          <cell r="F91">
            <v>1</v>
          </cell>
          <cell r="G91">
            <v>0</v>
          </cell>
          <cell r="H91">
            <v>32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40</v>
          </cell>
          <cell r="D92">
            <v>1</v>
          </cell>
          <cell r="E92">
            <v>16</v>
          </cell>
          <cell r="F92">
            <v>2</v>
          </cell>
          <cell r="G92">
            <v>0</v>
          </cell>
          <cell r="H92">
            <v>34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42</v>
          </cell>
          <cell r="D93">
            <v>3</v>
          </cell>
          <cell r="E93">
            <v>19</v>
          </cell>
          <cell r="F93">
            <v>0</v>
          </cell>
          <cell r="G93">
            <v>0</v>
          </cell>
          <cell r="H93">
            <v>34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42</v>
          </cell>
          <cell r="D94">
            <v>0</v>
          </cell>
          <cell r="E94">
            <v>19</v>
          </cell>
          <cell r="F94">
            <v>0</v>
          </cell>
          <cell r="G94">
            <v>0</v>
          </cell>
          <cell r="H94">
            <v>34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42</v>
          </cell>
          <cell r="D95">
            <v>0</v>
          </cell>
          <cell r="E95">
            <v>19</v>
          </cell>
          <cell r="F95">
            <v>0</v>
          </cell>
          <cell r="G95">
            <v>0</v>
          </cell>
          <cell r="H95">
            <v>34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43</v>
          </cell>
          <cell r="D96">
            <v>0</v>
          </cell>
          <cell r="E96">
            <v>19</v>
          </cell>
          <cell r="F96">
            <v>6</v>
          </cell>
          <cell r="G96">
            <v>0</v>
          </cell>
          <cell r="H96">
            <v>40</v>
          </cell>
          <cell r="I96">
            <v>3</v>
          </cell>
        </row>
        <row r="97">
          <cell r="A97">
            <v>46196</v>
          </cell>
          <cell r="B97">
            <v>6</v>
          </cell>
          <cell r="C97">
            <v>49</v>
          </cell>
          <cell r="D97">
            <v>11</v>
          </cell>
          <cell r="E97">
            <v>30</v>
          </cell>
          <cell r="F97">
            <v>0</v>
          </cell>
          <cell r="G97">
            <v>0</v>
          </cell>
          <cell r="H97">
            <v>40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49</v>
          </cell>
          <cell r="D98">
            <v>9</v>
          </cell>
          <cell r="E98">
            <v>39</v>
          </cell>
          <cell r="F98">
            <v>0</v>
          </cell>
          <cell r="G98">
            <v>0</v>
          </cell>
          <cell r="H98">
            <v>40</v>
          </cell>
          <cell r="I98">
            <v>3</v>
          </cell>
        </row>
        <row r="99">
          <cell r="A99">
            <v>46198</v>
          </cell>
          <cell r="B99">
            <v>2</v>
          </cell>
          <cell r="C99">
            <v>51</v>
          </cell>
          <cell r="D99">
            <v>1</v>
          </cell>
          <cell r="E99">
            <v>40</v>
          </cell>
          <cell r="F99">
            <v>2</v>
          </cell>
          <cell r="G99">
            <v>0</v>
          </cell>
          <cell r="H99">
            <v>42</v>
          </cell>
          <cell r="I99">
            <v>3</v>
          </cell>
        </row>
        <row r="100">
          <cell r="A100">
            <v>46199</v>
          </cell>
          <cell r="B100">
            <v>0</v>
          </cell>
          <cell r="C100">
            <v>51</v>
          </cell>
          <cell r="D100">
            <v>4</v>
          </cell>
          <cell r="E100">
            <v>44</v>
          </cell>
          <cell r="F100">
            <v>7</v>
          </cell>
          <cell r="G100">
            <v>0</v>
          </cell>
          <cell r="H100">
            <v>49</v>
          </cell>
          <cell r="I100">
            <v>3</v>
          </cell>
        </row>
        <row r="101">
          <cell r="A101">
            <v>46200</v>
          </cell>
          <cell r="B101">
            <v>0</v>
          </cell>
          <cell r="C101">
            <v>51</v>
          </cell>
          <cell r="D101">
            <v>0</v>
          </cell>
          <cell r="E101">
            <v>44</v>
          </cell>
          <cell r="F101">
            <v>0</v>
          </cell>
          <cell r="G101">
            <v>0</v>
          </cell>
          <cell r="H101">
            <v>49</v>
          </cell>
          <cell r="I101">
            <v>3</v>
          </cell>
        </row>
        <row r="102">
          <cell r="A102">
            <v>46201</v>
          </cell>
          <cell r="B102">
            <v>0</v>
          </cell>
          <cell r="C102">
            <v>51</v>
          </cell>
          <cell r="D102">
            <v>0</v>
          </cell>
          <cell r="E102">
            <v>44</v>
          </cell>
          <cell r="F102">
            <v>0</v>
          </cell>
          <cell r="G102">
            <v>0</v>
          </cell>
          <cell r="H102">
            <v>49</v>
          </cell>
          <cell r="I102">
            <v>3</v>
          </cell>
        </row>
        <row r="103">
          <cell r="A103">
            <v>46202</v>
          </cell>
          <cell r="B103">
            <v>3</v>
          </cell>
          <cell r="C103">
            <v>54</v>
          </cell>
          <cell r="D103">
            <v>4</v>
          </cell>
          <cell r="E103">
            <v>48</v>
          </cell>
          <cell r="F103">
            <v>0</v>
          </cell>
          <cell r="G103">
            <v>0</v>
          </cell>
          <cell r="H103">
            <v>49</v>
          </cell>
          <cell r="I103">
            <v>3</v>
          </cell>
        </row>
        <row r="104">
          <cell r="A104">
            <v>46203</v>
          </cell>
          <cell r="B104">
            <v>3</v>
          </cell>
          <cell r="C104">
            <v>57</v>
          </cell>
          <cell r="D104">
            <v>0</v>
          </cell>
          <cell r="E104">
            <v>48</v>
          </cell>
          <cell r="F104">
            <v>0</v>
          </cell>
          <cell r="G104">
            <v>0</v>
          </cell>
          <cell r="H104">
            <v>49</v>
          </cell>
          <cell r="I104">
            <v>3</v>
          </cell>
        </row>
        <row r="105">
          <cell r="A105">
            <v>46204</v>
          </cell>
          <cell r="B105">
            <v>22</v>
          </cell>
          <cell r="C105">
            <v>79</v>
          </cell>
          <cell r="D105">
            <v>6</v>
          </cell>
          <cell r="E105">
            <v>54</v>
          </cell>
          <cell r="F105">
            <v>2</v>
          </cell>
          <cell r="G105">
            <v>0</v>
          </cell>
          <cell r="H105">
            <v>51</v>
          </cell>
          <cell r="I105">
            <v>3</v>
          </cell>
        </row>
        <row r="106">
          <cell r="A106">
            <v>46205</v>
          </cell>
          <cell r="B106">
            <v>22</v>
          </cell>
          <cell r="C106">
            <v>101</v>
          </cell>
          <cell r="D106">
            <v>1</v>
          </cell>
          <cell r="E106">
            <v>55</v>
          </cell>
          <cell r="F106">
            <v>3</v>
          </cell>
          <cell r="G106">
            <v>0</v>
          </cell>
          <cell r="H106">
            <v>54</v>
          </cell>
          <cell r="I106">
            <v>3</v>
          </cell>
        </row>
        <row r="107">
          <cell r="A107">
            <v>46206</v>
          </cell>
          <cell r="B107">
            <v>1</v>
          </cell>
          <cell r="C107">
            <v>102</v>
          </cell>
          <cell r="D107">
            <v>6</v>
          </cell>
          <cell r="E107">
            <v>61</v>
          </cell>
          <cell r="F107">
            <v>0</v>
          </cell>
          <cell r="G107">
            <v>0</v>
          </cell>
          <cell r="H107">
            <v>54</v>
          </cell>
          <cell r="I107">
            <v>3</v>
          </cell>
        </row>
        <row r="108">
          <cell r="A108">
            <v>46207</v>
          </cell>
          <cell r="B108">
            <v>0</v>
          </cell>
          <cell r="C108">
            <v>102</v>
          </cell>
          <cell r="D108">
            <v>0</v>
          </cell>
          <cell r="E108">
            <v>61</v>
          </cell>
          <cell r="F108">
            <v>0</v>
          </cell>
          <cell r="G108">
            <v>0</v>
          </cell>
          <cell r="H108">
            <v>54</v>
          </cell>
          <cell r="I108">
            <v>3</v>
          </cell>
        </row>
        <row r="109">
          <cell r="A109">
            <v>46208</v>
          </cell>
          <cell r="B109">
            <v>0</v>
          </cell>
          <cell r="C109">
            <v>102</v>
          </cell>
          <cell r="D109">
            <v>0</v>
          </cell>
          <cell r="E109">
            <v>61</v>
          </cell>
          <cell r="F109">
            <v>0</v>
          </cell>
          <cell r="G109">
            <v>0</v>
          </cell>
          <cell r="H109">
            <v>54</v>
          </cell>
          <cell r="I109">
            <v>3</v>
          </cell>
        </row>
        <row r="110">
          <cell r="A110">
            <v>46209</v>
          </cell>
          <cell r="B110">
            <v>0</v>
          </cell>
          <cell r="C110">
            <v>102</v>
          </cell>
          <cell r="D110">
            <v>0</v>
          </cell>
          <cell r="E110">
            <v>61</v>
          </cell>
          <cell r="F110">
            <v>3</v>
          </cell>
          <cell r="G110">
            <v>0</v>
          </cell>
          <cell r="H110">
            <v>57</v>
          </cell>
          <cell r="I110">
            <v>3</v>
          </cell>
        </row>
        <row r="111">
          <cell r="A111">
            <v>46210</v>
          </cell>
          <cell r="B111">
            <v>0</v>
          </cell>
          <cell r="C111">
            <v>102</v>
          </cell>
          <cell r="D111">
            <v>0</v>
          </cell>
          <cell r="F111">
            <v>22</v>
          </cell>
          <cell r="G111">
            <v>0</v>
          </cell>
          <cell r="H111">
            <v>79</v>
          </cell>
        </row>
        <row r="112">
          <cell r="A112">
            <v>46211</v>
          </cell>
          <cell r="B112">
            <v>3</v>
          </cell>
          <cell r="C112">
            <v>105</v>
          </cell>
          <cell r="D112">
            <v>0</v>
          </cell>
          <cell r="F112">
            <v>22</v>
          </cell>
          <cell r="G112">
            <v>0</v>
          </cell>
          <cell r="H112">
            <v>101</v>
          </cell>
        </row>
        <row r="113">
          <cell r="A113">
            <v>46212</v>
          </cell>
          <cell r="B113">
            <v>0</v>
          </cell>
          <cell r="C113">
            <v>105</v>
          </cell>
          <cell r="D113">
            <v>0</v>
          </cell>
          <cell r="F113">
            <v>0</v>
          </cell>
          <cell r="G113">
            <v>0</v>
          </cell>
          <cell r="H113">
            <v>101</v>
          </cell>
        </row>
        <row r="114">
          <cell r="A114">
            <v>46213</v>
          </cell>
          <cell r="B114">
            <v>0</v>
          </cell>
          <cell r="C114">
            <v>105</v>
          </cell>
          <cell r="D114">
            <v>0</v>
          </cell>
          <cell r="F114">
            <v>0</v>
          </cell>
          <cell r="G114">
            <v>0</v>
          </cell>
          <cell r="H114">
            <v>101</v>
          </cell>
        </row>
        <row r="115">
          <cell r="A115">
            <v>46214</v>
          </cell>
          <cell r="B115">
            <v>0</v>
          </cell>
          <cell r="C115">
            <v>105</v>
          </cell>
          <cell r="D115">
            <v>0</v>
          </cell>
          <cell r="F115">
            <v>0</v>
          </cell>
          <cell r="G115">
            <v>0</v>
          </cell>
          <cell r="H115">
            <v>101</v>
          </cell>
        </row>
        <row r="116">
          <cell r="A116">
            <v>46215</v>
          </cell>
          <cell r="B116">
            <v>0</v>
          </cell>
          <cell r="C116">
            <v>105</v>
          </cell>
          <cell r="D116">
            <v>0</v>
          </cell>
          <cell r="F116">
            <v>0</v>
          </cell>
          <cell r="G116">
            <v>0</v>
          </cell>
          <cell r="H116">
            <v>101</v>
          </cell>
        </row>
        <row r="117">
          <cell r="A117">
            <v>46216</v>
          </cell>
          <cell r="B117">
            <v>0</v>
          </cell>
          <cell r="C117">
            <v>105</v>
          </cell>
          <cell r="D117">
            <v>0</v>
          </cell>
          <cell r="F117">
            <v>1</v>
          </cell>
          <cell r="G117">
            <v>0</v>
          </cell>
          <cell r="H117">
            <v>102</v>
          </cell>
        </row>
        <row r="118">
          <cell r="A118">
            <v>46217</v>
          </cell>
          <cell r="B118">
            <v>0</v>
          </cell>
          <cell r="C118">
            <v>105</v>
          </cell>
          <cell r="D118">
            <v>0</v>
          </cell>
          <cell r="F118">
            <v>0</v>
          </cell>
          <cell r="G118">
            <v>0</v>
          </cell>
          <cell r="H118">
            <v>102</v>
          </cell>
        </row>
        <row r="119">
          <cell r="A119">
            <v>46218</v>
          </cell>
          <cell r="B119">
            <v>0</v>
          </cell>
          <cell r="C119">
            <v>105</v>
          </cell>
          <cell r="D119">
            <v>0</v>
          </cell>
          <cell r="F119">
            <v>0</v>
          </cell>
          <cell r="G119">
            <v>0</v>
          </cell>
          <cell r="H119">
            <v>102</v>
          </cell>
        </row>
        <row r="120">
          <cell r="A120">
            <v>46219</v>
          </cell>
          <cell r="B120">
            <v>0</v>
          </cell>
          <cell r="C120">
            <v>105</v>
          </cell>
          <cell r="D120">
            <v>0</v>
          </cell>
          <cell r="F120">
            <v>3</v>
          </cell>
          <cell r="G120">
            <v>0</v>
          </cell>
          <cell r="H120">
            <v>105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B2CBC-7252-4609-A504-136211063410}" name="Tabela1" displayName="Tabela1" ref="A1:AF184" totalsRowShown="0" headerRowDxfId="135" dataDxfId="134">
  <autoFilter ref="A1:AF184" xr:uid="{4BCB2CBC-7252-4609-A504-136211063410}"/>
  <tableColumns count="32">
    <tableColumn id="1" xr3:uid="{9B6F1BF5-3176-4963-A2E7-9C3829CC1200}" name="Id" dataDxfId="160"/>
    <tableColumn id="2" xr3:uid="{226B5D93-189B-4E78-8084-23089E590ABC}" name="EDT" dataDxfId="159"/>
    <tableColumn id="3" xr3:uid="{C76175BA-BFB6-4220-90FF-B75D87D5D53E}" name="Nome do Resumo da Tarefa" dataDxfId="158"/>
    <tableColumn id="4" xr3:uid="{D23BE556-7009-435E-8FA9-FCAD6BFAD8A4}" name="Nome da Tarefa" dataDxfId="157"/>
    <tableColumn id="5" xr3:uid="{BE6B0D70-DECB-4B07-90E6-3FA86E9C1615}" name="Título" dataDxfId="156"/>
    <tableColumn id="6" xr3:uid="{743F9FF2-3CAE-416B-AD0C-DED9BFE19CCF}" name="Duração" dataDxfId="133"/>
    <tableColumn id="7" xr3:uid="{C83BC5A1-E922-4815-B3A5-790D6549648E}" name="Início" dataDxfId="132"/>
    <tableColumn id="8" xr3:uid="{26EF96BA-F7E9-4476-A4E0-B5D84575262D}" name="Término" dataDxfId="130"/>
    <tableColumn id="9" xr3:uid="{2416999C-4F99-410A-A56E-04D13B01863F}" name="Predecessoras" dataDxfId="131"/>
    <tableColumn id="10" xr3:uid="{CF230A23-8FFD-42DF-9BD0-53BD641A47DE}" name="% concluída" dataDxfId="129"/>
    <tableColumn id="11" xr3:uid="{879DFC7A-E43E-40F2-B9A1-55DF75182AE1}" name="Término real" dataDxfId="127"/>
    <tableColumn id="12" xr3:uid="{ABE4CF5F-347F-4FF6-A4C4-C6FFB15B20DD}" name="Status" dataDxfId="128"/>
    <tableColumn id="13" xr3:uid="{733CFA72-609A-40FA-9780-07526905CD7B}" name="Crítica" dataDxfId="155"/>
    <tableColumn id="14" xr3:uid="{C61733D4-18B6-4571-A784-2EB78EEA38CD}" name="Disciplina" dataDxfId="154"/>
    <tableColumn id="15" xr3:uid="{389D190B-EB55-4CAA-AC9D-5B8FA9A519AA}" name="Inicio_LB_R0" dataDxfId="153"/>
    <tableColumn id="16" xr3:uid="{106C4044-D370-4038-910C-AB55A197C297}" name="Término_LB_R0" dataDxfId="152"/>
    <tableColumn id="17" xr3:uid="{6E032648-7E26-4640-B25E-1D062FB90AC7}" name="Sprint" dataDxfId="151"/>
    <tableColumn id="18" xr3:uid="{690C88D3-1752-4678-8FD4-5DD23108B482}" name="Sucessoras" dataDxfId="150"/>
    <tableColumn id="19" xr3:uid="{969B9EAF-5B20-495C-88E9-5BE22ACC4024}" name="Comparação" dataDxfId="149"/>
    <tableColumn id="20" xr3:uid="{D23B245E-A538-4C56-BC73-A2346908CA33}" name="Nomes dos recursos" dataDxfId="148"/>
    <tableColumn id="21" xr3:uid="{69B56DDE-EDB5-44E3-94A0-9DF32D950B32}" name="pct_val" dataDxfId="147"/>
    <tableColumn id="22" xr3:uid="{4EB66340-A596-4078-9017-F7D7652830E2}" name="Emissão inicial total" dataDxfId="146"/>
    <tableColumn id="23" xr3:uid="{41BF6A69-0203-4C01-A6CA-CA19979B2D9D}" name="Emissão inicial concluída" dataDxfId="145"/>
    <tableColumn id="24" xr3:uid="{8D89AA0A-45FB-47E7-869B-267B596308B1}" name="Emissão Inicial Atrasada" dataDxfId="144"/>
    <tableColumn id="25" xr3:uid="{9267BD68-23A8-488D-8561-D745A3CB58A6}" name="Aprovação total" dataDxfId="143"/>
    <tableColumn id="26" xr3:uid="{F6257027-3A28-4907-A379-AB63305CE26F}" name="Avaliação do cliente concluída" dataDxfId="142"/>
    <tableColumn id="27" xr3:uid="{49084566-DCA6-4F4D-9941-4B6987B7E387}" name="Avaliação Cliente Atrasada" dataDxfId="141"/>
    <tableColumn id="28" xr3:uid="{BB0306E9-45DB-4AFB-8ECB-C6841821B00F}" name="Atendimento de comentário concluído" dataDxfId="140"/>
    <tableColumn id="29" xr3:uid="{9F17512D-AEC3-4AA8-BBD2-F52F88C92032}" name="Atendimento Atrasado" dataDxfId="139"/>
    <tableColumn id="30" xr3:uid="{A28EC239-F3FF-4653-B0ED-7D2A7C9A4047}" name="Aprovação concluída" dataDxfId="138"/>
    <tableColumn id="31" xr3:uid="{B9B113F3-6B5F-4B16-888C-C5909411106C}" name="Aprovação Atrasada" dataDxfId="137"/>
    <tableColumn id="32" xr3:uid="{294E4172-9AEE-4190-A6BE-6A07E2931923}" name="Aderência" dataDxfId="1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5F706-9ADB-4D48-A0E3-FA2DAF5514CF}" name="Tabela2" displayName="Tabela2" ref="A3:H17" totalsRowCount="1" headerRowDxfId="118" dataDxfId="117">
  <autoFilter ref="A3:H16" xr:uid="{4A55F706-9ADB-4D48-A0E3-FA2DAF5514CF}"/>
  <tableColumns count="8">
    <tableColumn id="1" xr3:uid="{683BB28D-FBF0-4E0D-A209-3A107077FFAC}" name="Disciplina" totalsRowLabel="TOTAL" dataDxfId="126" totalsRowDxfId="109"/>
    <tableColumn id="2" xr3:uid="{49D6484B-DF94-44C4-B7FC-9D1B98F1A308}" name="Emissão inicial total" totalsRowFunction="sum" dataDxfId="125" totalsRowDxfId="108"/>
    <tableColumn id="3" xr3:uid="{BAD0CCC6-A0A8-48CB-8119-F5DD01F29EAF}" name="Emissão inicial concluída" totalsRowFunction="sum" dataDxfId="124" totalsRowDxfId="107"/>
    <tableColumn id="4" xr3:uid="{A1A02CB2-C181-4F10-8F5B-4507091B05C7}" name="%EI" dataDxfId="123" totalsRowDxfId="103"/>
    <tableColumn id="5" xr3:uid="{FF69DA53-1E94-498B-A366-B5C8EE4E002F}" name="Avaliação do cliente concluída" totalsRowFunction="sum" dataDxfId="122" totalsRowDxfId="106"/>
    <tableColumn id="6" xr3:uid="{B9B537AF-9AB0-4265-9DC4-7325E4CA604C}" name="Atendimento de comentário concluído" totalsRowFunction="sum" dataDxfId="121" totalsRowDxfId="105"/>
    <tableColumn id="7" xr3:uid="{881DD397-E46E-491D-B903-8BB469D9B3E0}" name="Aprovação concluída" totalsRowFunction="sum" dataDxfId="120" totalsRowDxfId="104"/>
    <tableColumn id="8" xr3:uid="{F87ECD7F-AD84-414D-8424-C952016AAD23}" name="%AP" dataDxfId="119" totalsRowDxfId="1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E1BB64-CAE5-4712-A652-BDADC74A670A}" name="Tabela3" displayName="Tabela3" ref="A22:E36" totalsRowCount="1" headerRowDxfId="111" dataDxfId="110">
  <autoFilter ref="A22:E35" xr:uid="{A5E1BB64-CAE5-4712-A652-BDADC74A670A}"/>
  <tableColumns count="5">
    <tableColumn id="1" xr3:uid="{BA10E592-04FD-44D2-8FDB-CA302BB5BBDB}" name="Disciplina" totalsRowLabel="TOTAL" dataDxfId="116" totalsRowDxfId="101"/>
    <tableColumn id="2" xr3:uid="{5EF10642-BF9E-4CD8-AB0B-A6DC08C5DD66}" name="Emissão Inicial Atrasada" totalsRowFunction="sum" dataDxfId="115" totalsRowDxfId="100"/>
    <tableColumn id="3" xr3:uid="{7630C206-306D-43A7-BA44-E0BF2C561995}" name="Avaliação Cliente Atrasada" totalsRowFunction="sum" dataDxfId="114" totalsRowDxfId="99"/>
    <tableColumn id="4" xr3:uid="{89CC1FC9-8C9F-451E-B12F-3BBA6F9FB7BC}" name="Atendimento Atrasado" totalsRowFunction="sum" dataDxfId="113" totalsRowDxfId="98"/>
    <tableColumn id="5" xr3:uid="{73D79212-6432-4420-9F7C-5974DCA59990}" name="Aprovação Atrasada" totalsRowFunction="sum" dataDxfId="112" totalsRowDxfId="9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4B19B1-B012-4136-8A8B-BF955F86BF1B}" name="Tabela4" displayName="Tabela4" ref="A1:O183" totalsRowShown="0" headerRowDxfId="90" dataDxfId="89">
  <autoFilter ref="A1:O183" xr:uid="{FA4B19B1-B012-4136-8A8B-BF955F86BF1B}"/>
  <tableColumns count="15">
    <tableColumn id="1" xr3:uid="{A60D7DF6-8205-47D4-9957-B76C4177E6E8}" name="Data" dataDxfId="87"/>
    <tableColumn id="2" xr3:uid="{9EEC0898-2297-42D8-B624-6DC3AE167662}" name="Emissão prevista na LB" dataDxfId="88"/>
    <tableColumn id="3" xr3:uid="{2846F61A-9F27-45EE-BF45-58A2001BA8EB}" name="Emissão prevista na LB acumulada" dataDxfId="96"/>
    <tableColumn id="4" xr3:uid="{82E2C67B-D796-4504-B731-8ED78E7ACD64}" name="Emissão realizada por dia" dataDxfId="95"/>
    <tableColumn id="5" xr3:uid="{B962B2FB-35EA-461B-831A-24FC6D26670E}" name="Emissão realizada acumulada" dataDxfId="94"/>
    <tableColumn id="6" xr3:uid="{60752F81-AB0E-48E9-893D-BDF479E42ADB}" name="Aprovação prevista na LB" dataDxfId="93"/>
    <tableColumn id="7" xr3:uid="{5C2B038B-D974-4A93-81E1-223BE32A4B07}" name="Aprovação realizada por dia" dataDxfId="92"/>
    <tableColumn id="8" xr3:uid="{7F2A914B-7D2A-4AD7-840D-02C11C71E992}" name="Aprovação prevista na LB acumulada" dataDxfId="91"/>
    <tableColumn id="9" xr3:uid="{EDC42358-32B3-4F14-AA83-469843A4453E}" name="Aprovação realizada acumulada" dataDxfId="86"/>
    <tableColumn id="10" xr3:uid="{D332CE9B-E02F-48F0-A6F9-F3AAC672F0F4}" name="Avanço da EI previsto na LB" dataDxfId="85" dataCellStyle="Porcentagem"/>
    <tableColumn id="11" xr3:uid="{6A6D5B5A-23FF-480D-B7FB-A4CCD3587C72}" name="Avanço real da EI na LB" dataDxfId="84" dataCellStyle="Porcentagem"/>
    <tableColumn id="12" xr3:uid="{8A0A8487-E2C3-4577-80AA-EB51CE960385}" name="COMP_EI" dataDxfId="83"/>
    <tableColumn id="13" xr3:uid="{B0230E13-202D-4ACF-8C37-06B526D1EFE3}" name="Avanço da AP previsto na LB" dataDxfId="82" dataCellStyle="Porcentagem"/>
    <tableColumn id="14" xr3:uid="{57312E3C-4BB5-4F90-92A3-00D85B5D33BC}" name="Avanço da AP real na LB" dataDxfId="80" dataCellStyle="Porcentagem"/>
    <tableColumn id="15" xr3:uid="{FB381D91-7001-43A2-9AC6-3728825DEF52}" name="COMP_AP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B0722E-8275-402C-8409-79138840222C}" name="Tabela5" displayName="Tabela5" ref="A1:AF32" totalsRowShown="0" headerRowDxfId="54" dataDxfId="53">
  <autoFilter ref="A1:AF32" xr:uid="{C5B0722E-8275-402C-8409-79138840222C}">
    <filterColumn colId="3">
      <filters>
        <filter val="emissão inicial"/>
      </filters>
    </filterColumn>
  </autoFilter>
  <tableColumns count="32">
    <tableColumn id="1" xr3:uid="{7C52BE4F-0030-4DF8-B586-DB68D9E2328E}" name="Id" dataDxfId="79"/>
    <tableColumn id="2" xr3:uid="{B06212AB-78B6-4BF1-96AB-A181B0B58430}" name="EDT" dataDxfId="78"/>
    <tableColumn id="3" xr3:uid="{8A1C653E-D9CA-48D8-8E0B-087296EF32A7}" name="Nome do Resumo da Tarefa" dataDxfId="77"/>
    <tableColumn id="4" xr3:uid="{5401C196-A362-47AE-955B-7F995A311DF4}" name="Nome da Tarefa" dataDxfId="76"/>
    <tableColumn id="5" xr3:uid="{EE7E0DE5-E64B-48C9-BB81-5F23D1054D1C}" name="Título" dataDxfId="75"/>
    <tableColumn id="6" xr3:uid="{F0784C8C-8EFB-4D61-BECE-2B170308468D}" name="Duração" dataDxfId="52"/>
    <tableColumn id="7" xr3:uid="{D4BFA9E3-BEAC-414B-AAB7-8A67EA2B0899}" name="Início" dataDxfId="51"/>
    <tableColumn id="8" xr3:uid="{CD3DA083-71C5-4B95-8971-30E798A29A73}" name="Término" dataDxfId="49"/>
    <tableColumn id="9" xr3:uid="{1605064B-B30F-4114-9BCA-894E91D39AF8}" name="Predecessoras" dataDxfId="50"/>
    <tableColumn id="10" xr3:uid="{633F3DF9-D47B-47AB-BBCE-D98F06404058}" name="% concluída" dataDxfId="48" dataCellStyle="Porcentagem"/>
    <tableColumn id="11" xr3:uid="{5FED373A-16EA-49C5-9BD2-37B75D3590ED}" name="Término real" dataDxfId="46"/>
    <tableColumn id="12" xr3:uid="{EDF7EDE7-1D71-4BB0-9C0B-E2ECD76121A2}" name="Status" dataDxfId="47"/>
    <tableColumn id="13" xr3:uid="{B57C7926-8C81-4626-A5ED-CDDAE9FE1B52}" name="Crítica" dataDxfId="74"/>
    <tableColumn id="14" xr3:uid="{3EF54224-8E0D-4E03-AD90-0BA9039AEB8D}" name="Disciplina" dataDxfId="73"/>
    <tableColumn id="15" xr3:uid="{FA104353-6A84-4940-984C-786ABF21CFDB}" name="Inicio_LB_R0" dataDxfId="72"/>
    <tableColumn id="16" xr3:uid="{C86BA5BA-1D0B-4DA8-83B7-80679D97D2B6}" name="Término_LB_R0" dataDxfId="71"/>
    <tableColumn id="17" xr3:uid="{2221E764-5D7A-4660-A365-628B0D1FEBC9}" name="Sprint" dataDxfId="70"/>
    <tableColumn id="18" xr3:uid="{F80CCE34-1E8C-4731-B5A2-FCDCE7E8B890}" name="Sucessoras" dataDxfId="69"/>
    <tableColumn id="19" xr3:uid="{EFF6513A-87BD-41F4-8216-F0051B9FCA4A}" name="Comparação" dataDxfId="68"/>
    <tableColumn id="20" xr3:uid="{5ED6A974-2240-415C-BB0A-FFF81DAA1390}" name="Nomes dos recursos" dataDxfId="67"/>
    <tableColumn id="21" xr3:uid="{5234537A-BBED-477B-8FA9-9F7AE34DC2BA}" name="pct_val" dataDxfId="66"/>
    <tableColumn id="22" xr3:uid="{C318CC64-93AF-41F2-9EBD-DCE5399F8523}" name="Emissão inicial total" dataDxfId="65"/>
    <tableColumn id="23" xr3:uid="{EAB5387C-824D-4E50-8BC5-4A3F25600014}" name="Emissão inicial concluída" dataDxfId="64"/>
    <tableColumn id="24" xr3:uid="{F9A439A6-990B-4154-91F2-E3686ECD2F16}" name="Emissão Inicial Atrasada" dataDxfId="63"/>
    <tableColumn id="25" xr3:uid="{DA1489C5-BC72-428A-B672-EC5B04C5479B}" name="Aprovação total" dataDxfId="62"/>
    <tableColumn id="26" xr3:uid="{A69503B4-A3D8-4F79-9262-1D8FE0227C5F}" name="Avaliação do cliente concluída" dataDxfId="61"/>
    <tableColumn id="27" xr3:uid="{29C36A79-B4D3-4C5D-833A-2B352A883FF4}" name="Avaliação Cliente Atrasada" dataDxfId="60"/>
    <tableColumn id="28" xr3:uid="{AEF84BB6-AC30-4A92-9E8C-6853EC9BDADB}" name="Atendimento de comentário concluído" dataDxfId="59"/>
    <tableColumn id="29" xr3:uid="{FFF62C55-EA07-4536-A9E4-299ACEFC6551}" name="Atendimento Atrasado" dataDxfId="58"/>
    <tableColumn id="30" xr3:uid="{0FD2E6F9-277A-4A79-80ED-8D10518EF849}" name="Aprovação concluída" dataDxfId="57"/>
    <tableColumn id="31" xr3:uid="{F51E0C16-2F5B-47E4-A819-14700E39A14D}" name="Aprovação Atrasada" dataDxfId="56"/>
    <tableColumn id="32" xr3:uid="{CB759516-B607-43CD-B416-361A11580F54}" name="Aderência" dataDxfId="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BB73B0-888F-4522-B386-138A6A9E9B4F}" name="Tabela6" displayName="Tabela6" ref="A1:AF81" totalsRowShown="0" headerRowDxfId="17" dataDxfId="16">
  <autoFilter ref="A1:AF81" xr:uid="{4FBB73B0-888F-4522-B386-138A6A9E9B4F}">
    <filterColumn colId="3">
      <filters>
        <filter val="emissão inicial"/>
      </filters>
    </filterColumn>
  </autoFilter>
  <tableColumns count="32">
    <tableColumn id="1" xr3:uid="{A89FA096-DC74-4559-9AE8-C39CD87F05C0}" name="Id" dataDxfId="45"/>
    <tableColumn id="2" xr3:uid="{73E2CBF2-AD63-436B-B1C1-7CC436496F75}" name="EDT" dataDxfId="44"/>
    <tableColumn id="3" xr3:uid="{D9A8BBAA-51DB-42E3-84EE-90F4DF773F2C}" name="Nome do Resumo da Tarefa" dataDxfId="43"/>
    <tableColumn id="4" xr3:uid="{A6280700-2C79-46A5-895A-AA01226437A1}" name="Nome da Tarefa" dataDxfId="42"/>
    <tableColumn id="5" xr3:uid="{DF19B99F-146E-4978-9B0A-CFE7FBE2F9B4}" name="Título" dataDxfId="41"/>
    <tableColumn id="6" xr3:uid="{BEA9A507-E9D6-4562-B805-2E8B2E0929F5}" name="Duração" dataDxfId="15"/>
    <tableColumn id="7" xr3:uid="{FDEB8846-45E3-449F-9064-7DC2647784DE}" name="Início" dataDxfId="14"/>
    <tableColumn id="8" xr3:uid="{695E461C-FF45-4082-977F-14961FB6BEE7}" name="Término" dataDxfId="12"/>
    <tableColumn id="9" xr3:uid="{5DD525B8-3C4B-4362-B121-EE4F1449F31E}" name="Predecessoras" dataDxfId="13"/>
    <tableColumn id="10" xr3:uid="{A37C85B9-14DB-4DA2-9EA1-BD1991F48554}" name="% concluída" dataDxfId="40" dataCellStyle="Porcentagem"/>
    <tableColumn id="11" xr3:uid="{F0DA60EE-3C40-4291-BB95-4922E4F073F1}" name="Término real" dataDxfId="39"/>
    <tableColumn id="12" xr3:uid="{83835506-9228-4470-A471-F39942DEEBB1}" name="Status" dataDxfId="38"/>
    <tableColumn id="13" xr3:uid="{7FC207DE-4A91-4A0A-9223-75B88938FAA5}" name="Crítica" dataDxfId="37"/>
    <tableColumn id="14" xr3:uid="{1C5E6E81-C67A-4ED7-92EC-0D9C1AE6D439}" name="Disciplina" dataDxfId="36"/>
    <tableColumn id="15" xr3:uid="{CAD3BF8B-E804-4C83-8153-367259836A74}" name="Inicio_LB_R0" dataDxfId="35"/>
    <tableColumn id="16" xr3:uid="{EED83361-6659-4E55-B436-D14DDB9A7FD3}" name="Término_LB_R0" dataDxfId="34"/>
    <tableColumn id="17" xr3:uid="{7287BC8E-E16B-4B33-A0D0-FC9D27CCAFFF}" name="Sprint" dataDxfId="33"/>
    <tableColumn id="18" xr3:uid="{D8A8421C-1016-4CA5-BABA-57A281CB588A}" name="Sucessoras" dataDxfId="32"/>
    <tableColumn id="19" xr3:uid="{FF3D380B-352E-4720-9119-169C12AD76B9}" name="Comparação" dataDxfId="31"/>
    <tableColumn id="20" xr3:uid="{40F51470-6166-43B0-8D65-8FE6C6AB059C}" name="Nomes dos recursos" dataDxfId="30"/>
    <tableColumn id="21" xr3:uid="{476A2F91-8473-4DE0-AFD8-B07581FD979B}" name="pct_val" dataDxfId="29"/>
    <tableColumn id="22" xr3:uid="{A4F98346-EBF1-4C9E-8B97-4E3710145B37}" name="Emissão inicial total" dataDxfId="28"/>
    <tableColumn id="23" xr3:uid="{1900350E-9C1E-4525-AE3A-7D6377379B8D}" name="Emissão inicial concluída" dataDxfId="27"/>
    <tableColumn id="24" xr3:uid="{885DAF48-7666-4C73-B2D9-4E11B490EF25}" name="Emissão Inicial Atrasada" dataDxfId="26"/>
    <tableColumn id="25" xr3:uid="{FD2E9DA3-1603-4CD3-81D4-535A3FDCE70F}" name="Aprovação total" dataDxfId="25"/>
    <tableColumn id="26" xr3:uid="{EC421C62-B8E8-4B98-9D9C-3394210CD082}" name="Avaliação do cliente concluída" dataDxfId="24"/>
    <tableColumn id="27" xr3:uid="{0C0B9944-DF06-4ED8-B350-85B2D0C16668}" name="Avaliação Cliente Atrasada" dataDxfId="23"/>
    <tableColumn id="28" xr3:uid="{23445782-7352-4D5D-9652-3E128DF7E553}" name="Atendimento de comentário concluído" dataDxfId="22"/>
    <tableColumn id="29" xr3:uid="{C0B8A114-82A2-44C3-9F5D-50521889A002}" name="Atendimento Atrasado" dataDxfId="21"/>
    <tableColumn id="30" xr3:uid="{8282A626-88CF-4DC0-B9FD-8F85C5039CAB}" name="Aprovação concluída" dataDxfId="20"/>
    <tableColumn id="31" xr3:uid="{3006BB56-DCFD-4FED-AAF6-BA256F1701B3}" name="Aprovação Atrasada" dataDxfId="19"/>
    <tableColumn id="32" xr3:uid="{20C6AD0C-A004-4379-B3C8-15962E6481B1}" name="Aderência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9E34CA-408D-4A11-8213-2D140CF4CFD5}" name="Tabela7" displayName="Tabela7" ref="A1:J92" totalsRowShown="0" headerRowDxfId="1" dataDxfId="0">
  <autoFilter ref="A1:J92" xr:uid="{1B9E34CA-408D-4A11-8213-2D140CF4CFD5}">
    <filterColumn colId="4">
      <filters>
        <filter val="emissão inicial"/>
      </filters>
    </filterColumn>
  </autoFilter>
  <tableColumns count="10">
    <tableColumn id="1" xr3:uid="{7BFE4D8E-68C9-492F-AAA9-15E7559F9A42}" name="Sprint" dataDxfId="11"/>
    <tableColumn id="2" xr3:uid="{963F4600-5721-4A62-9F40-3E44A9EE0140}" name="Id" dataDxfId="10"/>
    <tableColumn id="3" xr3:uid="{5A60FC3D-2FBC-4CED-B50F-F2DED560FBE2}" name="EDT" dataDxfId="9"/>
    <tableColumn id="4" xr3:uid="{9A7F9B74-67F4-4675-A4D6-729A081033EC}" name="Nome do Resumo da Tarefa" dataDxfId="8"/>
    <tableColumn id="5" xr3:uid="{C1F76C14-6865-4605-83AD-902D99E5ADBC}" name="Nome da Tarefa" dataDxfId="7"/>
    <tableColumn id="6" xr3:uid="{A02F2BEA-5753-4FAB-8699-CC378BD4DA85}" name="Status" dataDxfId="6"/>
    <tableColumn id="7" xr3:uid="{C2F7BF86-0036-4110-88D3-34F5018F7B4A}" name="% concluída" dataDxfId="5" dataCellStyle="Porcentagem"/>
    <tableColumn id="8" xr3:uid="{2B7D1741-5AE5-4D37-BE90-C0CF5F633EEE}" name="Nomes dos recursos" dataDxfId="4"/>
    <tableColumn id="9" xr3:uid="{F7B5B94F-CF9C-432C-B46B-BA813612351A}" name="Disciplina" dataDxfId="3"/>
    <tableColumn id="10" xr3:uid="{27304237-1DCC-423B-8778-D35C3F95FDDD}" name="Crít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4"/>
  <sheetViews>
    <sheetView workbookViewId="0">
      <selection activeCell="C11" sqref="C11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29.85546875" style="1" bestFit="1" customWidth="1"/>
    <col min="6" max="6" width="12.7109375" style="1" bestFit="1" customWidth="1"/>
    <col min="7" max="7" width="10.7109375" style="3" bestFit="1" customWidth="1"/>
    <col min="8" max="8" width="13" style="3" bestFit="1" customWidth="1"/>
    <col min="9" max="9" width="27.28515625" style="1" bestFit="1" customWidth="1"/>
    <col min="10" max="10" width="16" style="1" bestFit="1" customWidth="1"/>
    <col min="11" max="11" width="16.85546875" style="3" bestFit="1" customWidth="1"/>
    <col min="12" max="12" width="12.42578125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82.42578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>
        <v>1</v>
      </c>
      <c r="B2" s="1">
        <v>1</v>
      </c>
      <c r="D2" s="1" t="s">
        <v>32</v>
      </c>
      <c r="F2" s="1" t="s">
        <v>33</v>
      </c>
      <c r="G2" s="3">
        <v>46160</v>
      </c>
      <c r="H2" s="3">
        <v>46393</v>
      </c>
      <c r="J2" s="1">
        <v>0.28999999999999998</v>
      </c>
      <c r="L2" s="1" t="s">
        <v>34</v>
      </c>
      <c r="M2" s="1" t="s">
        <v>35</v>
      </c>
      <c r="N2" s="1" t="s">
        <v>36</v>
      </c>
      <c r="O2" s="1" t="s">
        <v>37</v>
      </c>
      <c r="P2" s="2">
        <v>46211</v>
      </c>
      <c r="Q2" s="1" t="s">
        <v>38</v>
      </c>
      <c r="U2" s="1">
        <v>0.28999999999999998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25">
      <c r="A3" s="1">
        <v>2</v>
      </c>
      <c r="B3" s="1" t="s">
        <v>39</v>
      </c>
      <c r="C3" s="1" t="s">
        <v>40</v>
      </c>
      <c r="D3" s="1" t="s">
        <v>41</v>
      </c>
      <c r="F3" s="1" t="s">
        <v>33</v>
      </c>
      <c r="G3" s="3">
        <v>46160</v>
      </c>
      <c r="H3" s="3">
        <v>46393</v>
      </c>
      <c r="J3" s="1">
        <v>0.28999999999999998</v>
      </c>
      <c r="L3" s="1" t="s">
        <v>34</v>
      </c>
      <c r="M3" s="1" t="s">
        <v>35</v>
      </c>
      <c r="N3" s="1" t="s">
        <v>36</v>
      </c>
      <c r="O3" s="1" t="s">
        <v>37</v>
      </c>
      <c r="P3" s="2">
        <v>46211</v>
      </c>
      <c r="Q3" s="1" t="s">
        <v>38</v>
      </c>
      <c r="U3" s="1">
        <v>0.28999999999999998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25">
      <c r="A4" s="1">
        <v>3</v>
      </c>
      <c r="B4" s="1" t="s">
        <v>42</v>
      </c>
      <c r="C4" s="1" t="s">
        <v>43</v>
      </c>
      <c r="D4" s="1" t="s">
        <v>44</v>
      </c>
      <c r="F4" s="1" t="s">
        <v>45</v>
      </c>
      <c r="G4" s="3">
        <v>46160</v>
      </c>
      <c r="H4" s="3">
        <v>46160</v>
      </c>
      <c r="J4" s="1">
        <v>1</v>
      </c>
      <c r="K4" s="3">
        <v>46160</v>
      </c>
      <c r="L4" s="1" t="s">
        <v>46</v>
      </c>
      <c r="M4" s="1" t="s">
        <v>47</v>
      </c>
      <c r="N4" s="1" t="s">
        <v>36</v>
      </c>
      <c r="O4" s="1" t="s">
        <v>37</v>
      </c>
      <c r="P4" s="2">
        <v>46139</v>
      </c>
      <c r="Q4" s="1" t="s">
        <v>38</v>
      </c>
      <c r="R4" s="1" t="s">
        <v>48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4</v>
      </c>
      <c r="B5" s="1" t="s">
        <v>49</v>
      </c>
      <c r="C5" s="1" t="s">
        <v>43</v>
      </c>
      <c r="D5" s="1" t="s">
        <v>50</v>
      </c>
      <c r="F5" s="1" t="s">
        <v>45</v>
      </c>
      <c r="G5" s="3">
        <v>46160</v>
      </c>
      <c r="H5" s="3">
        <v>46160</v>
      </c>
      <c r="J5" s="1">
        <v>1</v>
      </c>
      <c r="K5" s="3">
        <v>46160</v>
      </c>
      <c r="L5" s="1" t="s">
        <v>46</v>
      </c>
      <c r="M5" s="1" t="s">
        <v>47</v>
      </c>
      <c r="N5" s="1" t="s">
        <v>51</v>
      </c>
      <c r="O5" s="1" t="s">
        <v>52</v>
      </c>
      <c r="P5" s="2">
        <v>46141</v>
      </c>
      <c r="Q5" s="1" t="s">
        <v>38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25">
      <c r="A6" s="1">
        <v>5</v>
      </c>
      <c r="B6" s="1" t="s">
        <v>53</v>
      </c>
      <c r="C6" s="1" t="s">
        <v>54</v>
      </c>
      <c r="D6" s="1" t="s">
        <v>55</v>
      </c>
      <c r="F6" s="1" t="s">
        <v>45</v>
      </c>
      <c r="G6" s="3">
        <v>46160</v>
      </c>
      <c r="H6" s="3">
        <v>46160</v>
      </c>
      <c r="I6" s="1">
        <v>3</v>
      </c>
      <c r="J6" s="1">
        <v>1</v>
      </c>
      <c r="K6" s="3">
        <v>46160</v>
      </c>
      <c r="L6" s="1" t="s">
        <v>46</v>
      </c>
      <c r="M6" s="1" t="s">
        <v>47</v>
      </c>
      <c r="N6" s="1" t="s">
        <v>51</v>
      </c>
      <c r="O6" s="1" t="s">
        <v>52</v>
      </c>
      <c r="P6" s="2">
        <v>46141</v>
      </c>
      <c r="Q6" s="1" t="s">
        <v>38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6</v>
      </c>
      <c r="B7" s="1" t="s">
        <v>56</v>
      </c>
      <c r="C7" s="1" t="s">
        <v>43</v>
      </c>
      <c r="D7" s="1" t="s">
        <v>57</v>
      </c>
      <c r="F7" s="1" t="s">
        <v>58</v>
      </c>
      <c r="G7" s="3">
        <v>46174</v>
      </c>
      <c r="H7" s="3">
        <v>46381</v>
      </c>
      <c r="J7" s="1">
        <v>0.79</v>
      </c>
      <c r="L7" s="1" t="s">
        <v>34</v>
      </c>
      <c r="M7" s="1" t="s">
        <v>47</v>
      </c>
      <c r="N7" s="1" t="s">
        <v>59</v>
      </c>
      <c r="O7" s="1" t="s">
        <v>37</v>
      </c>
      <c r="P7" s="2">
        <v>46161</v>
      </c>
      <c r="Q7" s="1" t="s">
        <v>38</v>
      </c>
      <c r="U7" s="1">
        <v>0.79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25">
      <c r="A8" s="1">
        <v>7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58</v>
      </c>
      <c r="G8" s="3">
        <v>46174</v>
      </c>
      <c r="H8" s="3">
        <v>46381</v>
      </c>
      <c r="J8" s="1">
        <v>0.7</v>
      </c>
      <c r="L8" s="1" t="s">
        <v>64</v>
      </c>
      <c r="M8" s="1" t="s">
        <v>47</v>
      </c>
      <c r="N8" s="1" t="s">
        <v>59</v>
      </c>
      <c r="O8" s="1" t="s">
        <v>37</v>
      </c>
      <c r="P8" s="2">
        <v>46161</v>
      </c>
      <c r="Q8" s="1" t="s">
        <v>38</v>
      </c>
      <c r="S8" s="1" t="s">
        <v>65</v>
      </c>
      <c r="U8" s="1">
        <v>0.7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8</v>
      </c>
      <c r="B9" s="1" t="s">
        <v>66</v>
      </c>
      <c r="C9" s="1" t="s">
        <v>67</v>
      </c>
      <c r="D9" s="1" t="s">
        <v>68</v>
      </c>
      <c r="F9" s="1" t="s">
        <v>69</v>
      </c>
      <c r="G9" s="3">
        <v>46174</v>
      </c>
      <c r="H9" s="3">
        <v>46175</v>
      </c>
      <c r="I9" s="1" t="s">
        <v>70</v>
      </c>
      <c r="J9" s="1">
        <v>1</v>
      </c>
      <c r="K9" s="3">
        <v>46175</v>
      </c>
      <c r="L9" s="1" t="s">
        <v>46</v>
      </c>
      <c r="M9" s="1" t="s">
        <v>47</v>
      </c>
      <c r="N9" s="1" t="s">
        <v>59</v>
      </c>
      <c r="O9" s="1" t="s">
        <v>37</v>
      </c>
      <c r="P9" s="2">
        <v>46141</v>
      </c>
      <c r="Q9" s="1" t="s">
        <v>38</v>
      </c>
      <c r="R9" s="1" t="s">
        <v>71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 x14ac:dyDescent="0.25">
      <c r="A10" s="1">
        <v>9</v>
      </c>
      <c r="B10" s="1" t="s">
        <v>72</v>
      </c>
      <c r="C10" s="1" t="s">
        <v>67</v>
      </c>
      <c r="D10" s="1" t="s">
        <v>73</v>
      </c>
      <c r="F10" s="1" t="s">
        <v>74</v>
      </c>
      <c r="G10" s="3">
        <v>46176</v>
      </c>
      <c r="H10" s="3">
        <v>46176</v>
      </c>
      <c r="I10" s="1">
        <v>8</v>
      </c>
      <c r="J10" s="1">
        <v>1</v>
      </c>
      <c r="K10" s="3">
        <v>46176</v>
      </c>
      <c r="L10" s="1" t="s">
        <v>46</v>
      </c>
      <c r="M10" s="1" t="s">
        <v>47</v>
      </c>
      <c r="N10" s="1" t="s">
        <v>59</v>
      </c>
      <c r="O10" s="1" t="s">
        <v>75</v>
      </c>
      <c r="P10" s="2">
        <v>46142</v>
      </c>
      <c r="Q10" s="1" t="s">
        <v>38</v>
      </c>
      <c r="R10" s="1" t="s">
        <v>76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10</v>
      </c>
      <c r="B11" s="1" t="s">
        <v>77</v>
      </c>
      <c r="C11" s="1" t="s">
        <v>67</v>
      </c>
      <c r="D11" s="1" t="s">
        <v>78</v>
      </c>
      <c r="F11" s="1" t="s">
        <v>74</v>
      </c>
      <c r="G11" s="3">
        <v>46373</v>
      </c>
      <c r="H11" s="3">
        <v>46377</v>
      </c>
      <c r="I11" s="1" t="s">
        <v>79</v>
      </c>
      <c r="J11" s="1">
        <v>0.5</v>
      </c>
      <c r="L11" s="1" t="s">
        <v>80</v>
      </c>
      <c r="M11" s="1" t="s">
        <v>47</v>
      </c>
      <c r="N11" s="1" t="s">
        <v>59</v>
      </c>
      <c r="O11" s="1" t="s">
        <v>81</v>
      </c>
      <c r="P11" s="2">
        <v>46155</v>
      </c>
      <c r="Q11" s="1" t="s">
        <v>38</v>
      </c>
      <c r="R11" s="1" t="s">
        <v>82</v>
      </c>
      <c r="U11" s="1">
        <v>0.5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25">
      <c r="A12" s="1">
        <v>11</v>
      </c>
      <c r="B12" s="1" t="s">
        <v>83</v>
      </c>
      <c r="C12" s="1" t="s">
        <v>67</v>
      </c>
      <c r="D12" s="1" t="s">
        <v>84</v>
      </c>
      <c r="F12" s="1" t="s">
        <v>74</v>
      </c>
      <c r="G12" s="3">
        <v>46380</v>
      </c>
      <c r="H12" s="3">
        <v>46381</v>
      </c>
      <c r="I12" s="1" t="s">
        <v>85</v>
      </c>
      <c r="J12" s="1">
        <v>0</v>
      </c>
      <c r="L12" s="1" t="s">
        <v>80</v>
      </c>
      <c r="M12" s="1" t="s">
        <v>47</v>
      </c>
      <c r="N12" s="1" t="s">
        <v>59</v>
      </c>
      <c r="O12" s="1" t="s">
        <v>86</v>
      </c>
      <c r="P12" s="2">
        <v>46161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12</v>
      </c>
      <c r="B13" s="1" t="s">
        <v>87</v>
      </c>
      <c r="C13" s="1" t="s">
        <v>61</v>
      </c>
      <c r="D13" s="1" t="s">
        <v>88</v>
      </c>
      <c r="E13" s="1" t="s">
        <v>89</v>
      </c>
      <c r="F13" s="1" t="s">
        <v>90</v>
      </c>
      <c r="G13" s="3">
        <v>46176</v>
      </c>
      <c r="H13" s="3">
        <v>46197</v>
      </c>
      <c r="J13" s="1">
        <v>0.81</v>
      </c>
      <c r="L13" s="1" t="s">
        <v>34</v>
      </c>
      <c r="M13" s="1" t="s">
        <v>47</v>
      </c>
      <c r="N13" s="1" t="s">
        <v>59</v>
      </c>
      <c r="O13" s="1" t="s">
        <v>75</v>
      </c>
      <c r="P13" s="2">
        <v>46161</v>
      </c>
      <c r="Q13" s="1" t="s">
        <v>38</v>
      </c>
      <c r="S13" s="1" t="s">
        <v>65</v>
      </c>
      <c r="U13" s="1">
        <v>0.81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25">
      <c r="A14" s="1">
        <v>13</v>
      </c>
      <c r="B14" s="1" t="s">
        <v>91</v>
      </c>
      <c r="C14" s="1" t="s">
        <v>92</v>
      </c>
      <c r="D14" s="1" t="s">
        <v>68</v>
      </c>
      <c r="F14" s="1" t="s">
        <v>93</v>
      </c>
      <c r="G14" s="3">
        <v>46176</v>
      </c>
      <c r="H14" s="3">
        <v>46178</v>
      </c>
      <c r="I14" s="1">
        <v>8</v>
      </c>
      <c r="J14" s="1">
        <v>1</v>
      </c>
      <c r="K14" s="3">
        <v>46178</v>
      </c>
      <c r="L14" s="1" t="s">
        <v>46</v>
      </c>
      <c r="M14" s="1" t="s">
        <v>47</v>
      </c>
      <c r="N14" s="1" t="s">
        <v>59</v>
      </c>
      <c r="O14" s="1" t="s">
        <v>94</v>
      </c>
      <c r="P14" s="2">
        <v>46178</v>
      </c>
      <c r="Q14" s="1" t="s">
        <v>38</v>
      </c>
      <c r="R14" s="1" t="s">
        <v>95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</row>
    <row r="15" spans="1:32" x14ac:dyDescent="0.25">
      <c r="A15" s="1">
        <v>14</v>
      </c>
      <c r="B15" s="1" t="s">
        <v>96</v>
      </c>
      <c r="C15" s="1" t="s">
        <v>92</v>
      </c>
      <c r="D15" s="1" t="s">
        <v>73</v>
      </c>
      <c r="F15" s="1" t="s">
        <v>93</v>
      </c>
      <c r="G15" s="3">
        <v>46181</v>
      </c>
      <c r="H15" s="3">
        <v>46183</v>
      </c>
      <c r="I15" s="1">
        <v>13</v>
      </c>
      <c r="J15" s="1">
        <v>1</v>
      </c>
      <c r="K15" s="3">
        <v>46183</v>
      </c>
      <c r="L15" s="1" t="s">
        <v>46</v>
      </c>
      <c r="M15" s="1" t="s">
        <v>47</v>
      </c>
      <c r="N15" s="1" t="s">
        <v>59</v>
      </c>
      <c r="O15" s="1" t="s">
        <v>97</v>
      </c>
      <c r="P15" s="2">
        <v>46183</v>
      </c>
      <c r="Q15" s="1" t="s">
        <v>38</v>
      </c>
      <c r="R15" s="1" t="s">
        <v>98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25">
      <c r="A16" s="1">
        <v>15</v>
      </c>
      <c r="B16" s="1" t="s">
        <v>99</v>
      </c>
      <c r="C16" s="1" t="s">
        <v>92</v>
      </c>
      <c r="D16" s="1" t="s">
        <v>78</v>
      </c>
      <c r="F16" s="1" t="s">
        <v>74</v>
      </c>
      <c r="G16" s="3">
        <v>46196</v>
      </c>
      <c r="H16" s="3">
        <v>46196</v>
      </c>
      <c r="I16" s="1" t="s">
        <v>100</v>
      </c>
      <c r="J16" s="1">
        <v>0.5</v>
      </c>
      <c r="L16" s="1" t="s">
        <v>34</v>
      </c>
      <c r="M16" s="1" t="s">
        <v>47</v>
      </c>
      <c r="N16" s="1" t="s">
        <v>59</v>
      </c>
      <c r="O16" s="1" t="s">
        <v>101</v>
      </c>
      <c r="P16" s="2">
        <v>46196</v>
      </c>
      <c r="Q16" s="1" t="s">
        <v>38</v>
      </c>
      <c r="R16" s="1">
        <v>16</v>
      </c>
      <c r="U16" s="1">
        <v>0.5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</row>
    <row r="17" spans="1:32" x14ac:dyDescent="0.25">
      <c r="A17" s="1">
        <v>16</v>
      </c>
      <c r="B17" s="1" t="s">
        <v>102</v>
      </c>
      <c r="C17" s="1" t="s">
        <v>92</v>
      </c>
      <c r="D17" s="1" t="s">
        <v>84</v>
      </c>
      <c r="F17" s="1" t="s">
        <v>74</v>
      </c>
      <c r="G17" s="3">
        <v>46197</v>
      </c>
      <c r="H17" s="3">
        <v>46197</v>
      </c>
      <c r="I17" s="1">
        <v>15</v>
      </c>
      <c r="J17" s="1">
        <v>0</v>
      </c>
      <c r="L17" s="1" t="s">
        <v>34</v>
      </c>
      <c r="M17" s="1" t="s">
        <v>47</v>
      </c>
      <c r="N17" s="1" t="s">
        <v>59</v>
      </c>
      <c r="O17" s="1" t="s">
        <v>103</v>
      </c>
      <c r="P17" s="2">
        <v>46197</v>
      </c>
      <c r="Q17" s="1" t="s">
        <v>38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</row>
    <row r="18" spans="1:32" x14ac:dyDescent="0.25">
      <c r="A18" s="1">
        <v>17</v>
      </c>
      <c r="B18" s="1" t="s">
        <v>104</v>
      </c>
      <c r="C18" s="1" t="s">
        <v>61</v>
      </c>
      <c r="D18" s="1" t="s">
        <v>105</v>
      </c>
      <c r="E18" s="1" t="s">
        <v>106</v>
      </c>
      <c r="F18" s="1" t="s">
        <v>90</v>
      </c>
      <c r="G18" s="3">
        <v>46176</v>
      </c>
      <c r="H18" s="3">
        <v>46197</v>
      </c>
      <c r="J18" s="1">
        <v>0.81</v>
      </c>
      <c r="L18" s="1" t="s">
        <v>34</v>
      </c>
      <c r="M18" s="1" t="s">
        <v>47</v>
      </c>
      <c r="N18" s="1" t="s">
        <v>59</v>
      </c>
      <c r="O18" s="1" t="s">
        <v>75</v>
      </c>
      <c r="P18" s="2">
        <v>46161</v>
      </c>
      <c r="Q18" s="1" t="s">
        <v>38</v>
      </c>
      <c r="U18" s="1">
        <v>0.81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25">
      <c r="A19" s="1">
        <v>18</v>
      </c>
      <c r="B19" s="1" t="s">
        <v>107</v>
      </c>
      <c r="C19" s="1" t="s">
        <v>108</v>
      </c>
      <c r="D19" s="1" t="s">
        <v>68</v>
      </c>
      <c r="F19" s="1" t="s">
        <v>93</v>
      </c>
      <c r="G19" s="3">
        <v>46176</v>
      </c>
      <c r="H19" s="3">
        <v>46178</v>
      </c>
      <c r="I19" s="1">
        <v>8</v>
      </c>
      <c r="J19" s="1">
        <v>1</v>
      </c>
      <c r="K19" s="3">
        <v>46178</v>
      </c>
      <c r="L19" s="1" t="s">
        <v>46</v>
      </c>
      <c r="M19" s="1" t="s">
        <v>47</v>
      </c>
      <c r="N19" s="1" t="s">
        <v>59</v>
      </c>
      <c r="O19" s="1" t="s">
        <v>75</v>
      </c>
      <c r="P19" s="2">
        <v>46146</v>
      </c>
      <c r="Q19" s="1" t="s">
        <v>38</v>
      </c>
      <c r="R19" s="1" t="s">
        <v>109</v>
      </c>
      <c r="U19" s="1">
        <v>1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</row>
    <row r="20" spans="1:32" x14ac:dyDescent="0.25">
      <c r="A20" s="1">
        <v>19</v>
      </c>
      <c r="B20" s="1" t="s">
        <v>110</v>
      </c>
      <c r="C20" s="1" t="s">
        <v>108</v>
      </c>
      <c r="D20" s="1" t="s">
        <v>73</v>
      </c>
      <c r="F20" s="1" t="s">
        <v>93</v>
      </c>
      <c r="G20" s="3">
        <v>46181</v>
      </c>
      <c r="H20" s="3">
        <v>46183</v>
      </c>
      <c r="I20" s="1">
        <v>18</v>
      </c>
      <c r="J20" s="1">
        <v>1</v>
      </c>
      <c r="K20" s="3">
        <v>46183</v>
      </c>
      <c r="L20" s="1" t="s">
        <v>46</v>
      </c>
      <c r="M20" s="1" t="s">
        <v>47</v>
      </c>
      <c r="N20" s="1" t="s">
        <v>59</v>
      </c>
      <c r="O20" s="1" t="s">
        <v>111</v>
      </c>
      <c r="P20" s="2">
        <v>46147</v>
      </c>
      <c r="Q20" s="1" t="s">
        <v>38</v>
      </c>
      <c r="R20" s="1" t="s">
        <v>112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25">
      <c r="A21" s="1">
        <v>20</v>
      </c>
      <c r="B21" s="1" t="s">
        <v>113</v>
      </c>
      <c r="C21" s="1" t="s">
        <v>108</v>
      </c>
      <c r="D21" s="1" t="s">
        <v>78</v>
      </c>
      <c r="F21" s="1" t="s">
        <v>74</v>
      </c>
      <c r="G21" s="3">
        <v>46196</v>
      </c>
      <c r="H21" s="3">
        <v>46196</v>
      </c>
      <c r="I21" s="1" t="s">
        <v>114</v>
      </c>
      <c r="J21" s="1">
        <v>0.5</v>
      </c>
      <c r="L21" s="1" t="s">
        <v>34</v>
      </c>
      <c r="M21" s="1" t="s">
        <v>47</v>
      </c>
      <c r="N21" s="1" t="s">
        <v>59</v>
      </c>
      <c r="O21" s="1" t="s">
        <v>115</v>
      </c>
      <c r="P21" s="2">
        <v>46160</v>
      </c>
      <c r="Q21" s="1" t="s">
        <v>38</v>
      </c>
      <c r="R21" s="1">
        <v>21</v>
      </c>
      <c r="U21" s="1">
        <v>0.5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</row>
    <row r="22" spans="1:32" x14ac:dyDescent="0.25">
      <c r="A22" s="1">
        <v>21</v>
      </c>
      <c r="B22" s="1" t="s">
        <v>116</v>
      </c>
      <c r="C22" s="1" t="s">
        <v>108</v>
      </c>
      <c r="D22" s="1" t="s">
        <v>84</v>
      </c>
      <c r="F22" s="1" t="s">
        <v>74</v>
      </c>
      <c r="G22" s="3">
        <v>46197</v>
      </c>
      <c r="H22" s="3">
        <v>46197</v>
      </c>
      <c r="I22" s="1">
        <v>20</v>
      </c>
      <c r="J22" s="1">
        <v>0</v>
      </c>
      <c r="L22" s="1" t="s">
        <v>34</v>
      </c>
      <c r="M22" s="1" t="s">
        <v>47</v>
      </c>
      <c r="N22" s="1" t="s">
        <v>59</v>
      </c>
      <c r="O22" s="1" t="s">
        <v>117</v>
      </c>
      <c r="P22" s="2">
        <v>46161</v>
      </c>
      <c r="Q22" s="1" t="s">
        <v>38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</row>
    <row r="23" spans="1:32" x14ac:dyDescent="0.25">
      <c r="A23" s="1">
        <v>22</v>
      </c>
      <c r="B23" s="1" t="s">
        <v>118</v>
      </c>
      <c r="C23" s="1" t="s">
        <v>43</v>
      </c>
      <c r="D23" s="1" t="s">
        <v>119</v>
      </c>
      <c r="F23" s="1" t="s">
        <v>120</v>
      </c>
      <c r="G23" s="3">
        <v>46174</v>
      </c>
      <c r="H23" s="3">
        <v>46225</v>
      </c>
      <c r="J23" s="1">
        <v>0.4</v>
      </c>
      <c r="L23" s="1" t="s">
        <v>34</v>
      </c>
      <c r="M23" s="1" t="s">
        <v>47</v>
      </c>
      <c r="N23" s="1" t="s">
        <v>121</v>
      </c>
      <c r="O23" s="1" t="s">
        <v>37</v>
      </c>
      <c r="P23" s="2">
        <v>46211</v>
      </c>
      <c r="Q23" s="1" t="s">
        <v>38</v>
      </c>
      <c r="U23" s="1">
        <v>0.4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x14ac:dyDescent="0.25">
      <c r="A24" s="1">
        <v>23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126</v>
      </c>
      <c r="G24" s="3">
        <v>46195</v>
      </c>
      <c r="H24" s="3">
        <v>46203</v>
      </c>
      <c r="J24" s="1">
        <v>0</v>
      </c>
      <c r="L24" s="1" t="s">
        <v>34</v>
      </c>
      <c r="M24" s="1" t="s">
        <v>47</v>
      </c>
      <c r="N24" s="1" t="s">
        <v>121</v>
      </c>
      <c r="O24" s="1" t="s">
        <v>127</v>
      </c>
      <c r="P24" s="2">
        <v>46192</v>
      </c>
      <c r="Q24" s="1" t="s">
        <v>38</v>
      </c>
      <c r="S24" s="1" t="s">
        <v>65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25">
      <c r="A25" s="1">
        <v>24</v>
      </c>
      <c r="B25" s="1" t="s">
        <v>128</v>
      </c>
      <c r="C25" s="1" t="s">
        <v>129</v>
      </c>
      <c r="D25" s="1" t="s">
        <v>68</v>
      </c>
      <c r="F25" s="1" t="s">
        <v>93</v>
      </c>
      <c r="G25" s="3">
        <v>46195</v>
      </c>
      <c r="H25" s="3">
        <v>46197</v>
      </c>
      <c r="J25" s="1">
        <v>0</v>
      </c>
      <c r="L25" s="1" t="s">
        <v>34</v>
      </c>
      <c r="M25" s="1" t="s">
        <v>47</v>
      </c>
      <c r="N25" s="1" t="s">
        <v>121</v>
      </c>
      <c r="O25" s="1" t="s">
        <v>127</v>
      </c>
      <c r="P25" s="2">
        <v>46188</v>
      </c>
      <c r="Q25" s="1" t="s">
        <v>38</v>
      </c>
      <c r="R25" s="1">
        <v>25</v>
      </c>
      <c r="U25" s="1">
        <v>0</v>
      </c>
      <c r="V25" s="1">
        <v>1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25">
      <c r="A26" s="1">
        <v>25</v>
      </c>
      <c r="B26" s="1" t="s">
        <v>130</v>
      </c>
      <c r="C26" s="1" t="s">
        <v>129</v>
      </c>
      <c r="D26" s="1" t="s">
        <v>73</v>
      </c>
      <c r="F26" s="1" t="s">
        <v>74</v>
      </c>
      <c r="G26" s="3">
        <v>46198</v>
      </c>
      <c r="H26" s="3">
        <v>46198</v>
      </c>
      <c r="I26" s="1">
        <v>24</v>
      </c>
      <c r="J26" s="1">
        <v>0</v>
      </c>
      <c r="L26" s="1" t="s">
        <v>34</v>
      </c>
      <c r="M26" s="1" t="s">
        <v>47</v>
      </c>
      <c r="N26" s="1" t="s">
        <v>121</v>
      </c>
      <c r="O26" s="1" t="s">
        <v>131</v>
      </c>
      <c r="P26" s="2">
        <v>46189</v>
      </c>
      <c r="Q26" s="1" t="s">
        <v>38</v>
      </c>
      <c r="R26" s="1">
        <v>26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25">
      <c r="A27" s="1">
        <v>26</v>
      </c>
      <c r="B27" s="1" t="s">
        <v>132</v>
      </c>
      <c r="C27" s="1" t="s">
        <v>129</v>
      </c>
      <c r="D27" s="1" t="s">
        <v>78</v>
      </c>
      <c r="F27" s="1" t="s">
        <v>69</v>
      </c>
      <c r="G27" s="3">
        <v>46199</v>
      </c>
      <c r="H27" s="3">
        <v>46202</v>
      </c>
      <c r="I27" s="1">
        <v>25</v>
      </c>
      <c r="J27" s="1">
        <v>0</v>
      </c>
      <c r="L27" s="1" t="s">
        <v>34</v>
      </c>
      <c r="M27" s="1" t="s">
        <v>47</v>
      </c>
      <c r="N27" s="1" t="s">
        <v>121</v>
      </c>
      <c r="O27" s="1" t="s">
        <v>133</v>
      </c>
      <c r="P27" s="2">
        <v>46191</v>
      </c>
      <c r="Q27" s="1" t="s">
        <v>38</v>
      </c>
      <c r="R27" s="1">
        <v>27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</row>
    <row r="28" spans="1:32" x14ac:dyDescent="0.25">
      <c r="A28" s="1">
        <v>27</v>
      </c>
      <c r="B28" s="1" t="s">
        <v>134</v>
      </c>
      <c r="C28" s="1" t="s">
        <v>129</v>
      </c>
      <c r="D28" s="1" t="s">
        <v>84</v>
      </c>
      <c r="F28" s="1" t="s">
        <v>74</v>
      </c>
      <c r="G28" s="3">
        <v>46203</v>
      </c>
      <c r="H28" s="3">
        <v>46203</v>
      </c>
      <c r="I28" s="1">
        <v>26</v>
      </c>
      <c r="J28" s="1">
        <v>0</v>
      </c>
      <c r="L28" s="1" t="s">
        <v>34</v>
      </c>
      <c r="M28" s="1" t="s">
        <v>47</v>
      </c>
      <c r="N28" s="1" t="s">
        <v>121</v>
      </c>
      <c r="O28" s="1" t="s">
        <v>135</v>
      </c>
      <c r="P28" s="2">
        <v>46192</v>
      </c>
      <c r="Q28" s="1" t="s">
        <v>38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</row>
    <row r="29" spans="1:32" x14ac:dyDescent="0.25">
      <c r="A29" s="1">
        <v>28</v>
      </c>
      <c r="B29" s="1" t="s">
        <v>136</v>
      </c>
      <c r="C29" s="1" t="s">
        <v>123</v>
      </c>
      <c r="D29" s="1" t="s">
        <v>137</v>
      </c>
      <c r="E29" s="1" t="s">
        <v>138</v>
      </c>
      <c r="F29" s="1" t="s">
        <v>139</v>
      </c>
      <c r="G29" s="3">
        <v>46199</v>
      </c>
      <c r="H29" s="3">
        <v>46204</v>
      </c>
      <c r="J29" s="1">
        <v>0</v>
      </c>
      <c r="L29" s="1" t="s">
        <v>34</v>
      </c>
      <c r="M29" s="1" t="s">
        <v>47</v>
      </c>
      <c r="N29" s="1" t="s">
        <v>121</v>
      </c>
      <c r="O29" s="1" t="s">
        <v>140</v>
      </c>
      <c r="P29" s="2">
        <v>46211</v>
      </c>
      <c r="Q29" s="1" t="s">
        <v>38</v>
      </c>
      <c r="S29" s="1" t="s">
        <v>65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25">
      <c r="A30" s="1">
        <v>29</v>
      </c>
      <c r="B30" s="1" t="s">
        <v>141</v>
      </c>
      <c r="C30" s="1" t="s">
        <v>142</v>
      </c>
      <c r="D30" s="1" t="s">
        <v>68</v>
      </c>
      <c r="F30" s="1" t="s">
        <v>74</v>
      </c>
      <c r="G30" s="3">
        <v>46199</v>
      </c>
      <c r="H30" s="3">
        <v>46201</v>
      </c>
      <c r="J30" s="1">
        <v>0</v>
      </c>
      <c r="L30" s="1" t="s">
        <v>34</v>
      </c>
      <c r="M30" s="1" t="s">
        <v>47</v>
      </c>
      <c r="N30" s="1" t="s">
        <v>121</v>
      </c>
      <c r="O30" s="1" t="s">
        <v>140</v>
      </c>
      <c r="P30" s="2">
        <v>46205</v>
      </c>
      <c r="R30" s="1">
        <v>30</v>
      </c>
      <c r="U30" s="1">
        <v>0</v>
      </c>
      <c r="V30" s="1">
        <v>1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25">
      <c r="A31" s="1">
        <v>30</v>
      </c>
      <c r="B31" s="1" t="s">
        <v>143</v>
      </c>
      <c r="C31" s="1" t="s">
        <v>142</v>
      </c>
      <c r="D31" s="1" t="s">
        <v>73</v>
      </c>
      <c r="F31" s="1" t="s">
        <v>74</v>
      </c>
      <c r="G31" s="3">
        <v>46202</v>
      </c>
      <c r="H31" s="3">
        <v>46202</v>
      </c>
      <c r="I31" s="1">
        <v>29</v>
      </c>
      <c r="J31" s="1">
        <v>0</v>
      </c>
      <c r="L31" s="1" t="s">
        <v>34</v>
      </c>
      <c r="M31" s="1" t="s">
        <v>47</v>
      </c>
      <c r="N31" s="1" t="s">
        <v>121</v>
      </c>
      <c r="O31" s="1" t="s">
        <v>144</v>
      </c>
      <c r="P31" s="2">
        <v>46206</v>
      </c>
      <c r="R31" s="1">
        <v>31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25">
      <c r="A32" s="1">
        <v>31</v>
      </c>
      <c r="B32" s="1" t="s">
        <v>145</v>
      </c>
      <c r="C32" s="1" t="s">
        <v>142</v>
      </c>
      <c r="D32" s="1" t="s">
        <v>78</v>
      </c>
      <c r="F32" s="1" t="s">
        <v>74</v>
      </c>
      <c r="G32" s="3">
        <v>46203</v>
      </c>
      <c r="H32" s="3">
        <v>46203</v>
      </c>
      <c r="I32" s="1">
        <v>30</v>
      </c>
      <c r="J32" s="1">
        <v>0</v>
      </c>
      <c r="L32" s="1" t="s">
        <v>34</v>
      </c>
      <c r="M32" s="1" t="s">
        <v>47</v>
      </c>
      <c r="N32" s="1" t="s">
        <v>121</v>
      </c>
      <c r="O32" s="1" t="s">
        <v>146</v>
      </c>
      <c r="P32" s="2">
        <v>46210</v>
      </c>
      <c r="R32" s="1">
        <v>32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</row>
    <row r="33" spans="1:32" x14ac:dyDescent="0.25">
      <c r="A33" s="1">
        <v>32</v>
      </c>
      <c r="B33" s="1" t="s">
        <v>147</v>
      </c>
      <c r="C33" s="1" t="s">
        <v>142</v>
      </c>
      <c r="D33" s="1" t="s">
        <v>84</v>
      </c>
      <c r="F33" s="1" t="s">
        <v>74</v>
      </c>
      <c r="G33" s="3">
        <v>46204</v>
      </c>
      <c r="H33" s="3">
        <v>46204</v>
      </c>
      <c r="I33" s="1">
        <v>31</v>
      </c>
      <c r="J33" s="1">
        <v>0</v>
      </c>
      <c r="L33" s="1" t="s">
        <v>34</v>
      </c>
      <c r="M33" s="1" t="s">
        <v>47</v>
      </c>
      <c r="N33" s="1" t="s">
        <v>121</v>
      </c>
      <c r="O33" s="1" t="s">
        <v>148</v>
      </c>
      <c r="P33" s="2">
        <v>46211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</row>
    <row r="34" spans="1:32" x14ac:dyDescent="0.25">
      <c r="A34" s="1">
        <v>33</v>
      </c>
      <c r="B34" s="1" t="s">
        <v>149</v>
      </c>
      <c r="C34" s="1" t="s">
        <v>123</v>
      </c>
      <c r="D34" s="1" t="s">
        <v>150</v>
      </c>
      <c r="E34" s="1" t="s">
        <v>151</v>
      </c>
      <c r="F34" s="1" t="s">
        <v>126</v>
      </c>
      <c r="G34" s="3">
        <v>46195</v>
      </c>
      <c r="H34" s="3">
        <v>46203</v>
      </c>
      <c r="J34" s="1">
        <v>0.71</v>
      </c>
      <c r="L34" s="1" t="s">
        <v>34</v>
      </c>
      <c r="M34" s="1" t="s">
        <v>47</v>
      </c>
      <c r="N34" s="1" t="s">
        <v>121</v>
      </c>
      <c r="O34" s="1" t="s">
        <v>152</v>
      </c>
      <c r="P34" s="2">
        <v>46231</v>
      </c>
      <c r="Q34" s="1" t="s">
        <v>38</v>
      </c>
      <c r="U34" s="1">
        <v>0.71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25">
      <c r="A35" s="1">
        <v>34</v>
      </c>
      <c r="B35" s="1" t="s">
        <v>153</v>
      </c>
      <c r="C35" s="1" t="s">
        <v>154</v>
      </c>
      <c r="D35" s="1" t="s">
        <v>68</v>
      </c>
      <c r="F35" s="1" t="s">
        <v>93</v>
      </c>
      <c r="G35" s="3">
        <v>46195</v>
      </c>
      <c r="H35" s="3">
        <v>46197</v>
      </c>
      <c r="I35" s="1" t="s">
        <v>155</v>
      </c>
      <c r="J35" s="1">
        <v>1</v>
      </c>
      <c r="K35" s="3">
        <v>46197</v>
      </c>
      <c r="L35" s="1" t="s">
        <v>46</v>
      </c>
      <c r="M35" s="1" t="s">
        <v>47</v>
      </c>
      <c r="N35" s="1" t="s">
        <v>121</v>
      </c>
      <c r="O35" s="1" t="s">
        <v>152</v>
      </c>
      <c r="P35" s="2">
        <v>46225</v>
      </c>
      <c r="Q35" s="1" t="s">
        <v>38</v>
      </c>
      <c r="R35" s="1">
        <v>35</v>
      </c>
      <c r="U35" s="1">
        <v>1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</row>
    <row r="36" spans="1:32" x14ac:dyDescent="0.25">
      <c r="A36" s="1">
        <v>35</v>
      </c>
      <c r="B36" s="1" t="s">
        <v>156</v>
      </c>
      <c r="C36" s="1" t="s">
        <v>154</v>
      </c>
      <c r="D36" s="1" t="s">
        <v>73</v>
      </c>
      <c r="F36" s="1" t="s">
        <v>74</v>
      </c>
      <c r="G36" s="3">
        <v>46198</v>
      </c>
      <c r="H36" s="3">
        <v>46198</v>
      </c>
      <c r="I36" s="1">
        <v>34</v>
      </c>
      <c r="J36" s="1">
        <v>1</v>
      </c>
      <c r="K36" s="3">
        <v>46198</v>
      </c>
      <c r="L36" s="1" t="s">
        <v>46</v>
      </c>
      <c r="M36" s="1" t="s">
        <v>47</v>
      </c>
      <c r="N36" s="1" t="s">
        <v>121</v>
      </c>
      <c r="O36" s="1" t="s">
        <v>157</v>
      </c>
      <c r="P36" s="2">
        <v>46226</v>
      </c>
      <c r="Q36" s="1" t="s">
        <v>38</v>
      </c>
      <c r="R36" s="1">
        <v>36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25">
      <c r="A37" s="1">
        <v>36</v>
      </c>
      <c r="B37" s="1" t="s">
        <v>158</v>
      </c>
      <c r="C37" s="1" t="s">
        <v>154</v>
      </c>
      <c r="D37" s="1" t="s">
        <v>78</v>
      </c>
      <c r="F37" s="1" t="s">
        <v>69</v>
      </c>
      <c r="G37" s="3">
        <v>46199</v>
      </c>
      <c r="H37" s="3">
        <v>46202</v>
      </c>
      <c r="I37" s="1">
        <v>35</v>
      </c>
      <c r="J37" s="1">
        <v>0.5</v>
      </c>
      <c r="L37" s="1" t="s">
        <v>34</v>
      </c>
      <c r="M37" s="1" t="s">
        <v>47</v>
      </c>
      <c r="N37" s="1" t="s">
        <v>121</v>
      </c>
      <c r="O37" s="1" t="s">
        <v>159</v>
      </c>
      <c r="P37" s="2">
        <v>46230</v>
      </c>
      <c r="Q37" s="1" t="s">
        <v>38</v>
      </c>
      <c r="R37" s="1">
        <v>37</v>
      </c>
      <c r="U37" s="1">
        <v>0.5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</row>
    <row r="38" spans="1:32" x14ac:dyDescent="0.25">
      <c r="A38" s="1">
        <v>37</v>
      </c>
      <c r="B38" s="1" t="s">
        <v>160</v>
      </c>
      <c r="C38" s="1" t="s">
        <v>154</v>
      </c>
      <c r="D38" s="1" t="s">
        <v>84</v>
      </c>
      <c r="F38" s="1" t="s">
        <v>74</v>
      </c>
      <c r="G38" s="3">
        <v>46203</v>
      </c>
      <c r="H38" s="3">
        <v>46203</v>
      </c>
      <c r="I38" s="1">
        <v>36</v>
      </c>
      <c r="J38" s="1">
        <v>0</v>
      </c>
      <c r="L38" s="1" t="s">
        <v>34</v>
      </c>
      <c r="M38" s="1" t="s">
        <v>47</v>
      </c>
      <c r="N38" s="1" t="s">
        <v>121</v>
      </c>
      <c r="O38" s="1" t="s">
        <v>161</v>
      </c>
      <c r="P38" s="2">
        <v>46231</v>
      </c>
      <c r="Q38" s="1" t="s">
        <v>38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</row>
    <row r="39" spans="1:32" x14ac:dyDescent="0.25">
      <c r="A39" s="1">
        <v>38</v>
      </c>
      <c r="B39" s="1" t="s">
        <v>162</v>
      </c>
      <c r="C39" s="1" t="s">
        <v>123</v>
      </c>
      <c r="D39" s="1" t="s">
        <v>163</v>
      </c>
      <c r="E39" s="1" t="s">
        <v>164</v>
      </c>
      <c r="F39" s="1" t="s">
        <v>120</v>
      </c>
      <c r="G39" s="3">
        <v>46174</v>
      </c>
      <c r="H39" s="3">
        <v>46225</v>
      </c>
      <c r="J39" s="1">
        <v>0.71</v>
      </c>
      <c r="L39" s="1" t="s">
        <v>64</v>
      </c>
      <c r="M39" s="1" t="s">
        <v>47</v>
      </c>
      <c r="N39" s="1" t="s">
        <v>121</v>
      </c>
      <c r="O39" s="1" t="s">
        <v>37</v>
      </c>
      <c r="P39" s="2">
        <v>46189</v>
      </c>
      <c r="Q39" s="1" t="s">
        <v>38</v>
      </c>
      <c r="U39" s="1">
        <v>0.71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25">
      <c r="A40" s="1">
        <v>39</v>
      </c>
      <c r="B40" s="1" t="s">
        <v>165</v>
      </c>
      <c r="C40" s="1" t="s">
        <v>166</v>
      </c>
      <c r="D40" s="1" t="s">
        <v>68</v>
      </c>
      <c r="F40" s="1" t="s">
        <v>93</v>
      </c>
      <c r="G40" s="3">
        <v>46174</v>
      </c>
      <c r="H40" s="3">
        <v>46176</v>
      </c>
      <c r="I40" s="1" t="s">
        <v>70</v>
      </c>
      <c r="J40" s="1">
        <v>1</v>
      </c>
      <c r="K40" s="3">
        <v>46176</v>
      </c>
      <c r="L40" s="1" t="s">
        <v>46</v>
      </c>
      <c r="M40" s="1" t="s">
        <v>47</v>
      </c>
      <c r="N40" s="1" t="s">
        <v>121</v>
      </c>
      <c r="O40" s="1" t="s">
        <v>37</v>
      </c>
      <c r="P40" s="2">
        <v>46141</v>
      </c>
      <c r="Q40" s="1" t="s">
        <v>38</v>
      </c>
      <c r="R40" s="1">
        <v>40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</row>
    <row r="41" spans="1:32" x14ac:dyDescent="0.25">
      <c r="A41" s="1">
        <v>40</v>
      </c>
      <c r="B41" s="1" t="s">
        <v>167</v>
      </c>
      <c r="C41" s="1" t="s">
        <v>166</v>
      </c>
      <c r="D41" s="1" t="s">
        <v>73</v>
      </c>
      <c r="F41" s="1" t="s">
        <v>74</v>
      </c>
      <c r="G41" s="3">
        <v>46177</v>
      </c>
      <c r="H41" s="3">
        <v>46177</v>
      </c>
      <c r="I41" s="1">
        <v>39</v>
      </c>
      <c r="J41" s="1">
        <v>1</v>
      </c>
      <c r="K41" s="3">
        <v>46177</v>
      </c>
      <c r="L41" s="1" t="s">
        <v>46</v>
      </c>
      <c r="M41" s="1" t="s">
        <v>47</v>
      </c>
      <c r="N41" s="1" t="s">
        <v>121</v>
      </c>
      <c r="O41" s="1" t="s">
        <v>75</v>
      </c>
      <c r="P41" s="2">
        <v>46142</v>
      </c>
      <c r="Q41" s="1" t="s">
        <v>38</v>
      </c>
      <c r="R41" s="1" t="s">
        <v>168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x14ac:dyDescent="0.25">
      <c r="A42" s="1">
        <v>41</v>
      </c>
      <c r="B42" s="1" t="s">
        <v>169</v>
      </c>
      <c r="C42" s="1" t="s">
        <v>166</v>
      </c>
      <c r="D42" s="1" t="s">
        <v>78</v>
      </c>
      <c r="F42" s="1" t="s">
        <v>69</v>
      </c>
      <c r="G42" s="3">
        <v>46220</v>
      </c>
      <c r="H42" s="3">
        <v>46224</v>
      </c>
      <c r="I42" s="1" t="s">
        <v>170</v>
      </c>
      <c r="J42" s="1">
        <v>0.5</v>
      </c>
      <c r="L42" s="1" t="s">
        <v>80</v>
      </c>
      <c r="M42" s="1" t="s">
        <v>47</v>
      </c>
      <c r="N42" s="1" t="s">
        <v>121</v>
      </c>
      <c r="O42" s="1" t="s">
        <v>171</v>
      </c>
      <c r="P42" s="2">
        <v>46188</v>
      </c>
      <c r="Q42" s="1" t="s">
        <v>38</v>
      </c>
      <c r="R42" s="1">
        <v>42</v>
      </c>
      <c r="U42" s="1">
        <v>0.5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25">
      <c r="A43" s="1">
        <v>42</v>
      </c>
      <c r="B43" s="1" t="s">
        <v>172</v>
      </c>
      <c r="C43" s="1" t="s">
        <v>166</v>
      </c>
      <c r="D43" s="1" t="s">
        <v>84</v>
      </c>
      <c r="F43" s="1" t="s">
        <v>74</v>
      </c>
      <c r="G43" s="3">
        <v>46225</v>
      </c>
      <c r="H43" s="3">
        <v>46225</v>
      </c>
      <c r="I43" s="1">
        <v>41</v>
      </c>
      <c r="J43" s="1">
        <v>0</v>
      </c>
      <c r="L43" s="1" t="s">
        <v>80</v>
      </c>
      <c r="M43" s="1" t="s">
        <v>47</v>
      </c>
      <c r="N43" s="1" t="s">
        <v>121</v>
      </c>
      <c r="O43" s="1" t="s">
        <v>131</v>
      </c>
      <c r="P43" s="2">
        <v>46189</v>
      </c>
      <c r="Q43" s="1" t="s">
        <v>38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25">
      <c r="A44" s="1">
        <v>43</v>
      </c>
      <c r="B44" s="1" t="s">
        <v>173</v>
      </c>
      <c r="C44" s="1" t="s">
        <v>43</v>
      </c>
      <c r="D44" s="1" t="s">
        <v>174</v>
      </c>
      <c r="F44" s="1" t="s">
        <v>175</v>
      </c>
      <c r="G44" s="3">
        <v>46170</v>
      </c>
      <c r="H44" s="3">
        <v>46366</v>
      </c>
      <c r="J44" s="1">
        <v>0.31</v>
      </c>
      <c r="L44" s="1" t="s">
        <v>34</v>
      </c>
      <c r="M44" s="1" t="s">
        <v>47</v>
      </c>
      <c r="N44" s="1" t="s">
        <v>176</v>
      </c>
      <c r="O44" s="1" t="s">
        <v>86</v>
      </c>
      <c r="P44" s="2">
        <v>46198</v>
      </c>
      <c r="Q44" s="1" t="s">
        <v>38</v>
      </c>
      <c r="U44" s="1">
        <v>0.31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25">
      <c r="A45" s="1">
        <v>44</v>
      </c>
      <c r="B45" s="1" t="s">
        <v>177</v>
      </c>
      <c r="C45" s="1" t="s">
        <v>178</v>
      </c>
      <c r="D45" s="1" t="s">
        <v>179</v>
      </c>
      <c r="E45" s="1" t="s">
        <v>180</v>
      </c>
      <c r="F45" s="1" t="s">
        <v>181</v>
      </c>
      <c r="G45" s="3">
        <v>46181</v>
      </c>
      <c r="H45" s="3">
        <v>46191</v>
      </c>
      <c r="J45" s="1">
        <v>0.28000000000000003</v>
      </c>
      <c r="L45" s="1" t="s">
        <v>34</v>
      </c>
      <c r="M45" s="1" t="s">
        <v>47</v>
      </c>
      <c r="N45" s="1" t="s">
        <v>176</v>
      </c>
      <c r="O45" s="1" t="s">
        <v>182</v>
      </c>
      <c r="P45" s="2">
        <v>46192</v>
      </c>
      <c r="Q45" s="1" t="s">
        <v>38</v>
      </c>
      <c r="U45" s="1">
        <v>0.28000000000000003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25">
      <c r="A46" s="1">
        <v>45</v>
      </c>
      <c r="B46" s="1" t="s">
        <v>183</v>
      </c>
      <c r="C46" s="1" t="s">
        <v>184</v>
      </c>
      <c r="D46" s="1" t="s">
        <v>68</v>
      </c>
      <c r="F46" s="1" t="s">
        <v>185</v>
      </c>
      <c r="G46" s="3">
        <v>46181</v>
      </c>
      <c r="H46" s="3">
        <v>46185</v>
      </c>
      <c r="I46" s="1" t="s">
        <v>186</v>
      </c>
      <c r="J46" s="1">
        <v>0.5</v>
      </c>
      <c r="L46" s="1" t="s">
        <v>34</v>
      </c>
      <c r="M46" s="1" t="s">
        <v>47</v>
      </c>
      <c r="N46" s="1" t="s">
        <v>176</v>
      </c>
      <c r="O46" s="1" t="s">
        <v>182</v>
      </c>
      <c r="P46" s="2">
        <v>46188</v>
      </c>
      <c r="Q46" s="1" t="s">
        <v>38</v>
      </c>
      <c r="R46" s="1" t="s">
        <v>187</v>
      </c>
      <c r="U46" s="1">
        <v>0.5</v>
      </c>
      <c r="V46" s="1">
        <v>1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x14ac:dyDescent="0.25">
      <c r="A47" s="1">
        <v>46</v>
      </c>
      <c r="B47" s="1" t="s">
        <v>188</v>
      </c>
      <c r="C47" s="1" t="s">
        <v>184</v>
      </c>
      <c r="D47" s="1" t="s">
        <v>73</v>
      </c>
      <c r="F47" s="1" t="s">
        <v>74</v>
      </c>
      <c r="G47" s="3">
        <v>46188</v>
      </c>
      <c r="H47" s="3">
        <v>46188</v>
      </c>
      <c r="I47" s="1">
        <v>45</v>
      </c>
      <c r="J47" s="1">
        <v>0</v>
      </c>
      <c r="L47" s="1" t="s">
        <v>34</v>
      </c>
      <c r="M47" s="1" t="s">
        <v>47</v>
      </c>
      <c r="N47" s="1" t="s">
        <v>176</v>
      </c>
      <c r="O47" s="1" t="s">
        <v>131</v>
      </c>
      <c r="P47" s="2">
        <v>46189</v>
      </c>
      <c r="Q47" s="1" t="s">
        <v>38</v>
      </c>
      <c r="R47" s="1">
        <v>47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25">
      <c r="A48" s="1">
        <v>47</v>
      </c>
      <c r="B48" s="1" t="s">
        <v>189</v>
      </c>
      <c r="C48" s="1" t="s">
        <v>184</v>
      </c>
      <c r="D48" s="1" t="s">
        <v>78</v>
      </c>
      <c r="F48" s="1" t="s">
        <v>69</v>
      </c>
      <c r="G48" s="3">
        <v>46189</v>
      </c>
      <c r="H48" s="3">
        <v>46190</v>
      </c>
      <c r="I48" s="1">
        <v>46</v>
      </c>
      <c r="J48" s="1">
        <v>0</v>
      </c>
      <c r="L48" s="1" t="s">
        <v>34</v>
      </c>
      <c r="M48" s="1" t="s">
        <v>47</v>
      </c>
      <c r="N48" s="1" t="s">
        <v>176</v>
      </c>
      <c r="O48" s="1" t="s">
        <v>133</v>
      </c>
      <c r="P48" s="2">
        <v>46191</v>
      </c>
      <c r="Q48" s="1" t="s">
        <v>38</v>
      </c>
      <c r="R48" s="1">
        <v>48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</row>
    <row r="49" spans="1:32" x14ac:dyDescent="0.25">
      <c r="A49" s="1">
        <v>48</v>
      </c>
      <c r="B49" s="1" t="s">
        <v>190</v>
      </c>
      <c r="C49" s="1" t="s">
        <v>184</v>
      </c>
      <c r="D49" s="1" t="s">
        <v>84</v>
      </c>
      <c r="F49" s="1" t="s">
        <v>74</v>
      </c>
      <c r="G49" s="3">
        <v>46191</v>
      </c>
      <c r="H49" s="3">
        <v>46191</v>
      </c>
      <c r="I49" s="1">
        <v>47</v>
      </c>
      <c r="J49" s="1">
        <v>0</v>
      </c>
      <c r="L49" s="1" t="s">
        <v>34</v>
      </c>
      <c r="M49" s="1" t="s">
        <v>47</v>
      </c>
      <c r="N49" s="1" t="s">
        <v>176</v>
      </c>
      <c r="O49" s="1" t="s">
        <v>135</v>
      </c>
      <c r="P49" s="2">
        <v>46192</v>
      </c>
      <c r="Q49" s="1" t="s">
        <v>38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</row>
    <row r="50" spans="1:32" x14ac:dyDescent="0.25">
      <c r="A50" s="1">
        <v>49</v>
      </c>
      <c r="B50" s="1" t="s">
        <v>191</v>
      </c>
      <c r="C50" s="1" t="s">
        <v>178</v>
      </c>
      <c r="D50" s="1" t="s">
        <v>192</v>
      </c>
      <c r="E50" s="1" t="s">
        <v>193</v>
      </c>
      <c r="F50" s="1" t="s">
        <v>126</v>
      </c>
      <c r="G50" s="3">
        <v>46358</v>
      </c>
      <c r="H50" s="3">
        <v>46366</v>
      </c>
      <c r="J50" s="1">
        <v>0</v>
      </c>
      <c r="L50" s="1" t="s">
        <v>80</v>
      </c>
      <c r="M50" s="1" t="s">
        <v>47</v>
      </c>
      <c r="N50" s="1" t="s">
        <v>176</v>
      </c>
      <c r="O50" s="1" t="s">
        <v>133</v>
      </c>
      <c r="P50" s="2">
        <v>46198</v>
      </c>
      <c r="Q50" s="1" t="s">
        <v>38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25">
      <c r="A51" s="1">
        <v>50</v>
      </c>
      <c r="B51" s="1" t="s">
        <v>194</v>
      </c>
      <c r="C51" s="1" t="s">
        <v>195</v>
      </c>
      <c r="D51" s="1" t="s">
        <v>68</v>
      </c>
      <c r="F51" s="1" t="s">
        <v>93</v>
      </c>
      <c r="G51" s="3">
        <v>46358</v>
      </c>
      <c r="H51" s="3">
        <v>46360</v>
      </c>
      <c r="I51" s="1" t="s">
        <v>196</v>
      </c>
      <c r="J51" s="1">
        <v>0</v>
      </c>
      <c r="L51" s="1" t="s">
        <v>80</v>
      </c>
      <c r="M51" s="1" t="s">
        <v>47</v>
      </c>
      <c r="N51" s="1" t="s">
        <v>176</v>
      </c>
      <c r="O51" s="1" t="s">
        <v>133</v>
      </c>
      <c r="P51" s="2">
        <v>46192</v>
      </c>
      <c r="Q51" s="1" t="s">
        <v>38</v>
      </c>
      <c r="R51" s="1">
        <v>51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25">
      <c r="A52" s="1">
        <v>51</v>
      </c>
      <c r="B52" s="1" t="s">
        <v>197</v>
      </c>
      <c r="C52" s="1" t="s">
        <v>195</v>
      </c>
      <c r="D52" s="1" t="s">
        <v>73</v>
      </c>
      <c r="F52" s="1" t="s">
        <v>74</v>
      </c>
      <c r="G52" s="3">
        <v>46363</v>
      </c>
      <c r="H52" s="3">
        <v>46363</v>
      </c>
      <c r="I52" s="1">
        <v>50</v>
      </c>
      <c r="J52" s="1">
        <v>0</v>
      </c>
      <c r="L52" s="1" t="s">
        <v>80</v>
      </c>
      <c r="M52" s="1" t="s">
        <v>47</v>
      </c>
      <c r="N52" s="1" t="s">
        <v>176</v>
      </c>
      <c r="O52" s="1" t="s">
        <v>198</v>
      </c>
      <c r="P52" s="2">
        <v>46195</v>
      </c>
      <c r="Q52" s="1" t="s">
        <v>38</v>
      </c>
      <c r="R52" s="1">
        <v>52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x14ac:dyDescent="0.25">
      <c r="A53" s="1">
        <v>52</v>
      </c>
      <c r="B53" s="1" t="s">
        <v>199</v>
      </c>
      <c r="C53" s="1" t="s">
        <v>195</v>
      </c>
      <c r="D53" s="1" t="s">
        <v>78</v>
      </c>
      <c r="F53" s="1" t="s">
        <v>69</v>
      </c>
      <c r="G53" s="3">
        <v>46364</v>
      </c>
      <c r="H53" s="3">
        <v>46365</v>
      </c>
      <c r="I53" s="1">
        <v>51</v>
      </c>
      <c r="J53" s="1">
        <v>0</v>
      </c>
      <c r="L53" s="1" t="s">
        <v>80</v>
      </c>
      <c r="M53" s="1" t="s">
        <v>47</v>
      </c>
      <c r="N53" s="1" t="s">
        <v>176</v>
      </c>
      <c r="O53" s="1" t="s">
        <v>101</v>
      </c>
      <c r="P53" s="2">
        <v>46197</v>
      </c>
      <c r="Q53" s="1" t="s">
        <v>38</v>
      </c>
      <c r="R53" s="1">
        <v>53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25">
      <c r="A54" s="1">
        <v>53</v>
      </c>
      <c r="B54" s="1" t="s">
        <v>200</v>
      </c>
      <c r="C54" s="1" t="s">
        <v>195</v>
      </c>
      <c r="D54" s="1" t="s">
        <v>84</v>
      </c>
      <c r="F54" s="1" t="s">
        <v>74</v>
      </c>
      <c r="G54" s="3">
        <v>46366</v>
      </c>
      <c r="H54" s="3">
        <v>46366</v>
      </c>
      <c r="I54" s="1">
        <v>52</v>
      </c>
      <c r="J54" s="1">
        <v>0</v>
      </c>
      <c r="L54" s="1" t="s">
        <v>80</v>
      </c>
      <c r="M54" s="1" t="s">
        <v>47</v>
      </c>
      <c r="N54" s="1" t="s">
        <v>176</v>
      </c>
      <c r="O54" s="1" t="s">
        <v>201</v>
      </c>
      <c r="P54" s="2">
        <v>46198</v>
      </c>
      <c r="Q54" s="1" t="s">
        <v>38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25">
      <c r="A55" s="1">
        <v>54</v>
      </c>
      <c r="B55" s="1" t="s">
        <v>202</v>
      </c>
      <c r="C55" s="1" t="s">
        <v>178</v>
      </c>
      <c r="D55" s="1" t="s">
        <v>203</v>
      </c>
      <c r="E55" s="1" t="s">
        <v>204</v>
      </c>
      <c r="F55" s="1" t="s">
        <v>139</v>
      </c>
      <c r="G55" s="3">
        <v>46170</v>
      </c>
      <c r="H55" s="3">
        <v>46176</v>
      </c>
      <c r="J55" s="1">
        <v>0.63</v>
      </c>
      <c r="L55" s="1" t="s">
        <v>34</v>
      </c>
      <c r="M55" s="1" t="s">
        <v>47</v>
      </c>
      <c r="N55" s="1" t="s">
        <v>176</v>
      </c>
      <c r="O55" s="1" t="s">
        <v>86</v>
      </c>
      <c r="P55" s="2">
        <v>46167</v>
      </c>
      <c r="Q55" s="1" t="s">
        <v>38</v>
      </c>
      <c r="U55" s="1">
        <v>0.63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25">
      <c r="A56" s="1">
        <v>55</v>
      </c>
      <c r="B56" s="1" t="s">
        <v>205</v>
      </c>
      <c r="C56" s="1" t="s">
        <v>206</v>
      </c>
      <c r="D56" s="1" t="s">
        <v>68</v>
      </c>
      <c r="F56" s="1" t="s">
        <v>45</v>
      </c>
      <c r="G56" s="3">
        <v>46170</v>
      </c>
      <c r="H56" s="3">
        <v>46170</v>
      </c>
      <c r="I56" s="1" t="s">
        <v>207</v>
      </c>
      <c r="J56" s="1">
        <v>1</v>
      </c>
      <c r="K56" s="3">
        <v>46170</v>
      </c>
      <c r="L56" s="1" t="s">
        <v>46</v>
      </c>
      <c r="M56" s="1" t="s">
        <v>47</v>
      </c>
      <c r="N56" s="1" t="s">
        <v>176</v>
      </c>
      <c r="O56" s="1" t="s">
        <v>86</v>
      </c>
      <c r="P56" s="2">
        <v>46161</v>
      </c>
      <c r="Q56" s="1" t="s">
        <v>38</v>
      </c>
      <c r="R56" s="1">
        <v>56</v>
      </c>
      <c r="U56" s="1">
        <v>1</v>
      </c>
      <c r="V56" s="1">
        <v>1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</row>
    <row r="57" spans="1:32" x14ac:dyDescent="0.25">
      <c r="A57" s="1">
        <v>56</v>
      </c>
      <c r="B57" s="1" t="s">
        <v>208</v>
      </c>
      <c r="C57" s="1" t="s">
        <v>206</v>
      </c>
      <c r="D57" s="1" t="s">
        <v>73</v>
      </c>
      <c r="F57" s="1" t="s">
        <v>74</v>
      </c>
      <c r="G57" s="3">
        <v>46171</v>
      </c>
      <c r="H57" s="3">
        <v>46171</v>
      </c>
      <c r="I57" s="1">
        <v>55</v>
      </c>
      <c r="J57" s="1">
        <v>1</v>
      </c>
      <c r="K57" s="3">
        <v>46171</v>
      </c>
      <c r="L57" s="1" t="s">
        <v>46</v>
      </c>
      <c r="M57" s="1" t="s">
        <v>47</v>
      </c>
      <c r="N57" s="1" t="s">
        <v>176</v>
      </c>
      <c r="O57" s="1" t="s">
        <v>209</v>
      </c>
      <c r="P57" s="2">
        <v>46162</v>
      </c>
      <c r="Q57" s="1" t="s">
        <v>38</v>
      </c>
      <c r="R57" s="1">
        <v>57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25">
      <c r="A58" s="1">
        <v>57</v>
      </c>
      <c r="B58" s="1" t="s">
        <v>210</v>
      </c>
      <c r="C58" s="1" t="s">
        <v>206</v>
      </c>
      <c r="D58" s="1" t="s">
        <v>78</v>
      </c>
      <c r="F58" s="1" t="s">
        <v>69</v>
      </c>
      <c r="G58" s="3">
        <v>46174</v>
      </c>
      <c r="H58" s="3">
        <v>46175</v>
      </c>
      <c r="I58" s="1">
        <v>56</v>
      </c>
      <c r="J58" s="1">
        <v>0.75</v>
      </c>
      <c r="L58" s="1" t="s">
        <v>34</v>
      </c>
      <c r="M58" s="1" t="s">
        <v>47</v>
      </c>
      <c r="N58" s="1" t="s">
        <v>176</v>
      </c>
      <c r="O58" s="1" t="s">
        <v>211</v>
      </c>
      <c r="P58" s="2">
        <v>46164</v>
      </c>
      <c r="Q58" s="1" t="s">
        <v>38</v>
      </c>
      <c r="R58" s="1">
        <v>58</v>
      </c>
      <c r="U58" s="1">
        <v>0.75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</row>
    <row r="59" spans="1:32" x14ac:dyDescent="0.25">
      <c r="A59" s="1">
        <v>58</v>
      </c>
      <c r="B59" s="1" t="s">
        <v>212</v>
      </c>
      <c r="C59" s="1" t="s">
        <v>206</v>
      </c>
      <c r="D59" s="1" t="s">
        <v>84</v>
      </c>
      <c r="F59" s="1" t="s">
        <v>74</v>
      </c>
      <c r="G59" s="3">
        <v>46176</v>
      </c>
      <c r="H59" s="3">
        <v>46176</v>
      </c>
      <c r="I59" s="1">
        <v>57</v>
      </c>
      <c r="J59" s="1">
        <v>0</v>
      </c>
      <c r="L59" s="1" t="s">
        <v>34</v>
      </c>
      <c r="M59" s="1" t="s">
        <v>47</v>
      </c>
      <c r="N59" s="1" t="s">
        <v>176</v>
      </c>
      <c r="O59" s="1" t="s">
        <v>213</v>
      </c>
      <c r="P59" s="2">
        <v>46167</v>
      </c>
      <c r="Q59" s="1" t="s">
        <v>38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</row>
    <row r="60" spans="1:32" x14ac:dyDescent="0.25">
      <c r="A60" s="1">
        <v>59</v>
      </c>
      <c r="B60" s="1" t="s">
        <v>214</v>
      </c>
      <c r="C60" s="1" t="s">
        <v>178</v>
      </c>
      <c r="D60" s="1" t="s">
        <v>215</v>
      </c>
      <c r="E60" s="1" t="s">
        <v>216</v>
      </c>
      <c r="F60" s="1" t="s">
        <v>217</v>
      </c>
      <c r="G60" s="3">
        <v>46170</v>
      </c>
      <c r="H60" s="3">
        <v>46204</v>
      </c>
      <c r="J60" s="1">
        <v>0.63</v>
      </c>
      <c r="L60" s="1" t="s">
        <v>34</v>
      </c>
      <c r="M60" s="1" t="s">
        <v>47</v>
      </c>
      <c r="N60" s="1" t="s">
        <v>176</v>
      </c>
      <c r="O60" s="1" t="s">
        <v>86</v>
      </c>
      <c r="P60" s="2">
        <v>46167</v>
      </c>
      <c r="Q60" s="1" t="s">
        <v>38</v>
      </c>
      <c r="S60" s="1" t="s">
        <v>65</v>
      </c>
      <c r="U60" s="1">
        <v>0.63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25">
      <c r="A61" s="1">
        <v>60</v>
      </c>
      <c r="B61" s="1" t="s">
        <v>218</v>
      </c>
      <c r="C61" s="1" t="s">
        <v>219</v>
      </c>
      <c r="D61" s="1" t="s">
        <v>68</v>
      </c>
      <c r="F61" s="1" t="s">
        <v>45</v>
      </c>
      <c r="G61" s="3">
        <v>46170</v>
      </c>
      <c r="H61" s="3">
        <v>46170</v>
      </c>
      <c r="I61" s="1" t="s">
        <v>207</v>
      </c>
      <c r="J61" s="1">
        <v>1</v>
      </c>
      <c r="K61" s="3">
        <v>46170</v>
      </c>
      <c r="L61" s="1" t="s">
        <v>46</v>
      </c>
      <c r="M61" s="1" t="s">
        <v>47</v>
      </c>
      <c r="N61" s="1" t="s">
        <v>176</v>
      </c>
      <c r="O61" s="1" t="s">
        <v>86</v>
      </c>
      <c r="P61" s="2">
        <v>46161</v>
      </c>
      <c r="Q61" s="1" t="s">
        <v>38</v>
      </c>
      <c r="R61" s="1">
        <v>61</v>
      </c>
      <c r="U61" s="1">
        <v>1</v>
      </c>
      <c r="V61" s="1">
        <v>1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</row>
    <row r="62" spans="1:32" x14ac:dyDescent="0.25">
      <c r="A62" s="1">
        <v>61</v>
      </c>
      <c r="B62" s="1" t="s">
        <v>220</v>
      </c>
      <c r="C62" s="1" t="s">
        <v>219</v>
      </c>
      <c r="D62" s="1" t="s">
        <v>73</v>
      </c>
      <c r="F62" s="1" t="s">
        <v>74</v>
      </c>
      <c r="G62" s="3">
        <v>46199</v>
      </c>
      <c r="H62" s="3">
        <v>46199</v>
      </c>
      <c r="I62" s="1">
        <v>60</v>
      </c>
      <c r="J62" s="1">
        <v>1</v>
      </c>
      <c r="K62" s="3">
        <v>46199</v>
      </c>
      <c r="L62" s="1" t="s">
        <v>46</v>
      </c>
      <c r="M62" s="1" t="s">
        <v>47</v>
      </c>
      <c r="N62" s="1" t="s">
        <v>176</v>
      </c>
      <c r="O62" s="1" t="s">
        <v>209</v>
      </c>
      <c r="P62" s="2">
        <v>46162</v>
      </c>
      <c r="Q62" s="1" t="s">
        <v>38</v>
      </c>
      <c r="R62" s="1">
        <v>62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25">
      <c r="A63" s="1">
        <v>62</v>
      </c>
      <c r="B63" s="1" t="s">
        <v>221</v>
      </c>
      <c r="C63" s="1" t="s">
        <v>219</v>
      </c>
      <c r="D63" s="1" t="s">
        <v>78</v>
      </c>
      <c r="F63" s="1" t="s">
        <v>69</v>
      </c>
      <c r="G63" s="3">
        <v>46202</v>
      </c>
      <c r="H63" s="3">
        <v>46203</v>
      </c>
      <c r="I63" s="1">
        <v>61</v>
      </c>
      <c r="J63" s="1">
        <v>0.75</v>
      </c>
      <c r="L63" s="1" t="s">
        <v>34</v>
      </c>
      <c r="M63" s="1" t="s">
        <v>47</v>
      </c>
      <c r="N63" s="1" t="s">
        <v>176</v>
      </c>
      <c r="O63" s="1" t="s">
        <v>211</v>
      </c>
      <c r="P63" s="2">
        <v>46164</v>
      </c>
      <c r="Q63" s="1" t="s">
        <v>38</v>
      </c>
      <c r="R63" s="1">
        <v>63</v>
      </c>
      <c r="U63" s="1">
        <v>0.75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</row>
    <row r="64" spans="1:32" x14ac:dyDescent="0.25">
      <c r="A64" s="1">
        <v>63</v>
      </c>
      <c r="B64" s="1" t="s">
        <v>222</v>
      </c>
      <c r="C64" s="1" t="s">
        <v>219</v>
      </c>
      <c r="D64" s="1" t="s">
        <v>84</v>
      </c>
      <c r="F64" s="1" t="s">
        <v>74</v>
      </c>
      <c r="G64" s="3">
        <v>46204</v>
      </c>
      <c r="H64" s="3">
        <v>46204</v>
      </c>
      <c r="I64" s="1">
        <v>62</v>
      </c>
      <c r="J64" s="1">
        <v>0</v>
      </c>
      <c r="L64" s="1" t="s">
        <v>34</v>
      </c>
      <c r="M64" s="1" t="s">
        <v>47</v>
      </c>
      <c r="N64" s="1" t="s">
        <v>176</v>
      </c>
      <c r="O64" s="1" t="s">
        <v>213</v>
      </c>
      <c r="P64" s="2">
        <v>46167</v>
      </c>
      <c r="Q64" s="1" t="s">
        <v>38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>
        <v>0</v>
      </c>
    </row>
    <row r="65" spans="1:32" x14ac:dyDescent="0.25">
      <c r="A65" s="1">
        <v>64</v>
      </c>
      <c r="B65" s="1" t="s">
        <v>223</v>
      </c>
      <c r="C65" s="1" t="s">
        <v>43</v>
      </c>
      <c r="D65" s="1" t="s">
        <v>224</v>
      </c>
      <c r="F65" s="1" t="s">
        <v>225</v>
      </c>
      <c r="G65" s="3">
        <v>46160</v>
      </c>
      <c r="H65" s="3">
        <v>46339</v>
      </c>
      <c r="J65" s="1">
        <v>0.09</v>
      </c>
      <c r="L65" s="1" t="s">
        <v>34</v>
      </c>
      <c r="M65" s="1" t="s">
        <v>47</v>
      </c>
      <c r="N65" s="1" t="s">
        <v>226</v>
      </c>
      <c r="O65" s="1" t="s">
        <v>86</v>
      </c>
      <c r="P65" s="2">
        <v>46211</v>
      </c>
      <c r="Q65" s="1" t="s">
        <v>38</v>
      </c>
      <c r="U65" s="1">
        <v>0.09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25">
      <c r="A66" s="1">
        <v>65</v>
      </c>
      <c r="B66" s="1" t="s">
        <v>227</v>
      </c>
      <c r="C66" s="1" t="s">
        <v>228</v>
      </c>
      <c r="D66" s="1" t="s">
        <v>229</v>
      </c>
      <c r="E66" s="1" t="s">
        <v>180</v>
      </c>
      <c r="F66" s="1" t="s">
        <v>230</v>
      </c>
      <c r="G66" s="3">
        <v>46160</v>
      </c>
      <c r="H66" s="3">
        <v>46167</v>
      </c>
      <c r="J66" s="1">
        <v>0.67</v>
      </c>
      <c r="L66" s="1" t="s">
        <v>34</v>
      </c>
      <c r="M66" s="1" t="s">
        <v>47</v>
      </c>
      <c r="N66" s="1" t="s">
        <v>226</v>
      </c>
      <c r="O66" s="1" t="s">
        <v>182</v>
      </c>
      <c r="P66" s="2">
        <v>46192</v>
      </c>
      <c r="Q66" s="1" t="s">
        <v>38</v>
      </c>
      <c r="U66" s="1">
        <v>0.67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25">
      <c r="A67" s="1">
        <v>66</v>
      </c>
      <c r="B67" s="1" t="s">
        <v>231</v>
      </c>
      <c r="C67" s="1" t="s">
        <v>232</v>
      </c>
      <c r="D67" s="1" t="s">
        <v>68</v>
      </c>
      <c r="F67" s="1" t="s">
        <v>69</v>
      </c>
      <c r="G67" s="3">
        <v>46160</v>
      </c>
      <c r="H67" s="3">
        <v>46161</v>
      </c>
      <c r="I67" s="1" t="s">
        <v>233</v>
      </c>
      <c r="J67" s="1">
        <v>1</v>
      </c>
      <c r="K67" s="3">
        <v>46161</v>
      </c>
      <c r="L67" s="1" t="s">
        <v>46</v>
      </c>
      <c r="M67" s="1" t="s">
        <v>47</v>
      </c>
      <c r="N67" s="1" t="s">
        <v>226</v>
      </c>
      <c r="O67" s="1" t="s">
        <v>182</v>
      </c>
      <c r="P67" s="2">
        <v>46188</v>
      </c>
      <c r="Q67" s="1" t="s">
        <v>38</v>
      </c>
      <c r="R67" s="1" t="s">
        <v>234</v>
      </c>
      <c r="U67" s="1">
        <v>1</v>
      </c>
      <c r="V67" s="1">
        <v>1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</row>
    <row r="68" spans="1:32" x14ac:dyDescent="0.25">
      <c r="A68" s="1">
        <v>67</v>
      </c>
      <c r="B68" s="1" t="s">
        <v>235</v>
      </c>
      <c r="C68" s="1" t="s">
        <v>232</v>
      </c>
      <c r="D68" s="1" t="s">
        <v>73</v>
      </c>
      <c r="F68" s="1" t="s">
        <v>74</v>
      </c>
      <c r="G68" s="3">
        <v>46162</v>
      </c>
      <c r="H68" s="3">
        <v>46162</v>
      </c>
      <c r="I68" s="1">
        <v>66</v>
      </c>
      <c r="J68" s="1">
        <v>1</v>
      </c>
      <c r="K68" s="3">
        <v>46162</v>
      </c>
      <c r="L68" s="1" t="s">
        <v>46</v>
      </c>
      <c r="M68" s="1" t="s">
        <v>47</v>
      </c>
      <c r="N68" s="1" t="s">
        <v>226</v>
      </c>
      <c r="O68" s="1" t="s">
        <v>131</v>
      </c>
      <c r="P68" s="2">
        <v>46189</v>
      </c>
      <c r="Q68" s="1" t="s">
        <v>38</v>
      </c>
      <c r="R68" s="1">
        <v>68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25">
      <c r="A69" s="1">
        <v>68</v>
      </c>
      <c r="B69" s="1" t="s">
        <v>236</v>
      </c>
      <c r="C69" s="1" t="s">
        <v>232</v>
      </c>
      <c r="D69" s="1" t="s">
        <v>78</v>
      </c>
      <c r="F69" s="1" t="s">
        <v>69</v>
      </c>
      <c r="G69" s="3">
        <v>46163</v>
      </c>
      <c r="H69" s="3">
        <v>46164</v>
      </c>
      <c r="I69" s="1">
        <v>67</v>
      </c>
      <c r="J69" s="1">
        <v>0.5</v>
      </c>
      <c r="L69" s="1" t="s">
        <v>34</v>
      </c>
      <c r="M69" s="1" t="s">
        <v>47</v>
      </c>
      <c r="N69" s="1" t="s">
        <v>226</v>
      </c>
      <c r="O69" s="1" t="s">
        <v>133</v>
      </c>
      <c r="P69" s="2">
        <v>46191</v>
      </c>
      <c r="Q69" s="1" t="s">
        <v>38</v>
      </c>
      <c r="R69" s="1">
        <v>69</v>
      </c>
      <c r="U69" s="1">
        <v>0.5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0</v>
      </c>
      <c r="AE69" s="1">
        <v>0</v>
      </c>
      <c r="AF69" s="1">
        <v>0</v>
      </c>
    </row>
    <row r="70" spans="1:32" x14ac:dyDescent="0.25">
      <c r="A70" s="1">
        <v>69</v>
      </c>
      <c r="B70" s="1" t="s">
        <v>237</v>
      </c>
      <c r="C70" s="1" t="s">
        <v>232</v>
      </c>
      <c r="D70" s="1" t="s">
        <v>84</v>
      </c>
      <c r="F70" s="1" t="s">
        <v>74</v>
      </c>
      <c r="G70" s="3">
        <v>46167</v>
      </c>
      <c r="H70" s="3">
        <v>46167</v>
      </c>
      <c r="I70" s="1">
        <v>68</v>
      </c>
      <c r="J70" s="1">
        <v>0</v>
      </c>
      <c r="L70" s="1" t="s">
        <v>34</v>
      </c>
      <c r="M70" s="1" t="s">
        <v>47</v>
      </c>
      <c r="N70" s="1" t="s">
        <v>226</v>
      </c>
      <c r="O70" s="1" t="s">
        <v>135</v>
      </c>
      <c r="P70" s="2">
        <v>46192</v>
      </c>
      <c r="Q70" s="1" t="s">
        <v>38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</v>
      </c>
      <c r="AF70" s="1">
        <v>0</v>
      </c>
    </row>
    <row r="71" spans="1:32" x14ac:dyDescent="0.25">
      <c r="A71" s="1">
        <v>70</v>
      </c>
      <c r="B71" s="1" t="s">
        <v>238</v>
      </c>
      <c r="C71" s="1" t="s">
        <v>228</v>
      </c>
      <c r="D71" s="1" t="s">
        <v>239</v>
      </c>
      <c r="E71" s="1" t="s">
        <v>240</v>
      </c>
      <c r="F71" s="1" t="s">
        <v>230</v>
      </c>
      <c r="G71" s="3">
        <v>46332</v>
      </c>
      <c r="H71" s="3">
        <v>46339</v>
      </c>
      <c r="J71" s="1">
        <v>0</v>
      </c>
      <c r="L71" s="1" t="s">
        <v>80</v>
      </c>
      <c r="M71" s="1" t="s">
        <v>47</v>
      </c>
      <c r="N71" s="1" t="s">
        <v>226</v>
      </c>
      <c r="O71" s="1" t="s">
        <v>241</v>
      </c>
      <c r="P71" s="2">
        <v>46175</v>
      </c>
      <c r="Q71" s="1" t="s">
        <v>38</v>
      </c>
      <c r="S71" s="1" t="s">
        <v>65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25">
      <c r="A72" s="1">
        <v>71</v>
      </c>
      <c r="B72" s="1" t="s">
        <v>242</v>
      </c>
      <c r="C72" s="1" t="s">
        <v>243</v>
      </c>
      <c r="D72" s="1" t="s">
        <v>68</v>
      </c>
      <c r="F72" s="1" t="s">
        <v>69</v>
      </c>
      <c r="G72" s="3">
        <v>46332</v>
      </c>
      <c r="H72" s="3">
        <v>46335</v>
      </c>
      <c r="I72" s="1" t="s">
        <v>244</v>
      </c>
      <c r="J72" s="1">
        <v>0</v>
      </c>
      <c r="L72" s="1" t="s">
        <v>80</v>
      </c>
      <c r="M72" s="1" t="s">
        <v>47</v>
      </c>
      <c r="N72" s="1" t="s">
        <v>226</v>
      </c>
      <c r="O72" s="1" t="s">
        <v>241</v>
      </c>
      <c r="P72" s="2">
        <v>46169</v>
      </c>
      <c r="Q72" s="1" t="s">
        <v>38</v>
      </c>
      <c r="R72" s="1">
        <v>72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25">
      <c r="A73" s="1">
        <v>72</v>
      </c>
      <c r="B73" s="1" t="s">
        <v>245</v>
      </c>
      <c r="C73" s="1" t="s">
        <v>243</v>
      </c>
      <c r="D73" s="1" t="s">
        <v>73</v>
      </c>
      <c r="F73" s="1" t="s">
        <v>74</v>
      </c>
      <c r="G73" s="3">
        <v>46336</v>
      </c>
      <c r="H73" s="3">
        <v>46336</v>
      </c>
      <c r="I73" s="1">
        <v>71</v>
      </c>
      <c r="J73" s="1">
        <v>0</v>
      </c>
      <c r="L73" s="1" t="s">
        <v>80</v>
      </c>
      <c r="M73" s="1" t="s">
        <v>47</v>
      </c>
      <c r="N73" s="1" t="s">
        <v>226</v>
      </c>
      <c r="O73" s="1" t="s">
        <v>246</v>
      </c>
      <c r="P73" s="2">
        <v>46170</v>
      </c>
      <c r="Q73" s="1" t="s">
        <v>38</v>
      </c>
      <c r="R73" s="1">
        <v>73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25">
      <c r="A74" s="1">
        <v>73</v>
      </c>
      <c r="B74" s="1" t="s">
        <v>247</v>
      </c>
      <c r="C74" s="1" t="s">
        <v>243</v>
      </c>
      <c r="D74" s="1" t="s">
        <v>78</v>
      </c>
      <c r="F74" s="1" t="s">
        <v>69</v>
      </c>
      <c r="G74" s="3">
        <v>46337</v>
      </c>
      <c r="H74" s="3">
        <v>46338</v>
      </c>
      <c r="I74" s="1">
        <v>72</v>
      </c>
      <c r="J74" s="1">
        <v>0</v>
      </c>
      <c r="L74" s="1" t="s">
        <v>80</v>
      </c>
      <c r="M74" s="1" t="s">
        <v>47</v>
      </c>
      <c r="N74" s="1" t="s">
        <v>226</v>
      </c>
      <c r="O74" s="1" t="s">
        <v>248</v>
      </c>
      <c r="P74" s="2">
        <v>46174</v>
      </c>
      <c r="Q74" s="1" t="s">
        <v>38</v>
      </c>
      <c r="R74" s="1">
        <v>74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25">
      <c r="A75" s="1">
        <v>74</v>
      </c>
      <c r="B75" s="1" t="s">
        <v>249</v>
      </c>
      <c r="C75" s="1" t="s">
        <v>243</v>
      </c>
      <c r="D75" s="1" t="s">
        <v>84</v>
      </c>
      <c r="F75" s="1" t="s">
        <v>74</v>
      </c>
      <c r="G75" s="3">
        <v>46339</v>
      </c>
      <c r="H75" s="3">
        <v>46339</v>
      </c>
      <c r="I75" s="1">
        <v>73</v>
      </c>
      <c r="J75" s="1">
        <v>0</v>
      </c>
      <c r="L75" s="1" t="s">
        <v>80</v>
      </c>
      <c r="M75" s="1" t="s">
        <v>47</v>
      </c>
      <c r="N75" s="1" t="s">
        <v>226</v>
      </c>
      <c r="O75" s="1" t="s">
        <v>250</v>
      </c>
      <c r="P75" s="2">
        <v>46175</v>
      </c>
      <c r="Q75" s="1" t="s">
        <v>38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25">
      <c r="A76" s="1">
        <v>75</v>
      </c>
      <c r="B76" s="1" t="s">
        <v>251</v>
      </c>
      <c r="C76" s="1" t="s">
        <v>228</v>
      </c>
      <c r="D76" s="1" t="s">
        <v>252</v>
      </c>
      <c r="E76" s="1" t="s">
        <v>240</v>
      </c>
      <c r="F76" s="1" t="s">
        <v>230</v>
      </c>
      <c r="G76" s="3">
        <v>46332</v>
      </c>
      <c r="H76" s="3">
        <v>46339</v>
      </c>
      <c r="J76" s="1">
        <v>0</v>
      </c>
      <c r="L76" s="1" t="s">
        <v>80</v>
      </c>
      <c r="M76" s="1" t="s">
        <v>47</v>
      </c>
      <c r="N76" s="1" t="s">
        <v>226</v>
      </c>
      <c r="O76" s="1" t="s">
        <v>241</v>
      </c>
      <c r="P76" s="2">
        <v>46175</v>
      </c>
      <c r="Q76" s="1" t="s">
        <v>38</v>
      </c>
      <c r="S76" s="1" t="s">
        <v>65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25">
      <c r="A77" s="1">
        <v>76</v>
      </c>
      <c r="B77" s="1" t="s">
        <v>253</v>
      </c>
      <c r="C77" s="1" t="s">
        <v>254</v>
      </c>
      <c r="D77" s="1" t="s">
        <v>68</v>
      </c>
      <c r="F77" s="1" t="s">
        <v>69</v>
      </c>
      <c r="G77" s="3">
        <v>46332</v>
      </c>
      <c r="H77" s="3">
        <v>46335</v>
      </c>
      <c r="I77" s="1" t="s">
        <v>244</v>
      </c>
      <c r="J77" s="1">
        <v>0</v>
      </c>
      <c r="L77" s="1" t="s">
        <v>80</v>
      </c>
      <c r="M77" s="1" t="s">
        <v>47</v>
      </c>
      <c r="N77" s="1" t="s">
        <v>226</v>
      </c>
      <c r="O77" s="1" t="s">
        <v>241</v>
      </c>
      <c r="P77" s="2">
        <v>46169</v>
      </c>
      <c r="Q77" s="1" t="s">
        <v>38</v>
      </c>
      <c r="R77" s="1">
        <v>77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25">
      <c r="A78" s="1">
        <v>77</v>
      </c>
      <c r="B78" s="1" t="s">
        <v>255</v>
      </c>
      <c r="C78" s="1" t="s">
        <v>254</v>
      </c>
      <c r="D78" s="1" t="s">
        <v>73</v>
      </c>
      <c r="F78" s="1" t="s">
        <v>74</v>
      </c>
      <c r="G78" s="3">
        <v>46336</v>
      </c>
      <c r="H78" s="3">
        <v>46336</v>
      </c>
      <c r="I78" s="1">
        <v>76</v>
      </c>
      <c r="J78" s="1">
        <v>0</v>
      </c>
      <c r="L78" s="1" t="s">
        <v>80</v>
      </c>
      <c r="M78" s="1" t="s">
        <v>47</v>
      </c>
      <c r="N78" s="1" t="s">
        <v>226</v>
      </c>
      <c r="O78" s="1" t="s">
        <v>246</v>
      </c>
      <c r="P78" s="2">
        <v>46170</v>
      </c>
      <c r="Q78" s="1" t="s">
        <v>38</v>
      </c>
      <c r="R78" s="1">
        <v>78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25">
      <c r="A79" s="1">
        <v>78</v>
      </c>
      <c r="B79" s="1" t="s">
        <v>256</v>
      </c>
      <c r="C79" s="1" t="s">
        <v>254</v>
      </c>
      <c r="D79" s="1" t="s">
        <v>78</v>
      </c>
      <c r="F79" s="1" t="s">
        <v>69</v>
      </c>
      <c r="G79" s="3">
        <v>46337</v>
      </c>
      <c r="H79" s="3">
        <v>46338</v>
      </c>
      <c r="I79" s="1">
        <v>77</v>
      </c>
      <c r="J79" s="1">
        <v>0</v>
      </c>
      <c r="L79" s="1" t="s">
        <v>80</v>
      </c>
      <c r="M79" s="1" t="s">
        <v>47</v>
      </c>
      <c r="N79" s="1" t="s">
        <v>226</v>
      </c>
      <c r="O79" s="1" t="s">
        <v>248</v>
      </c>
      <c r="P79" s="2">
        <v>46174</v>
      </c>
      <c r="Q79" s="1" t="s">
        <v>38</v>
      </c>
      <c r="R79" s="1">
        <v>79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25">
      <c r="A80" s="1">
        <v>79</v>
      </c>
      <c r="B80" s="1" t="s">
        <v>257</v>
      </c>
      <c r="C80" s="1" t="s">
        <v>254</v>
      </c>
      <c r="D80" s="1" t="s">
        <v>84</v>
      </c>
      <c r="F80" s="1" t="s">
        <v>74</v>
      </c>
      <c r="G80" s="3">
        <v>46339</v>
      </c>
      <c r="H80" s="3">
        <v>46339</v>
      </c>
      <c r="I80" s="1">
        <v>78</v>
      </c>
      <c r="J80" s="1">
        <v>0</v>
      </c>
      <c r="L80" s="1" t="s">
        <v>80</v>
      </c>
      <c r="M80" s="1" t="s">
        <v>47</v>
      </c>
      <c r="N80" s="1" t="s">
        <v>226</v>
      </c>
      <c r="O80" s="1" t="s">
        <v>250</v>
      </c>
      <c r="P80" s="2">
        <v>46175</v>
      </c>
      <c r="Q80" s="1" t="s">
        <v>38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25">
      <c r="A81" s="1">
        <v>80</v>
      </c>
      <c r="B81" s="1" t="s">
        <v>258</v>
      </c>
      <c r="C81" s="1" t="s">
        <v>228</v>
      </c>
      <c r="D81" s="1" t="s">
        <v>259</v>
      </c>
      <c r="E81" s="1" t="s">
        <v>240</v>
      </c>
      <c r="F81" s="1" t="s">
        <v>230</v>
      </c>
      <c r="G81" s="3">
        <v>46332</v>
      </c>
      <c r="H81" s="3">
        <v>46339</v>
      </c>
      <c r="J81" s="1">
        <v>0</v>
      </c>
      <c r="L81" s="1" t="s">
        <v>80</v>
      </c>
      <c r="M81" s="1" t="s">
        <v>47</v>
      </c>
      <c r="N81" s="1" t="s">
        <v>226</v>
      </c>
      <c r="O81" s="1" t="s">
        <v>241</v>
      </c>
      <c r="P81" s="2">
        <v>46175</v>
      </c>
      <c r="Q81" s="1" t="s">
        <v>38</v>
      </c>
      <c r="S81" s="1" t="s">
        <v>65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25">
      <c r="A82" s="1">
        <v>81</v>
      </c>
      <c r="B82" s="1" t="s">
        <v>260</v>
      </c>
      <c r="C82" s="1" t="s">
        <v>261</v>
      </c>
      <c r="D82" s="1" t="s">
        <v>68</v>
      </c>
      <c r="F82" s="1" t="s">
        <v>69</v>
      </c>
      <c r="G82" s="3">
        <v>46332</v>
      </c>
      <c r="H82" s="3">
        <v>46335</v>
      </c>
      <c r="I82" s="1" t="s">
        <v>244</v>
      </c>
      <c r="J82" s="1">
        <v>0</v>
      </c>
      <c r="L82" s="1" t="s">
        <v>80</v>
      </c>
      <c r="M82" s="1" t="s">
        <v>47</v>
      </c>
      <c r="N82" s="1" t="s">
        <v>226</v>
      </c>
      <c r="O82" s="1" t="s">
        <v>241</v>
      </c>
      <c r="P82" s="2">
        <v>46169</v>
      </c>
      <c r="Q82" s="1" t="s">
        <v>38</v>
      </c>
      <c r="R82" s="1">
        <v>82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25">
      <c r="A83" s="1">
        <v>82</v>
      </c>
      <c r="B83" s="1" t="s">
        <v>262</v>
      </c>
      <c r="C83" s="1" t="s">
        <v>261</v>
      </c>
      <c r="D83" s="1" t="s">
        <v>73</v>
      </c>
      <c r="F83" s="1" t="s">
        <v>74</v>
      </c>
      <c r="G83" s="3">
        <v>46336</v>
      </c>
      <c r="H83" s="3">
        <v>46336</v>
      </c>
      <c r="I83" s="1">
        <v>81</v>
      </c>
      <c r="J83" s="1">
        <v>0</v>
      </c>
      <c r="L83" s="1" t="s">
        <v>80</v>
      </c>
      <c r="M83" s="1" t="s">
        <v>47</v>
      </c>
      <c r="N83" s="1" t="s">
        <v>226</v>
      </c>
      <c r="O83" s="1" t="s">
        <v>246</v>
      </c>
      <c r="P83" s="2">
        <v>46170</v>
      </c>
      <c r="Q83" s="1" t="s">
        <v>38</v>
      </c>
      <c r="R83" s="1">
        <v>83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25">
      <c r="A84" s="1">
        <v>83</v>
      </c>
      <c r="B84" s="1" t="s">
        <v>263</v>
      </c>
      <c r="C84" s="1" t="s">
        <v>261</v>
      </c>
      <c r="D84" s="1" t="s">
        <v>78</v>
      </c>
      <c r="F84" s="1" t="s">
        <v>69</v>
      </c>
      <c r="G84" s="3">
        <v>46337</v>
      </c>
      <c r="H84" s="3">
        <v>46338</v>
      </c>
      <c r="I84" s="1">
        <v>82</v>
      </c>
      <c r="J84" s="1">
        <v>0</v>
      </c>
      <c r="L84" s="1" t="s">
        <v>80</v>
      </c>
      <c r="M84" s="1" t="s">
        <v>47</v>
      </c>
      <c r="N84" s="1" t="s">
        <v>226</v>
      </c>
      <c r="O84" s="1" t="s">
        <v>248</v>
      </c>
      <c r="P84" s="2">
        <v>46174</v>
      </c>
      <c r="Q84" s="1" t="s">
        <v>38</v>
      </c>
      <c r="R84" s="1">
        <v>84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25">
      <c r="A85" s="1">
        <v>84</v>
      </c>
      <c r="B85" s="1" t="s">
        <v>264</v>
      </c>
      <c r="C85" s="1" t="s">
        <v>261</v>
      </c>
      <c r="D85" s="1" t="s">
        <v>84</v>
      </c>
      <c r="F85" s="1" t="s">
        <v>74</v>
      </c>
      <c r="G85" s="3">
        <v>46339</v>
      </c>
      <c r="H85" s="3">
        <v>46339</v>
      </c>
      <c r="I85" s="1">
        <v>83</v>
      </c>
      <c r="J85" s="1">
        <v>0</v>
      </c>
      <c r="L85" s="1" t="s">
        <v>80</v>
      </c>
      <c r="M85" s="1" t="s">
        <v>47</v>
      </c>
      <c r="N85" s="1" t="s">
        <v>226</v>
      </c>
      <c r="O85" s="1" t="s">
        <v>250</v>
      </c>
      <c r="P85" s="2">
        <v>46175</v>
      </c>
      <c r="Q85" s="1" t="s">
        <v>38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25">
      <c r="A86" s="1">
        <v>85</v>
      </c>
      <c r="B86" s="1" t="s">
        <v>265</v>
      </c>
      <c r="C86" s="1" t="s">
        <v>228</v>
      </c>
      <c r="D86" s="1" t="s">
        <v>266</v>
      </c>
      <c r="E86" s="1" t="s">
        <v>240</v>
      </c>
      <c r="F86" s="1" t="s">
        <v>230</v>
      </c>
      <c r="G86" s="3">
        <v>46332</v>
      </c>
      <c r="H86" s="3">
        <v>46339</v>
      </c>
      <c r="J86" s="1">
        <v>0</v>
      </c>
      <c r="L86" s="1" t="s">
        <v>80</v>
      </c>
      <c r="M86" s="1" t="s">
        <v>47</v>
      </c>
      <c r="N86" s="1" t="s">
        <v>226</v>
      </c>
      <c r="O86" s="1" t="s">
        <v>241</v>
      </c>
      <c r="P86" s="2">
        <v>46175</v>
      </c>
      <c r="Q86" s="1" t="s">
        <v>38</v>
      </c>
      <c r="S86" s="1" t="s">
        <v>65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25">
      <c r="A87" s="1">
        <v>86</v>
      </c>
      <c r="B87" s="1" t="s">
        <v>267</v>
      </c>
      <c r="C87" s="1" t="s">
        <v>268</v>
      </c>
      <c r="D87" s="1" t="s">
        <v>68</v>
      </c>
      <c r="F87" s="1" t="s">
        <v>69</v>
      </c>
      <c r="G87" s="3">
        <v>46332</v>
      </c>
      <c r="H87" s="3">
        <v>46335</v>
      </c>
      <c r="I87" s="1" t="s">
        <v>244</v>
      </c>
      <c r="J87" s="1">
        <v>0</v>
      </c>
      <c r="L87" s="1" t="s">
        <v>80</v>
      </c>
      <c r="M87" s="1" t="s">
        <v>47</v>
      </c>
      <c r="N87" s="1" t="s">
        <v>226</v>
      </c>
      <c r="O87" s="1" t="s">
        <v>241</v>
      </c>
      <c r="P87" s="2">
        <v>46169</v>
      </c>
      <c r="Q87" s="1" t="s">
        <v>38</v>
      </c>
      <c r="R87" s="1">
        <v>87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25">
      <c r="A88" s="1">
        <v>87</v>
      </c>
      <c r="B88" s="1" t="s">
        <v>269</v>
      </c>
      <c r="C88" s="1" t="s">
        <v>268</v>
      </c>
      <c r="D88" s="1" t="s">
        <v>73</v>
      </c>
      <c r="F88" s="1" t="s">
        <v>74</v>
      </c>
      <c r="G88" s="3">
        <v>46336</v>
      </c>
      <c r="H88" s="3">
        <v>46336</v>
      </c>
      <c r="I88" s="1">
        <v>86</v>
      </c>
      <c r="J88" s="1">
        <v>0</v>
      </c>
      <c r="L88" s="1" t="s">
        <v>80</v>
      </c>
      <c r="M88" s="1" t="s">
        <v>47</v>
      </c>
      <c r="N88" s="1" t="s">
        <v>226</v>
      </c>
      <c r="O88" s="1" t="s">
        <v>246</v>
      </c>
      <c r="P88" s="2">
        <v>46170</v>
      </c>
      <c r="Q88" s="1" t="s">
        <v>38</v>
      </c>
      <c r="R88" s="1">
        <v>88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25">
      <c r="A89" s="1">
        <v>88</v>
      </c>
      <c r="B89" s="1" t="s">
        <v>270</v>
      </c>
      <c r="C89" s="1" t="s">
        <v>268</v>
      </c>
      <c r="D89" s="1" t="s">
        <v>78</v>
      </c>
      <c r="F89" s="1" t="s">
        <v>69</v>
      </c>
      <c r="G89" s="3">
        <v>46337</v>
      </c>
      <c r="H89" s="3">
        <v>46338</v>
      </c>
      <c r="I89" s="1">
        <v>87</v>
      </c>
      <c r="J89" s="1">
        <v>0</v>
      </c>
      <c r="L89" s="1" t="s">
        <v>80</v>
      </c>
      <c r="M89" s="1" t="s">
        <v>47</v>
      </c>
      <c r="N89" s="1" t="s">
        <v>226</v>
      </c>
      <c r="O89" s="1" t="s">
        <v>248</v>
      </c>
      <c r="P89" s="2">
        <v>46174</v>
      </c>
      <c r="Q89" s="1" t="s">
        <v>38</v>
      </c>
      <c r="R89" s="1">
        <v>89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25">
      <c r="A90" s="1">
        <v>89</v>
      </c>
      <c r="B90" s="1" t="s">
        <v>271</v>
      </c>
      <c r="C90" s="1" t="s">
        <v>268</v>
      </c>
      <c r="D90" s="1" t="s">
        <v>84</v>
      </c>
      <c r="F90" s="1" t="s">
        <v>74</v>
      </c>
      <c r="G90" s="3">
        <v>46339</v>
      </c>
      <c r="H90" s="3">
        <v>46339</v>
      </c>
      <c r="I90" s="1">
        <v>88</v>
      </c>
      <c r="J90" s="1">
        <v>0</v>
      </c>
      <c r="L90" s="1" t="s">
        <v>80</v>
      </c>
      <c r="M90" s="1" t="s">
        <v>47</v>
      </c>
      <c r="N90" s="1" t="s">
        <v>226</v>
      </c>
      <c r="O90" s="1" t="s">
        <v>250</v>
      </c>
      <c r="P90" s="2">
        <v>46175</v>
      </c>
      <c r="Q90" s="1" t="s">
        <v>38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25">
      <c r="A91" s="1">
        <v>90</v>
      </c>
      <c r="B91" s="1" t="s">
        <v>272</v>
      </c>
      <c r="C91" s="1" t="s">
        <v>228</v>
      </c>
      <c r="D91" s="1" t="s">
        <v>273</v>
      </c>
      <c r="E91" s="1" t="s">
        <v>193</v>
      </c>
      <c r="F91" s="1" t="s">
        <v>230</v>
      </c>
      <c r="G91" s="3">
        <v>46332</v>
      </c>
      <c r="H91" s="3">
        <v>46339</v>
      </c>
      <c r="J91" s="1">
        <v>0</v>
      </c>
      <c r="L91" s="1" t="s">
        <v>80</v>
      </c>
      <c r="M91" s="1" t="s">
        <v>47</v>
      </c>
      <c r="N91" s="1" t="s">
        <v>226</v>
      </c>
      <c r="O91" s="1" t="s">
        <v>241</v>
      </c>
      <c r="P91" s="2">
        <v>46175</v>
      </c>
      <c r="Q91" s="1" t="s">
        <v>38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25">
      <c r="A92" s="1">
        <v>91</v>
      </c>
      <c r="B92" s="1" t="s">
        <v>274</v>
      </c>
      <c r="C92" s="1" t="s">
        <v>275</v>
      </c>
      <c r="D92" s="1" t="s">
        <v>68</v>
      </c>
      <c r="F92" s="1" t="s">
        <v>69</v>
      </c>
      <c r="G92" s="3">
        <v>46332</v>
      </c>
      <c r="H92" s="3">
        <v>46335</v>
      </c>
      <c r="I92" s="1" t="s">
        <v>244</v>
      </c>
      <c r="J92" s="1">
        <v>0</v>
      </c>
      <c r="L92" s="1" t="s">
        <v>80</v>
      </c>
      <c r="M92" s="1" t="s">
        <v>47</v>
      </c>
      <c r="N92" s="1" t="s">
        <v>226</v>
      </c>
      <c r="O92" s="1" t="s">
        <v>241</v>
      </c>
      <c r="P92" s="2">
        <v>46169</v>
      </c>
      <c r="Q92" s="1" t="s">
        <v>38</v>
      </c>
      <c r="R92" s="1">
        <v>92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25">
      <c r="A93" s="1">
        <v>92</v>
      </c>
      <c r="B93" s="1" t="s">
        <v>276</v>
      </c>
      <c r="C93" s="1" t="s">
        <v>275</v>
      </c>
      <c r="D93" s="1" t="s">
        <v>73</v>
      </c>
      <c r="F93" s="1" t="s">
        <v>74</v>
      </c>
      <c r="G93" s="3">
        <v>46336</v>
      </c>
      <c r="H93" s="3">
        <v>46336</v>
      </c>
      <c r="I93" s="1">
        <v>91</v>
      </c>
      <c r="J93" s="1">
        <v>0</v>
      </c>
      <c r="L93" s="1" t="s">
        <v>80</v>
      </c>
      <c r="M93" s="1" t="s">
        <v>47</v>
      </c>
      <c r="N93" s="1" t="s">
        <v>226</v>
      </c>
      <c r="O93" s="1" t="s">
        <v>246</v>
      </c>
      <c r="P93" s="2">
        <v>46170</v>
      </c>
      <c r="Q93" s="1" t="s">
        <v>38</v>
      </c>
      <c r="R93" s="1">
        <v>93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25">
      <c r="A94" s="1">
        <v>93</v>
      </c>
      <c r="B94" s="1" t="s">
        <v>277</v>
      </c>
      <c r="C94" s="1" t="s">
        <v>275</v>
      </c>
      <c r="D94" s="1" t="s">
        <v>78</v>
      </c>
      <c r="F94" s="1" t="s">
        <v>69</v>
      </c>
      <c r="G94" s="3">
        <v>46337</v>
      </c>
      <c r="H94" s="3">
        <v>46338</v>
      </c>
      <c r="I94" s="1">
        <v>92</v>
      </c>
      <c r="J94" s="1">
        <v>0</v>
      </c>
      <c r="L94" s="1" t="s">
        <v>80</v>
      </c>
      <c r="M94" s="1" t="s">
        <v>47</v>
      </c>
      <c r="N94" s="1" t="s">
        <v>226</v>
      </c>
      <c r="O94" s="1" t="s">
        <v>248</v>
      </c>
      <c r="P94" s="2">
        <v>46174</v>
      </c>
      <c r="Q94" s="1" t="s">
        <v>38</v>
      </c>
      <c r="R94" s="1">
        <v>94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25">
      <c r="A95" s="1">
        <v>94</v>
      </c>
      <c r="B95" s="1" t="s">
        <v>278</v>
      </c>
      <c r="C95" s="1" t="s">
        <v>275</v>
      </c>
      <c r="D95" s="1" t="s">
        <v>84</v>
      </c>
      <c r="F95" s="1" t="s">
        <v>74</v>
      </c>
      <c r="G95" s="3">
        <v>46339</v>
      </c>
      <c r="H95" s="3">
        <v>46339</v>
      </c>
      <c r="I95" s="1">
        <v>93</v>
      </c>
      <c r="J95" s="1">
        <v>0</v>
      </c>
      <c r="L95" s="1" t="s">
        <v>80</v>
      </c>
      <c r="M95" s="1" t="s">
        <v>47</v>
      </c>
      <c r="N95" s="1" t="s">
        <v>226</v>
      </c>
      <c r="O95" s="1" t="s">
        <v>250</v>
      </c>
      <c r="P95" s="2">
        <v>46175</v>
      </c>
      <c r="Q95" s="1" t="s">
        <v>38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25">
      <c r="A96" s="1">
        <v>95</v>
      </c>
      <c r="B96" s="1" t="s">
        <v>279</v>
      </c>
      <c r="C96" s="1" t="s">
        <v>228</v>
      </c>
      <c r="D96" s="1" t="s">
        <v>280</v>
      </c>
      <c r="E96" s="1" t="s">
        <v>240</v>
      </c>
      <c r="F96" s="1" t="s">
        <v>126</v>
      </c>
      <c r="G96" s="3">
        <v>46209</v>
      </c>
      <c r="H96" s="3">
        <v>46219</v>
      </c>
      <c r="J96" s="1">
        <v>0</v>
      </c>
      <c r="L96" s="1" t="s">
        <v>34</v>
      </c>
      <c r="M96" s="1" t="s">
        <v>47</v>
      </c>
      <c r="N96" s="1" t="s">
        <v>226</v>
      </c>
      <c r="O96" s="1" t="s">
        <v>241</v>
      </c>
      <c r="P96" s="2">
        <v>46175</v>
      </c>
      <c r="Q96" s="1" t="s">
        <v>38</v>
      </c>
      <c r="S96" s="1" t="s">
        <v>65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25">
      <c r="A97" s="1">
        <v>96</v>
      </c>
      <c r="B97" s="1" t="s">
        <v>281</v>
      </c>
      <c r="C97" s="1" t="s">
        <v>282</v>
      </c>
      <c r="D97" s="1" t="s">
        <v>68</v>
      </c>
      <c r="F97" s="1" t="s">
        <v>93</v>
      </c>
      <c r="G97" s="3">
        <v>46209</v>
      </c>
      <c r="H97" s="3">
        <v>46211</v>
      </c>
      <c r="J97" s="1">
        <v>0</v>
      </c>
      <c r="L97" s="1" t="s">
        <v>34</v>
      </c>
      <c r="M97" s="1" t="s">
        <v>47</v>
      </c>
      <c r="N97" s="1" t="s">
        <v>226</v>
      </c>
      <c r="O97" s="1" t="s">
        <v>241</v>
      </c>
      <c r="P97" s="2">
        <v>46169</v>
      </c>
      <c r="Q97" s="1" t="s">
        <v>38</v>
      </c>
      <c r="R97" s="1">
        <v>97</v>
      </c>
      <c r="U97" s="1">
        <v>0</v>
      </c>
      <c r="V97" s="1">
        <v>1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25">
      <c r="A98" s="1">
        <v>97</v>
      </c>
      <c r="B98" s="1" t="s">
        <v>283</v>
      </c>
      <c r="C98" s="1" t="s">
        <v>282</v>
      </c>
      <c r="D98" s="1" t="s">
        <v>73</v>
      </c>
      <c r="F98" s="1" t="s">
        <v>74</v>
      </c>
      <c r="G98" s="3">
        <v>46216</v>
      </c>
      <c r="H98" s="3">
        <v>46216</v>
      </c>
      <c r="I98" s="1">
        <v>96</v>
      </c>
      <c r="J98" s="1">
        <v>0</v>
      </c>
      <c r="L98" s="1" t="s">
        <v>80</v>
      </c>
      <c r="M98" s="1" t="s">
        <v>47</v>
      </c>
      <c r="N98" s="1" t="s">
        <v>226</v>
      </c>
      <c r="O98" s="1" t="s">
        <v>246</v>
      </c>
      <c r="P98" s="2">
        <v>46170</v>
      </c>
      <c r="Q98" s="1" t="s">
        <v>38</v>
      </c>
      <c r="R98" s="1">
        <v>98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25">
      <c r="A99" s="1">
        <v>98</v>
      </c>
      <c r="B99" s="1" t="s">
        <v>284</v>
      </c>
      <c r="C99" s="1" t="s">
        <v>282</v>
      </c>
      <c r="D99" s="1" t="s">
        <v>78</v>
      </c>
      <c r="F99" s="1" t="s">
        <v>69</v>
      </c>
      <c r="G99" s="3">
        <v>46217</v>
      </c>
      <c r="H99" s="3">
        <v>46218</v>
      </c>
      <c r="I99" s="1">
        <v>97</v>
      </c>
      <c r="J99" s="1">
        <v>0</v>
      </c>
      <c r="L99" s="1" t="s">
        <v>80</v>
      </c>
      <c r="M99" s="1" t="s">
        <v>47</v>
      </c>
      <c r="N99" s="1" t="s">
        <v>226</v>
      </c>
      <c r="O99" s="1" t="s">
        <v>248</v>
      </c>
      <c r="P99" s="2">
        <v>46174</v>
      </c>
      <c r="Q99" s="1" t="s">
        <v>38</v>
      </c>
      <c r="R99" s="1">
        <v>99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25">
      <c r="A100" s="1">
        <v>99</v>
      </c>
      <c r="B100" s="1" t="s">
        <v>285</v>
      </c>
      <c r="C100" s="1" t="s">
        <v>282</v>
      </c>
      <c r="D100" s="1" t="s">
        <v>84</v>
      </c>
      <c r="F100" s="1" t="s">
        <v>74</v>
      </c>
      <c r="G100" s="3">
        <v>46219</v>
      </c>
      <c r="H100" s="3">
        <v>46219</v>
      </c>
      <c r="I100" s="1">
        <v>98</v>
      </c>
      <c r="J100" s="1">
        <v>0</v>
      </c>
      <c r="L100" s="1" t="s">
        <v>80</v>
      </c>
      <c r="M100" s="1" t="s">
        <v>47</v>
      </c>
      <c r="N100" s="1" t="s">
        <v>226</v>
      </c>
      <c r="O100" s="1" t="s">
        <v>250</v>
      </c>
      <c r="P100" s="2">
        <v>46175</v>
      </c>
      <c r="Q100" s="1" t="s">
        <v>38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25">
      <c r="A101" s="1">
        <v>100</v>
      </c>
      <c r="B101" s="1" t="s">
        <v>286</v>
      </c>
      <c r="C101" s="1" t="s">
        <v>43</v>
      </c>
      <c r="D101" s="1" t="s">
        <v>287</v>
      </c>
      <c r="F101" s="1" t="s">
        <v>288</v>
      </c>
      <c r="G101" s="3">
        <v>46181</v>
      </c>
      <c r="H101" s="3">
        <v>46366</v>
      </c>
      <c r="J101" s="1">
        <v>0.39</v>
      </c>
      <c r="L101" s="1" t="s">
        <v>34</v>
      </c>
      <c r="M101" s="1" t="s">
        <v>47</v>
      </c>
      <c r="N101" s="1" t="s">
        <v>289</v>
      </c>
      <c r="O101" s="1" t="s">
        <v>209</v>
      </c>
      <c r="P101" s="2">
        <v>46211</v>
      </c>
      <c r="Q101" s="1" t="s">
        <v>38</v>
      </c>
      <c r="U101" s="1">
        <v>0.39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 spans="1:32" x14ac:dyDescent="0.25">
      <c r="A102" s="1">
        <v>101</v>
      </c>
      <c r="B102" s="1" t="s">
        <v>290</v>
      </c>
      <c r="C102" s="1" t="s">
        <v>291</v>
      </c>
      <c r="D102" s="1" t="s">
        <v>292</v>
      </c>
      <c r="E102" s="1" t="s">
        <v>180</v>
      </c>
      <c r="F102" s="1" t="s">
        <v>181</v>
      </c>
      <c r="G102" s="3">
        <v>46181</v>
      </c>
      <c r="H102" s="3">
        <v>46191</v>
      </c>
      <c r="J102" s="1">
        <v>1</v>
      </c>
      <c r="K102" s="3">
        <v>46191</v>
      </c>
      <c r="L102" s="1" t="s">
        <v>46</v>
      </c>
      <c r="M102" s="1" t="s">
        <v>47</v>
      </c>
      <c r="N102" s="1" t="s">
        <v>289</v>
      </c>
      <c r="O102" s="1" t="s">
        <v>127</v>
      </c>
      <c r="P102" s="2">
        <v>46192</v>
      </c>
      <c r="Q102" s="1" t="s">
        <v>38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 spans="1:32" x14ac:dyDescent="0.25">
      <c r="A103" s="1">
        <v>102</v>
      </c>
      <c r="B103" s="1" t="s">
        <v>293</v>
      </c>
      <c r="C103" s="1" t="s">
        <v>294</v>
      </c>
      <c r="D103" s="1" t="s">
        <v>68</v>
      </c>
      <c r="F103" s="1" t="s">
        <v>185</v>
      </c>
      <c r="G103" s="3">
        <v>46181</v>
      </c>
      <c r="H103" s="3">
        <v>46185</v>
      </c>
      <c r="I103" s="1" t="s">
        <v>233</v>
      </c>
      <c r="J103" s="1">
        <v>1</v>
      </c>
      <c r="K103" s="3">
        <v>46185</v>
      </c>
      <c r="L103" s="1" t="s">
        <v>46</v>
      </c>
      <c r="M103" s="1" t="s">
        <v>47</v>
      </c>
      <c r="N103" s="1" t="s">
        <v>289</v>
      </c>
      <c r="O103" s="1" t="s">
        <v>127</v>
      </c>
      <c r="P103" s="2">
        <v>46188</v>
      </c>
      <c r="Q103" s="1" t="s">
        <v>38</v>
      </c>
      <c r="R103" s="1" t="s">
        <v>295</v>
      </c>
      <c r="U103" s="1">
        <v>1</v>
      </c>
      <c r="V103" s="1">
        <v>1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</row>
    <row r="104" spans="1:32" x14ac:dyDescent="0.25">
      <c r="A104" s="1">
        <v>103</v>
      </c>
      <c r="B104" s="1" t="s">
        <v>296</v>
      </c>
      <c r="C104" s="1" t="s">
        <v>294</v>
      </c>
      <c r="D104" s="1" t="s">
        <v>73</v>
      </c>
      <c r="F104" s="1" t="s">
        <v>74</v>
      </c>
      <c r="G104" s="3">
        <v>46188</v>
      </c>
      <c r="H104" s="3">
        <v>46188</v>
      </c>
      <c r="I104" s="1">
        <v>102</v>
      </c>
      <c r="J104" s="1">
        <v>1</v>
      </c>
      <c r="K104" s="3">
        <v>46188</v>
      </c>
      <c r="L104" s="1" t="s">
        <v>46</v>
      </c>
      <c r="M104" s="1" t="s">
        <v>47</v>
      </c>
      <c r="N104" s="1" t="s">
        <v>289</v>
      </c>
      <c r="O104" s="1" t="s">
        <v>131</v>
      </c>
      <c r="P104" s="2">
        <v>46189</v>
      </c>
      <c r="Q104" s="1" t="s">
        <v>38</v>
      </c>
      <c r="R104" s="1">
        <v>104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25">
      <c r="A105" s="1">
        <v>104</v>
      </c>
      <c r="B105" s="1" t="s">
        <v>297</v>
      </c>
      <c r="C105" s="1" t="s">
        <v>294</v>
      </c>
      <c r="D105" s="1" t="s">
        <v>78</v>
      </c>
      <c r="F105" s="1" t="s">
        <v>69</v>
      </c>
      <c r="G105" s="3">
        <v>46189</v>
      </c>
      <c r="H105" s="3">
        <v>46190</v>
      </c>
      <c r="I105" s="1">
        <v>103</v>
      </c>
      <c r="J105" s="1">
        <v>1</v>
      </c>
      <c r="K105" s="3">
        <v>46190</v>
      </c>
      <c r="L105" s="1" t="s">
        <v>46</v>
      </c>
      <c r="M105" s="1" t="s">
        <v>47</v>
      </c>
      <c r="N105" s="1" t="s">
        <v>289</v>
      </c>
      <c r="O105" s="1" t="s">
        <v>133</v>
      </c>
      <c r="P105" s="2">
        <v>46191</v>
      </c>
      <c r="Q105" s="1" t="s">
        <v>38</v>
      </c>
      <c r="R105" s="1">
        <v>105</v>
      </c>
      <c r="U105" s="1">
        <v>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25">
      <c r="A106" s="1">
        <v>105</v>
      </c>
      <c r="B106" s="1" t="s">
        <v>298</v>
      </c>
      <c r="C106" s="1" t="s">
        <v>294</v>
      </c>
      <c r="D106" s="1" t="s">
        <v>84</v>
      </c>
      <c r="F106" s="1" t="s">
        <v>74</v>
      </c>
      <c r="G106" s="3">
        <v>46191</v>
      </c>
      <c r="H106" s="3">
        <v>46191</v>
      </c>
      <c r="I106" s="1">
        <v>104</v>
      </c>
      <c r="J106" s="1">
        <v>1</v>
      </c>
      <c r="K106" s="3">
        <v>46191</v>
      </c>
      <c r="L106" s="1" t="s">
        <v>46</v>
      </c>
      <c r="M106" s="1" t="s">
        <v>47</v>
      </c>
      <c r="N106" s="1" t="s">
        <v>289</v>
      </c>
      <c r="O106" s="1" t="s">
        <v>135</v>
      </c>
      <c r="P106" s="2">
        <v>46192</v>
      </c>
      <c r="Q106" s="1" t="s">
        <v>38</v>
      </c>
      <c r="U106" s="1">
        <v>1</v>
      </c>
      <c r="V106" s="1">
        <v>0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</row>
    <row r="107" spans="1:32" x14ac:dyDescent="0.25">
      <c r="A107" s="1">
        <v>106</v>
      </c>
      <c r="B107" s="1" t="s">
        <v>299</v>
      </c>
      <c r="C107" s="1" t="s">
        <v>291</v>
      </c>
      <c r="D107" s="1" t="s">
        <v>300</v>
      </c>
      <c r="E107" s="1" t="s">
        <v>193</v>
      </c>
      <c r="F107" s="1" t="s">
        <v>126</v>
      </c>
      <c r="G107" s="3">
        <v>46358</v>
      </c>
      <c r="H107" s="3">
        <v>46366</v>
      </c>
      <c r="J107" s="1">
        <v>0</v>
      </c>
      <c r="L107" s="1" t="s">
        <v>80</v>
      </c>
      <c r="M107" s="1" t="s">
        <v>47</v>
      </c>
      <c r="N107" s="1" t="s">
        <v>289</v>
      </c>
      <c r="O107" s="1" t="s">
        <v>301</v>
      </c>
      <c r="P107" s="2">
        <v>46199</v>
      </c>
      <c r="Q107" s="1" t="s">
        <v>38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25">
      <c r="A108" s="1">
        <v>107</v>
      </c>
      <c r="B108" s="1" t="s">
        <v>302</v>
      </c>
      <c r="C108" s="1" t="s">
        <v>303</v>
      </c>
      <c r="D108" s="1" t="s">
        <v>68</v>
      </c>
      <c r="F108" s="1" t="s">
        <v>93</v>
      </c>
      <c r="G108" s="3">
        <v>46358</v>
      </c>
      <c r="H108" s="3">
        <v>46360</v>
      </c>
      <c r="I108" s="1" t="s">
        <v>304</v>
      </c>
      <c r="J108" s="1">
        <v>0</v>
      </c>
      <c r="L108" s="1" t="s">
        <v>80</v>
      </c>
      <c r="M108" s="1" t="s">
        <v>47</v>
      </c>
      <c r="N108" s="1" t="s">
        <v>289</v>
      </c>
      <c r="O108" s="1" t="s">
        <v>301</v>
      </c>
      <c r="P108" s="2">
        <v>46195</v>
      </c>
      <c r="Q108" s="1" t="s">
        <v>38</v>
      </c>
      <c r="R108" s="1">
        <v>108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25">
      <c r="A109" s="1">
        <v>108</v>
      </c>
      <c r="B109" s="1" t="s">
        <v>305</v>
      </c>
      <c r="C109" s="1" t="s">
        <v>303</v>
      </c>
      <c r="D109" s="1" t="s">
        <v>73</v>
      </c>
      <c r="F109" s="1" t="s">
        <v>74</v>
      </c>
      <c r="G109" s="3">
        <v>46363</v>
      </c>
      <c r="H109" s="3">
        <v>46363</v>
      </c>
      <c r="I109" s="1">
        <v>107</v>
      </c>
      <c r="J109" s="1">
        <v>0</v>
      </c>
      <c r="L109" s="1" t="s">
        <v>80</v>
      </c>
      <c r="M109" s="1" t="s">
        <v>47</v>
      </c>
      <c r="N109" s="1" t="s">
        <v>289</v>
      </c>
      <c r="O109" s="1" t="s">
        <v>101</v>
      </c>
      <c r="P109" s="2">
        <v>46196</v>
      </c>
      <c r="Q109" s="1" t="s">
        <v>38</v>
      </c>
      <c r="R109" s="1">
        <v>109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25">
      <c r="A110" s="1">
        <v>109</v>
      </c>
      <c r="B110" s="1" t="s">
        <v>306</v>
      </c>
      <c r="C110" s="1" t="s">
        <v>303</v>
      </c>
      <c r="D110" s="1" t="s">
        <v>78</v>
      </c>
      <c r="F110" s="1" t="s">
        <v>69</v>
      </c>
      <c r="G110" s="3">
        <v>46364</v>
      </c>
      <c r="H110" s="3">
        <v>46365</v>
      </c>
      <c r="I110" s="1">
        <v>108</v>
      </c>
      <c r="J110" s="1">
        <v>0</v>
      </c>
      <c r="L110" s="1" t="s">
        <v>80</v>
      </c>
      <c r="M110" s="1" t="s">
        <v>47</v>
      </c>
      <c r="N110" s="1" t="s">
        <v>289</v>
      </c>
      <c r="O110" s="1" t="s">
        <v>103</v>
      </c>
      <c r="P110" s="2">
        <v>46198</v>
      </c>
      <c r="Q110" s="1" t="s">
        <v>38</v>
      </c>
      <c r="R110" s="1">
        <v>110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25">
      <c r="A111" s="1">
        <v>110</v>
      </c>
      <c r="B111" s="1" t="s">
        <v>307</v>
      </c>
      <c r="C111" s="1" t="s">
        <v>303</v>
      </c>
      <c r="D111" s="1" t="s">
        <v>84</v>
      </c>
      <c r="F111" s="1" t="s">
        <v>74</v>
      </c>
      <c r="G111" s="3">
        <v>46366</v>
      </c>
      <c r="H111" s="3">
        <v>46366</v>
      </c>
      <c r="I111" s="1">
        <v>109</v>
      </c>
      <c r="J111" s="1">
        <v>0</v>
      </c>
      <c r="L111" s="1" t="s">
        <v>80</v>
      </c>
      <c r="M111" s="1" t="s">
        <v>47</v>
      </c>
      <c r="N111" s="1" t="s">
        <v>289</v>
      </c>
      <c r="O111" s="1" t="s">
        <v>308</v>
      </c>
      <c r="P111" s="2">
        <v>46199</v>
      </c>
      <c r="Q111" s="1" t="s">
        <v>38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25">
      <c r="A112" s="1">
        <v>111</v>
      </c>
      <c r="B112" s="1" t="s">
        <v>309</v>
      </c>
      <c r="C112" s="1" t="s">
        <v>291</v>
      </c>
      <c r="D112" s="1" t="s">
        <v>310</v>
      </c>
      <c r="E112" s="1" t="s">
        <v>240</v>
      </c>
      <c r="F112" s="1" t="s">
        <v>126</v>
      </c>
      <c r="G112" s="3">
        <v>46209</v>
      </c>
      <c r="H112" s="3">
        <v>46219</v>
      </c>
      <c r="J112" s="1">
        <v>0</v>
      </c>
      <c r="L112" s="1" t="s">
        <v>34</v>
      </c>
      <c r="M112" s="1" t="s">
        <v>47</v>
      </c>
      <c r="N112" s="1" t="s">
        <v>289</v>
      </c>
      <c r="O112" s="1" t="s">
        <v>250</v>
      </c>
      <c r="P112" s="2">
        <v>46183</v>
      </c>
      <c r="Q112" s="1" t="s">
        <v>38</v>
      </c>
      <c r="S112" s="1" t="s">
        <v>65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25">
      <c r="A113" s="1">
        <v>112</v>
      </c>
      <c r="B113" s="1" t="s">
        <v>311</v>
      </c>
      <c r="C113" s="1" t="s">
        <v>312</v>
      </c>
      <c r="D113" s="1" t="s">
        <v>68</v>
      </c>
      <c r="F113" s="1" t="s">
        <v>93</v>
      </c>
      <c r="G113" s="3">
        <v>46209</v>
      </c>
      <c r="H113" s="3">
        <v>46211</v>
      </c>
      <c r="J113" s="1">
        <v>0</v>
      </c>
      <c r="L113" s="1" t="s">
        <v>34</v>
      </c>
      <c r="M113" s="1" t="s">
        <v>47</v>
      </c>
      <c r="N113" s="1" t="s">
        <v>289</v>
      </c>
      <c r="O113" s="1" t="s">
        <v>250</v>
      </c>
      <c r="P113" s="2">
        <v>46177</v>
      </c>
      <c r="Q113" s="1" t="s">
        <v>38</v>
      </c>
      <c r="R113" s="1">
        <v>113</v>
      </c>
      <c r="U113" s="1">
        <v>0</v>
      </c>
      <c r="V113" s="1">
        <v>1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25">
      <c r="A114" s="1">
        <v>113</v>
      </c>
      <c r="B114" s="1" t="s">
        <v>313</v>
      </c>
      <c r="C114" s="1" t="s">
        <v>312</v>
      </c>
      <c r="D114" s="1" t="s">
        <v>73</v>
      </c>
      <c r="F114" s="1" t="s">
        <v>74</v>
      </c>
      <c r="G114" s="3">
        <v>46216</v>
      </c>
      <c r="H114" s="3">
        <v>46216</v>
      </c>
      <c r="I114" s="1">
        <v>112</v>
      </c>
      <c r="J114" s="1">
        <v>0</v>
      </c>
      <c r="L114" s="1" t="s">
        <v>80</v>
      </c>
      <c r="M114" s="1" t="s">
        <v>47</v>
      </c>
      <c r="N114" s="1" t="s">
        <v>289</v>
      </c>
      <c r="O114" s="1" t="s">
        <v>314</v>
      </c>
      <c r="P114" s="2">
        <v>46178</v>
      </c>
      <c r="Q114" s="1" t="s">
        <v>38</v>
      </c>
      <c r="R114" s="1">
        <v>114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25">
      <c r="A115" s="1">
        <v>114</v>
      </c>
      <c r="B115" s="1" t="s">
        <v>315</v>
      </c>
      <c r="C115" s="1" t="s">
        <v>312</v>
      </c>
      <c r="D115" s="1" t="s">
        <v>78</v>
      </c>
      <c r="F115" s="1" t="s">
        <v>69</v>
      </c>
      <c r="G115" s="3">
        <v>46217</v>
      </c>
      <c r="H115" s="3">
        <v>46218</v>
      </c>
      <c r="I115" s="1">
        <v>113</v>
      </c>
      <c r="J115" s="1">
        <v>0</v>
      </c>
      <c r="L115" s="1" t="s">
        <v>80</v>
      </c>
      <c r="M115" s="1" t="s">
        <v>47</v>
      </c>
      <c r="N115" s="1" t="s">
        <v>289</v>
      </c>
      <c r="O115" s="1" t="s">
        <v>97</v>
      </c>
      <c r="P115" s="2">
        <v>46182</v>
      </c>
      <c r="Q115" s="1" t="s">
        <v>38</v>
      </c>
      <c r="R115" s="1">
        <v>115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 spans="1:32" x14ac:dyDescent="0.25">
      <c r="A116" s="1">
        <v>115</v>
      </c>
      <c r="B116" s="1" t="s">
        <v>316</v>
      </c>
      <c r="C116" s="1" t="s">
        <v>312</v>
      </c>
      <c r="D116" s="1" t="s">
        <v>84</v>
      </c>
      <c r="F116" s="1" t="s">
        <v>74</v>
      </c>
      <c r="G116" s="3">
        <v>46219</v>
      </c>
      <c r="H116" s="3">
        <v>46219</v>
      </c>
      <c r="I116" s="1">
        <v>114</v>
      </c>
      <c r="J116" s="1">
        <v>0</v>
      </c>
      <c r="L116" s="1" t="s">
        <v>80</v>
      </c>
      <c r="M116" s="1" t="s">
        <v>47</v>
      </c>
      <c r="N116" s="1" t="s">
        <v>289</v>
      </c>
      <c r="O116" s="1" t="s">
        <v>317</v>
      </c>
      <c r="P116" s="2">
        <v>46183</v>
      </c>
      <c r="Q116" s="1" t="s">
        <v>38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25">
      <c r="A117" s="1">
        <v>116</v>
      </c>
      <c r="B117" s="1" t="s">
        <v>318</v>
      </c>
      <c r="C117" s="1" t="s">
        <v>43</v>
      </c>
      <c r="D117" s="1" t="s">
        <v>319</v>
      </c>
      <c r="F117" s="1" t="s">
        <v>320</v>
      </c>
      <c r="G117" s="3">
        <v>46209</v>
      </c>
      <c r="H117" s="3">
        <v>46393</v>
      </c>
      <c r="J117" s="1">
        <v>7.0000000000000007E-2</v>
      </c>
      <c r="L117" s="1" t="s">
        <v>34</v>
      </c>
      <c r="M117" s="1" t="s">
        <v>35</v>
      </c>
      <c r="N117" s="1" t="s">
        <v>321</v>
      </c>
      <c r="O117" s="1" t="s">
        <v>322</v>
      </c>
      <c r="P117" s="2">
        <v>46211</v>
      </c>
      <c r="Q117" s="1" t="s">
        <v>38</v>
      </c>
      <c r="U117" s="1">
        <v>7.0000000000000007E-2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2" x14ac:dyDescent="0.25">
      <c r="A118" s="1">
        <v>117</v>
      </c>
      <c r="B118" s="1" t="s">
        <v>323</v>
      </c>
      <c r="C118" s="1" t="s">
        <v>324</v>
      </c>
      <c r="D118" s="1" t="s">
        <v>325</v>
      </c>
      <c r="E118" s="1" t="s">
        <v>180</v>
      </c>
      <c r="F118" s="1" t="s">
        <v>126</v>
      </c>
      <c r="G118" s="3">
        <v>46210</v>
      </c>
      <c r="H118" s="3">
        <v>46220</v>
      </c>
      <c r="J118" s="1">
        <v>0.21</v>
      </c>
      <c r="L118" s="1" t="s">
        <v>64</v>
      </c>
      <c r="M118" s="1" t="s">
        <v>47</v>
      </c>
      <c r="N118" s="1" t="s">
        <v>321</v>
      </c>
      <c r="O118" s="1" t="s">
        <v>182</v>
      </c>
      <c r="P118" s="2">
        <v>46192</v>
      </c>
      <c r="Q118" s="1" t="s">
        <v>38</v>
      </c>
      <c r="U118" s="1">
        <v>0.21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2" x14ac:dyDescent="0.25">
      <c r="A119" s="1">
        <v>118</v>
      </c>
      <c r="B119" s="1" t="s">
        <v>326</v>
      </c>
      <c r="C119" s="1" t="s">
        <v>327</v>
      </c>
      <c r="D119" s="1" t="s">
        <v>68</v>
      </c>
      <c r="F119" s="1" t="s">
        <v>93</v>
      </c>
      <c r="G119" s="3">
        <v>46210</v>
      </c>
      <c r="H119" s="3">
        <v>46216</v>
      </c>
      <c r="I119" s="1" t="s">
        <v>233</v>
      </c>
      <c r="J119" s="1">
        <v>0.5</v>
      </c>
      <c r="L119" s="1" t="s">
        <v>64</v>
      </c>
      <c r="M119" s="1" t="s">
        <v>35</v>
      </c>
      <c r="N119" s="1" t="s">
        <v>321</v>
      </c>
      <c r="O119" s="1" t="s">
        <v>182</v>
      </c>
      <c r="P119" s="2">
        <v>46188</v>
      </c>
      <c r="Q119" s="1" t="s">
        <v>38</v>
      </c>
      <c r="R119" s="1" t="s">
        <v>328</v>
      </c>
      <c r="U119" s="1">
        <v>0.5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25">
      <c r="A120" s="1">
        <v>119</v>
      </c>
      <c r="B120" s="1" t="s">
        <v>329</v>
      </c>
      <c r="C120" s="1" t="s">
        <v>327</v>
      </c>
      <c r="D120" s="1" t="s">
        <v>73</v>
      </c>
      <c r="F120" s="1" t="s">
        <v>74</v>
      </c>
      <c r="G120" s="3">
        <v>46217</v>
      </c>
      <c r="H120" s="3">
        <v>46217</v>
      </c>
      <c r="I120" s="1">
        <v>118</v>
      </c>
      <c r="J120" s="1">
        <v>0</v>
      </c>
      <c r="L120" s="1" t="s">
        <v>80</v>
      </c>
      <c r="M120" s="1" t="s">
        <v>47</v>
      </c>
      <c r="N120" s="1" t="s">
        <v>321</v>
      </c>
      <c r="O120" s="1" t="s">
        <v>131</v>
      </c>
      <c r="P120" s="2">
        <v>46189</v>
      </c>
      <c r="Q120" s="1" t="s">
        <v>38</v>
      </c>
      <c r="R120" s="1">
        <v>120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25">
      <c r="A121" s="1">
        <v>120</v>
      </c>
      <c r="B121" s="1" t="s">
        <v>330</v>
      </c>
      <c r="C121" s="1" t="s">
        <v>327</v>
      </c>
      <c r="D121" s="1" t="s">
        <v>78</v>
      </c>
      <c r="F121" s="1" t="s">
        <v>69</v>
      </c>
      <c r="G121" s="3">
        <v>46218</v>
      </c>
      <c r="H121" s="3">
        <v>46219</v>
      </c>
      <c r="I121" s="1">
        <v>119</v>
      </c>
      <c r="J121" s="1">
        <v>0</v>
      </c>
      <c r="L121" s="1" t="s">
        <v>80</v>
      </c>
      <c r="M121" s="1" t="s">
        <v>47</v>
      </c>
      <c r="N121" s="1" t="s">
        <v>321</v>
      </c>
      <c r="O121" s="1" t="s">
        <v>133</v>
      </c>
      <c r="P121" s="2">
        <v>46191</v>
      </c>
      <c r="Q121" s="1" t="s">
        <v>38</v>
      </c>
      <c r="R121" s="1">
        <v>121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25">
      <c r="A122" s="1">
        <v>121</v>
      </c>
      <c r="B122" s="1" t="s">
        <v>331</v>
      </c>
      <c r="C122" s="1" t="s">
        <v>327</v>
      </c>
      <c r="D122" s="1" t="s">
        <v>84</v>
      </c>
      <c r="F122" s="1" t="s">
        <v>74</v>
      </c>
      <c r="G122" s="3">
        <v>46220</v>
      </c>
      <c r="H122" s="3">
        <v>46220</v>
      </c>
      <c r="I122" s="1">
        <v>120</v>
      </c>
      <c r="J122" s="1">
        <v>0</v>
      </c>
      <c r="L122" s="1" t="s">
        <v>80</v>
      </c>
      <c r="M122" s="1" t="s">
        <v>47</v>
      </c>
      <c r="N122" s="1" t="s">
        <v>321</v>
      </c>
      <c r="O122" s="1" t="s">
        <v>135</v>
      </c>
      <c r="P122" s="2">
        <v>46192</v>
      </c>
      <c r="Q122" s="1" t="s">
        <v>38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25">
      <c r="A123" s="1">
        <v>122</v>
      </c>
      <c r="B123" s="1" t="s">
        <v>332</v>
      </c>
      <c r="C123" s="1" t="s">
        <v>324</v>
      </c>
      <c r="D123" s="1" t="s">
        <v>333</v>
      </c>
      <c r="E123" s="1" t="s">
        <v>193</v>
      </c>
      <c r="F123" s="1" t="s">
        <v>126</v>
      </c>
      <c r="G123" s="3">
        <v>46385</v>
      </c>
      <c r="H123" s="3">
        <v>46393</v>
      </c>
      <c r="J123" s="1">
        <v>0</v>
      </c>
      <c r="L123" s="1" t="s">
        <v>80</v>
      </c>
      <c r="M123" s="1" t="s">
        <v>35</v>
      </c>
      <c r="N123" s="1" t="s">
        <v>321</v>
      </c>
      <c r="O123" s="1" t="s">
        <v>133</v>
      </c>
      <c r="P123" s="2">
        <v>46198</v>
      </c>
      <c r="Q123" s="1" t="s">
        <v>38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25">
      <c r="A124" s="1">
        <v>123</v>
      </c>
      <c r="B124" s="1" t="s">
        <v>334</v>
      </c>
      <c r="C124" s="1" t="s">
        <v>335</v>
      </c>
      <c r="D124" s="1" t="s">
        <v>68</v>
      </c>
      <c r="F124" s="1" t="s">
        <v>93</v>
      </c>
      <c r="G124" s="3">
        <v>46385</v>
      </c>
      <c r="H124" s="3">
        <v>46387</v>
      </c>
      <c r="I124" s="1" t="s">
        <v>336</v>
      </c>
      <c r="J124" s="1">
        <v>0</v>
      </c>
      <c r="L124" s="1" t="s">
        <v>80</v>
      </c>
      <c r="M124" s="1" t="s">
        <v>35</v>
      </c>
      <c r="N124" s="1" t="s">
        <v>321</v>
      </c>
      <c r="O124" s="1" t="s">
        <v>133</v>
      </c>
      <c r="P124" s="2">
        <v>46192</v>
      </c>
      <c r="Q124" s="1" t="s">
        <v>38</v>
      </c>
      <c r="R124" s="1">
        <v>124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25">
      <c r="A125" s="1">
        <v>124</v>
      </c>
      <c r="B125" s="1" t="s">
        <v>337</v>
      </c>
      <c r="C125" s="1" t="s">
        <v>335</v>
      </c>
      <c r="D125" s="1" t="s">
        <v>73</v>
      </c>
      <c r="F125" s="1" t="s">
        <v>74</v>
      </c>
      <c r="G125" s="3">
        <v>46388</v>
      </c>
      <c r="H125" s="3">
        <v>46388</v>
      </c>
      <c r="I125" s="1">
        <v>123</v>
      </c>
      <c r="J125" s="1">
        <v>0</v>
      </c>
      <c r="L125" s="1" t="s">
        <v>80</v>
      </c>
      <c r="M125" s="1" t="s">
        <v>35</v>
      </c>
      <c r="N125" s="1" t="s">
        <v>321</v>
      </c>
      <c r="O125" s="1" t="s">
        <v>198</v>
      </c>
      <c r="P125" s="2">
        <v>46195</v>
      </c>
      <c r="Q125" s="1" t="s">
        <v>38</v>
      </c>
      <c r="R125" s="1">
        <v>125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25">
      <c r="A126" s="1">
        <v>125</v>
      </c>
      <c r="B126" s="1" t="s">
        <v>338</v>
      </c>
      <c r="C126" s="1" t="s">
        <v>335</v>
      </c>
      <c r="D126" s="1" t="s">
        <v>78</v>
      </c>
      <c r="F126" s="1" t="s">
        <v>69</v>
      </c>
      <c r="G126" s="3">
        <v>46391</v>
      </c>
      <c r="H126" s="3">
        <v>46392</v>
      </c>
      <c r="I126" s="1">
        <v>124</v>
      </c>
      <c r="J126" s="1">
        <v>0</v>
      </c>
      <c r="L126" s="1" t="s">
        <v>80</v>
      </c>
      <c r="M126" s="1" t="s">
        <v>35</v>
      </c>
      <c r="N126" s="1" t="s">
        <v>321</v>
      </c>
      <c r="O126" s="1" t="s">
        <v>101</v>
      </c>
      <c r="P126" s="2">
        <v>46197</v>
      </c>
      <c r="Q126" s="1" t="s">
        <v>38</v>
      </c>
      <c r="R126" s="1">
        <v>126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25">
      <c r="A127" s="1">
        <v>126</v>
      </c>
      <c r="B127" s="1" t="s">
        <v>339</v>
      </c>
      <c r="C127" s="1" t="s">
        <v>335</v>
      </c>
      <c r="D127" s="1" t="s">
        <v>84</v>
      </c>
      <c r="F127" s="1" t="s">
        <v>74</v>
      </c>
      <c r="G127" s="3">
        <v>46393</v>
      </c>
      <c r="H127" s="3">
        <v>46393</v>
      </c>
      <c r="I127" s="1">
        <v>125</v>
      </c>
      <c r="J127" s="1">
        <v>0</v>
      </c>
      <c r="L127" s="1" t="s">
        <v>80</v>
      </c>
      <c r="M127" s="1" t="s">
        <v>35</v>
      </c>
      <c r="N127" s="1" t="s">
        <v>321</v>
      </c>
      <c r="O127" s="1" t="s">
        <v>201</v>
      </c>
      <c r="P127" s="2">
        <v>46198</v>
      </c>
      <c r="Q127" s="1" t="s">
        <v>38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25">
      <c r="A128" s="1">
        <v>127</v>
      </c>
      <c r="B128" s="1" t="s">
        <v>340</v>
      </c>
      <c r="C128" s="1" t="s">
        <v>324</v>
      </c>
      <c r="D128" s="1" t="s">
        <v>341</v>
      </c>
      <c r="E128" s="1" t="s">
        <v>240</v>
      </c>
      <c r="F128" s="1" t="s">
        <v>126</v>
      </c>
      <c r="G128" s="3">
        <v>46209</v>
      </c>
      <c r="H128" s="3">
        <v>46219</v>
      </c>
      <c r="J128" s="1">
        <v>0</v>
      </c>
      <c r="L128" s="1" t="s">
        <v>34</v>
      </c>
      <c r="M128" s="1" t="s">
        <v>47</v>
      </c>
      <c r="N128" s="1" t="s">
        <v>321</v>
      </c>
      <c r="O128" s="1" t="s">
        <v>133</v>
      </c>
      <c r="P128" s="2">
        <v>46198</v>
      </c>
      <c r="Q128" s="1" t="s">
        <v>38</v>
      </c>
      <c r="S128" s="1" t="s">
        <v>65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25">
      <c r="A129" s="1">
        <v>128</v>
      </c>
      <c r="B129" s="1" t="s">
        <v>342</v>
      </c>
      <c r="C129" s="1" t="s">
        <v>343</v>
      </c>
      <c r="D129" s="1" t="s">
        <v>68</v>
      </c>
      <c r="F129" s="1" t="s">
        <v>93</v>
      </c>
      <c r="G129" s="3">
        <v>46209</v>
      </c>
      <c r="H129" s="3">
        <v>46211</v>
      </c>
      <c r="J129" s="1">
        <v>0</v>
      </c>
      <c r="L129" s="1" t="s">
        <v>34</v>
      </c>
      <c r="M129" s="1" t="s">
        <v>47</v>
      </c>
      <c r="N129" s="1" t="s">
        <v>321</v>
      </c>
      <c r="O129" s="1" t="s">
        <v>133</v>
      </c>
      <c r="P129" s="2">
        <v>46192</v>
      </c>
      <c r="Q129" s="1" t="s">
        <v>38</v>
      </c>
      <c r="R129" s="1">
        <v>129</v>
      </c>
      <c r="U129" s="1">
        <v>0</v>
      </c>
      <c r="V129" s="1">
        <v>1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25">
      <c r="A130" s="1">
        <v>129</v>
      </c>
      <c r="B130" s="1" t="s">
        <v>344</v>
      </c>
      <c r="C130" s="1" t="s">
        <v>343</v>
      </c>
      <c r="D130" s="1" t="s">
        <v>73</v>
      </c>
      <c r="F130" s="1" t="s">
        <v>74</v>
      </c>
      <c r="G130" s="3">
        <v>46216</v>
      </c>
      <c r="H130" s="3">
        <v>46216</v>
      </c>
      <c r="I130" s="1">
        <v>128</v>
      </c>
      <c r="J130" s="1">
        <v>0</v>
      </c>
      <c r="L130" s="1" t="s">
        <v>80</v>
      </c>
      <c r="M130" s="1" t="s">
        <v>47</v>
      </c>
      <c r="N130" s="1" t="s">
        <v>321</v>
      </c>
      <c r="O130" s="1" t="s">
        <v>198</v>
      </c>
      <c r="P130" s="2">
        <v>46195</v>
      </c>
      <c r="Q130" s="1" t="s">
        <v>38</v>
      </c>
      <c r="R130" s="1">
        <v>130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25">
      <c r="A131" s="1">
        <v>130</v>
      </c>
      <c r="B131" s="1" t="s">
        <v>345</v>
      </c>
      <c r="C131" s="1" t="s">
        <v>343</v>
      </c>
      <c r="D131" s="1" t="s">
        <v>78</v>
      </c>
      <c r="F131" s="1" t="s">
        <v>69</v>
      </c>
      <c r="G131" s="3">
        <v>46217</v>
      </c>
      <c r="H131" s="3">
        <v>46218</v>
      </c>
      <c r="I131" s="1">
        <v>129</v>
      </c>
      <c r="J131" s="1">
        <v>0</v>
      </c>
      <c r="L131" s="1" t="s">
        <v>80</v>
      </c>
      <c r="M131" s="1" t="s">
        <v>47</v>
      </c>
      <c r="N131" s="1" t="s">
        <v>321</v>
      </c>
      <c r="O131" s="1" t="s">
        <v>101</v>
      </c>
      <c r="P131" s="2">
        <v>46197</v>
      </c>
      <c r="Q131" s="1" t="s">
        <v>38</v>
      </c>
      <c r="R131" s="1">
        <v>131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 spans="1:32" x14ac:dyDescent="0.25">
      <c r="A132" s="1">
        <v>131</v>
      </c>
      <c r="B132" s="1" t="s">
        <v>346</v>
      </c>
      <c r="C132" s="1" t="s">
        <v>343</v>
      </c>
      <c r="D132" s="1" t="s">
        <v>84</v>
      </c>
      <c r="F132" s="1" t="s">
        <v>74</v>
      </c>
      <c r="G132" s="3">
        <v>46219</v>
      </c>
      <c r="H132" s="3">
        <v>46219</v>
      </c>
      <c r="I132" s="1">
        <v>130</v>
      </c>
      <c r="J132" s="1">
        <v>0</v>
      </c>
      <c r="L132" s="1" t="s">
        <v>80</v>
      </c>
      <c r="M132" s="1" t="s">
        <v>47</v>
      </c>
      <c r="N132" s="1" t="s">
        <v>321</v>
      </c>
      <c r="O132" s="1" t="s">
        <v>201</v>
      </c>
      <c r="P132" s="2">
        <v>46198</v>
      </c>
      <c r="Q132" s="1" t="s">
        <v>38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25">
      <c r="A133" s="1">
        <v>132</v>
      </c>
      <c r="B133" s="1" t="s">
        <v>347</v>
      </c>
      <c r="C133" s="1" t="s">
        <v>43</v>
      </c>
      <c r="D133" s="1" t="s">
        <v>348</v>
      </c>
      <c r="F133" s="1" t="s">
        <v>349</v>
      </c>
      <c r="G133" s="3">
        <v>46181</v>
      </c>
      <c r="H133" s="3">
        <v>46378</v>
      </c>
      <c r="J133" s="1">
        <v>0.28999999999999998</v>
      </c>
      <c r="L133" s="1" t="s">
        <v>34</v>
      </c>
      <c r="M133" s="1" t="s">
        <v>47</v>
      </c>
      <c r="N133" s="1" t="s">
        <v>350</v>
      </c>
      <c r="O133" s="1" t="s">
        <v>211</v>
      </c>
      <c r="P133" s="2">
        <v>46211</v>
      </c>
      <c r="Q133" s="1" t="s">
        <v>38</v>
      </c>
      <c r="U133" s="1">
        <v>0.28999999999999998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 spans="1:32" x14ac:dyDescent="0.25">
      <c r="A134" s="1">
        <v>133</v>
      </c>
      <c r="B134" s="1" t="s">
        <v>351</v>
      </c>
      <c r="C134" s="1" t="s">
        <v>352</v>
      </c>
      <c r="D134" s="1" t="s">
        <v>353</v>
      </c>
      <c r="E134" s="1" t="s">
        <v>180</v>
      </c>
      <c r="F134" s="1" t="s">
        <v>181</v>
      </c>
      <c r="G134" s="3">
        <v>46181</v>
      </c>
      <c r="H134" s="3">
        <v>46191</v>
      </c>
      <c r="J134" s="1">
        <v>0.8</v>
      </c>
      <c r="L134" s="1" t="s">
        <v>34</v>
      </c>
      <c r="M134" s="1" t="s">
        <v>47</v>
      </c>
      <c r="N134" s="1" t="s">
        <v>350</v>
      </c>
      <c r="O134" s="1" t="s">
        <v>182</v>
      </c>
      <c r="P134" s="2">
        <v>46192</v>
      </c>
      <c r="Q134" s="1" t="s">
        <v>38</v>
      </c>
      <c r="R134" s="1" t="s">
        <v>354</v>
      </c>
      <c r="U134" s="1">
        <v>0.8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32" x14ac:dyDescent="0.25">
      <c r="A135" s="1">
        <v>134</v>
      </c>
      <c r="B135" s="1" t="s">
        <v>355</v>
      </c>
      <c r="C135" s="1" t="s">
        <v>356</v>
      </c>
      <c r="D135" s="1" t="s">
        <v>68</v>
      </c>
      <c r="F135" s="1" t="s">
        <v>230</v>
      </c>
      <c r="G135" s="3">
        <v>46181</v>
      </c>
      <c r="H135" s="3">
        <v>46188</v>
      </c>
      <c r="I135" s="1" t="s">
        <v>233</v>
      </c>
      <c r="J135" s="1">
        <v>1</v>
      </c>
      <c r="K135" s="3">
        <v>46188</v>
      </c>
      <c r="L135" s="1" t="s">
        <v>46</v>
      </c>
      <c r="M135" s="1" t="s">
        <v>47</v>
      </c>
      <c r="N135" s="1" t="s">
        <v>350</v>
      </c>
      <c r="O135" s="1" t="s">
        <v>182</v>
      </c>
      <c r="P135" s="2">
        <v>46188</v>
      </c>
      <c r="Q135" s="1" t="s">
        <v>38</v>
      </c>
      <c r="R135" s="1">
        <v>135</v>
      </c>
      <c r="U135" s="1">
        <v>1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</row>
    <row r="136" spans="1:32" x14ac:dyDescent="0.25">
      <c r="A136" s="1">
        <v>135</v>
      </c>
      <c r="B136" s="1" t="s">
        <v>357</v>
      </c>
      <c r="C136" s="1" t="s">
        <v>356</v>
      </c>
      <c r="D136" s="1" t="s">
        <v>73</v>
      </c>
      <c r="F136" s="1" t="s">
        <v>74</v>
      </c>
      <c r="G136" s="3">
        <v>46188</v>
      </c>
      <c r="H136" s="3">
        <v>46188</v>
      </c>
      <c r="I136" s="1">
        <v>134</v>
      </c>
      <c r="J136" s="1">
        <v>1</v>
      </c>
      <c r="K136" s="3">
        <v>46188</v>
      </c>
      <c r="L136" s="1" t="s">
        <v>46</v>
      </c>
      <c r="M136" s="1" t="s">
        <v>47</v>
      </c>
      <c r="N136" s="1" t="s">
        <v>350</v>
      </c>
      <c r="O136" s="1" t="s">
        <v>131</v>
      </c>
      <c r="P136" s="2">
        <v>46189</v>
      </c>
      <c r="Q136" s="1" t="s">
        <v>38</v>
      </c>
      <c r="R136" s="1">
        <v>136</v>
      </c>
      <c r="U136" s="1">
        <v>1</v>
      </c>
      <c r="V136" s="1">
        <v>0</v>
      </c>
      <c r="W136" s="1">
        <v>0</v>
      </c>
      <c r="X136" s="1">
        <v>0</v>
      </c>
      <c r="Y136" s="1">
        <v>0</v>
      </c>
      <c r="Z136" s="1">
        <v>1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25">
      <c r="A137" s="1">
        <v>136</v>
      </c>
      <c r="B137" s="1" t="s">
        <v>358</v>
      </c>
      <c r="C137" s="1" t="s">
        <v>356</v>
      </c>
      <c r="D137" s="1" t="s">
        <v>78</v>
      </c>
      <c r="F137" s="1" t="s">
        <v>69</v>
      </c>
      <c r="G137" s="3">
        <v>46189</v>
      </c>
      <c r="H137" s="3">
        <v>46190</v>
      </c>
      <c r="I137" s="1">
        <v>135</v>
      </c>
      <c r="J137" s="1">
        <v>0.5</v>
      </c>
      <c r="L137" s="1" t="s">
        <v>34</v>
      </c>
      <c r="M137" s="1" t="s">
        <v>47</v>
      </c>
      <c r="N137" s="1" t="s">
        <v>350</v>
      </c>
      <c r="O137" s="1" t="s">
        <v>133</v>
      </c>
      <c r="P137" s="2">
        <v>46191</v>
      </c>
      <c r="Q137" s="1" t="s">
        <v>38</v>
      </c>
      <c r="R137" s="1">
        <v>137</v>
      </c>
      <c r="U137" s="1">
        <v>0.5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</row>
    <row r="138" spans="1:32" x14ac:dyDescent="0.25">
      <c r="A138" s="1">
        <v>137</v>
      </c>
      <c r="B138" s="1" t="s">
        <v>359</v>
      </c>
      <c r="C138" s="1" t="s">
        <v>356</v>
      </c>
      <c r="D138" s="1" t="s">
        <v>84</v>
      </c>
      <c r="F138" s="1" t="s">
        <v>74</v>
      </c>
      <c r="G138" s="3">
        <v>46191</v>
      </c>
      <c r="H138" s="3">
        <v>46191</v>
      </c>
      <c r="I138" s="1">
        <v>136</v>
      </c>
      <c r="J138" s="1">
        <v>0</v>
      </c>
      <c r="L138" s="1" t="s">
        <v>34</v>
      </c>
      <c r="M138" s="1" t="s">
        <v>47</v>
      </c>
      <c r="N138" s="1" t="s">
        <v>350</v>
      </c>
      <c r="O138" s="1" t="s">
        <v>135</v>
      </c>
      <c r="P138" s="2">
        <v>46192</v>
      </c>
      <c r="Q138" s="1" t="s">
        <v>38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1</v>
      </c>
      <c r="AF138" s="1">
        <v>0</v>
      </c>
    </row>
    <row r="139" spans="1:32" x14ac:dyDescent="0.25">
      <c r="A139" s="1">
        <v>138</v>
      </c>
      <c r="B139" s="1" t="s">
        <v>360</v>
      </c>
      <c r="C139" s="1" t="s">
        <v>352</v>
      </c>
      <c r="D139" s="1" t="s">
        <v>361</v>
      </c>
      <c r="E139" s="1" t="s">
        <v>193</v>
      </c>
      <c r="F139" s="1" t="s">
        <v>362</v>
      </c>
      <c r="G139" s="3">
        <v>46364</v>
      </c>
      <c r="H139" s="3">
        <v>46378</v>
      </c>
      <c r="J139" s="1">
        <v>0</v>
      </c>
      <c r="L139" s="1" t="s">
        <v>80</v>
      </c>
      <c r="M139" s="1" t="s">
        <v>47</v>
      </c>
      <c r="N139" s="1" t="s">
        <v>350</v>
      </c>
      <c r="O139" s="1" t="s">
        <v>322</v>
      </c>
      <c r="P139" s="2">
        <v>46202</v>
      </c>
      <c r="Q139" s="1" t="s">
        <v>38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25">
      <c r="A140" s="1">
        <v>139</v>
      </c>
      <c r="B140" s="1" t="s">
        <v>363</v>
      </c>
      <c r="C140" s="1" t="s">
        <v>364</v>
      </c>
      <c r="D140" s="1" t="s">
        <v>68</v>
      </c>
      <c r="F140" s="1" t="s">
        <v>126</v>
      </c>
      <c r="G140" s="3">
        <v>46364</v>
      </c>
      <c r="H140" s="3">
        <v>46372</v>
      </c>
      <c r="I140" s="1" t="s">
        <v>365</v>
      </c>
      <c r="J140" s="1">
        <v>0</v>
      </c>
      <c r="L140" s="1" t="s">
        <v>80</v>
      </c>
      <c r="M140" s="1" t="s">
        <v>47</v>
      </c>
      <c r="N140" s="1" t="s">
        <v>350</v>
      </c>
      <c r="O140" s="1" t="s">
        <v>322</v>
      </c>
      <c r="P140" s="2">
        <v>46196</v>
      </c>
      <c r="Q140" s="1" t="s">
        <v>38</v>
      </c>
      <c r="R140" s="1">
        <v>140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25">
      <c r="A141" s="1">
        <v>140</v>
      </c>
      <c r="B141" s="1" t="s">
        <v>366</v>
      </c>
      <c r="C141" s="1" t="s">
        <v>364</v>
      </c>
      <c r="D141" s="1" t="s">
        <v>73</v>
      </c>
      <c r="F141" s="1" t="s">
        <v>74</v>
      </c>
      <c r="G141" s="3">
        <v>46373</v>
      </c>
      <c r="H141" s="3">
        <v>46373</v>
      </c>
      <c r="I141" s="1">
        <v>139</v>
      </c>
      <c r="J141" s="1">
        <v>0</v>
      </c>
      <c r="L141" s="1" t="s">
        <v>80</v>
      </c>
      <c r="M141" s="1" t="s">
        <v>47</v>
      </c>
      <c r="N141" s="1" t="s">
        <v>350</v>
      </c>
      <c r="O141" s="1" t="s">
        <v>103</v>
      </c>
      <c r="P141" s="2">
        <v>46197</v>
      </c>
      <c r="Q141" s="1" t="s">
        <v>38</v>
      </c>
      <c r="R141" s="1">
        <v>141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25">
      <c r="A142" s="1">
        <v>141</v>
      </c>
      <c r="B142" s="1" t="s">
        <v>367</v>
      </c>
      <c r="C142" s="1" t="s">
        <v>364</v>
      </c>
      <c r="D142" s="1" t="s">
        <v>78</v>
      </c>
      <c r="F142" s="1" t="s">
        <v>69</v>
      </c>
      <c r="G142" s="3">
        <v>46374</v>
      </c>
      <c r="H142" s="3">
        <v>46377</v>
      </c>
      <c r="I142" s="1">
        <v>140</v>
      </c>
      <c r="J142" s="1">
        <v>0</v>
      </c>
      <c r="L142" s="1" t="s">
        <v>80</v>
      </c>
      <c r="M142" s="1" t="s">
        <v>47</v>
      </c>
      <c r="N142" s="1" t="s">
        <v>350</v>
      </c>
      <c r="O142" s="1" t="s">
        <v>201</v>
      </c>
      <c r="P142" s="2">
        <v>46199</v>
      </c>
      <c r="Q142" s="1" t="s">
        <v>38</v>
      </c>
      <c r="R142" s="1">
        <v>142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25">
      <c r="A143" s="1">
        <v>142</v>
      </c>
      <c r="B143" s="1" t="s">
        <v>368</v>
      </c>
      <c r="C143" s="1" t="s">
        <v>364</v>
      </c>
      <c r="D143" s="1" t="s">
        <v>84</v>
      </c>
      <c r="F143" s="1" t="s">
        <v>74</v>
      </c>
      <c r="G143" s="3">
        <v>46378</v>
      </c>
      <c r="H143" s="3">
        <v>46378</v>
      </c>
      <c r="I143" s="1">
        <v>141</v>
      </c>
      <c r="J143" s="1">
        <v>0</v>
      </c>
      <c r="L143" s="1" t="s">
        <v>80</v>
      </c>
      <c r="M143" s="1" t="s">
        <v>47</v>
      </c>
      <c r="N143" s="1" t="s">
        <v>350</v>
      </c>
      <c r="O143" s="1" t="s">
        <v>369</v>
      </c>
      <c r="P143" s="2">
        <v>46202</v>
      </c>
      <c r="Q143" s="1" t="s">
        <v>38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25">
      <c r="A144" s="1">
        <v>143</v>
      </c>
      <c r="B144" s="1" t="s">
        <v>370</v>
      </c>
      <c r="C144" s="1" t="s">
        <v>352</v>
      </c>
      <c r="D144" s="1" t="s">
        <v>371</v>
      </c>
      <c r="E144" s="1" t="s">
        <v>240</v>
      </c>
      <c r="F144" s="1" t="s">
        <v>126</v>
      </c>
      <c r="G144" s="3">
        <v>46209</v>
      </c>
      <c r="H144" s="3">
        <v>46219</v>
      </c>
      <c r="J144" s="1">
        <v>0</v>
      </c>
      <c r="L144" s="1" t="s">
        <v>34</v>
      </c>
      <c r="M144" s="1" t="s">
        <v>47</v>
      </c>
      <c r="N144" s="1" t="s">
        <v>350</v>
      </c>
      <c r="O144" s="1" t="s">
        <v>322</v>
      </c>
      <c r="P144" s="2">
        <v>46202</v>
      </c>
      <c r="Q144" s="1" t="s">
        <v>38</v>
      </c>
      <c r="S144" s="1" t="s">
        <v>65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25">
      <c r="A145" s="1">
        <v>144</v>
      </c>
      <c r="B145" s="1" t="s">
        <v>372</v>
      </c>
      <c r="C145" s="1" t="s">
        <v>373</v>
      </c>
      <c r="D145" s="1" t="s">
        <v>68</v>
      </c>
      <c r="F145" s="1" t="s">
        <v>93</v>
      </c>
      <c r="G145" s="3">
        <v>46209</v>
      </c>
      <c r="H145" s="3">
        <v>46211</v>
      </c>
      <c r="J145" s="1">
        <v>0</v>
      </c>
      <c r="L145" s="1" t="s">
        <v>34</v>
      </c>
      <c r="M145" s="1" t="s">
        <v>47</v>
      </c>
      <c r="N145" s="1" t="s">
        <v>350</v>
      </c>
      <c r="O145" s="1" t="s">
        <v>322</v>
      </c>
      <c r="P145" s="2">
        <v>46196</v>
      </c>
      <c r="Q145" s="1" t="s">
        <v>38</v>
      </c>
      <c r="R145" s="1">
        <v>145</v>
      </c>
      <c r="U145" s="1">
        <v>0</v>
      </c>
      <c r="V145" s="1">
        <v>1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25">
      <c r="A146" s="1">
        <v>145</v>
      </c>
      <c r="B146" s="1" t="s">
        <v>374</v>
      </c>
      <c r="C146" s="1" t="s">
        <v>373</v>
      </c>
      <c r="D146" s="1" t="s">
        <v>73</v>
      </c>
      <c r="F146" s="1" t="s">
        <v>74</v>
      </c>
      <c r="G146" s="3">
        <v>46216</v>
      </c>
      <c r="H146" s="3">
        <v>46216</v>
      </c>
      <c r="I146" s="1">
        <v>144</v>
      </c>
      <c r="J146" s="1">
        <v>0</v>
      </c>
      <c r="L146" s="1" t="s">
        <v>80</v>
      </c>
      <c r="M146" s="1" t="s">
        <v>47</v>
      </c>
      <c r="N146" s="1" t="s">
        <v>350</v>
      </c>
      <c r="O146" s="1" t="s">
        <v>103</v>
      </c>
      <c r="P146" s="2">
        <v>46197</v>
      </c>
      <c r="Q146" s="1" t="s">
        <v>38</v>
      </c>
      <c r="R146" s="1">
        <v>146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25">
      <c r="A147" s="1">
        <v>146</v>
      </c>
      <c r="B147" s="1" t="s">
        <v>375</v>
      </c>
      <c r="C147" s="1" t="s">
        <v>373</v>
      </c>
      <c r="D147" s="1" t="s">
        <v>78</v>
      </c>
      <c r="F147" s="1" t="s">
        <v>69</v>
      </c>
      <c r="G147" s="3">
        <v>46217</v>
      </c>
      <c r="H147" s="3">
        <v>46218</v>
      </c>
      <c r="I147" s="1">
        <v>145</v>
      </c>
      <c r="J147" s="1">
        <v>0</v>
      </c>
      <c r="L147" s="1" t="s">
        <v>80</v>
      </c>
      <c r="M147" s="1" t="s">
        <v>47</v>
      </c>
      <c r="N147" s="1" t="s">
        <v>350</v>
      </c>
      <c r="O147" s="1" t="s">
        <v>201</v>
      </c>
      <c r="P147" s="2">
        <v>46199</v>
      </c>
      <c r="Q147" s="1" t="s">
        <v>38</v>
      </c>
      <c r="R147" s="1">
        <v>147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25">
      <c r="A148" s="1">
        <v>147</v>
      </c>
      <c r="B148" s="1" t="s">
        <v>376</v>
      </c>
      <c r="C148" s="1" t="s">
        <v>373</v>
      </c>
      <c r="D148" s="1" t="s">
        <v>84</v>
      </c>
      <c r="F148" s="1" t="s">
        <v>74</v>
      </c>
      <c r="G148" s="3">
        <v>46219</v>
      </c>
      <c r="H148" s="3">
        <v>46219</v>
      </c>
      <c r="I148" s="1">
        <v>146</v>
      </c>
      <c r="J148" s="1">
        <v>0</v>
      </c>
      <c r="L148" s="1" t="s">
        <v>80</v>
      </c>
      <c r="M148" s="1" t="s">
        <v>47</v>
      </c>
      <c r="N148" s="1" t="s">
        <v>350</v>
      </c>
      <c r="O148" s="1" t="s">
        <v>369</v>
      </c>
      <c r="P148" s="2">
        <v>46202</v>
      </c>
      <c r="Q148" s="1" t="s">
        <v>38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25">
      <c r="A149" s="1">
        <v>148</v>
      </c>
      <c r="B149" s="1" t="s">
        <v>377</v>
      </c>
      <c r="C149" s="1" t="s">
        <v>43</v>
      </c>
      <c r="D149" s="1" t="s">
        <v>378</v>
      </c>
      <c r="F149" s="1" t="s">
        <v>379</v>
      </c>
      <c r="G149" s="3">
        <v>46170</v>
      </c>
      <c r="H149" s="3">
        <v>46351</v>
      </c>
      <c r="J149" s="1">
        <v>0.24</v>
      </c>
      <c r="L149" s="1" t="s">
        <v>34</v>
      </c>
      <c r="M149" s="1" t="s">
        <v>47</v>
      </c>
      <c r="N149" s="1" t="s">
        <v>380</v>
      </c>
      <c r="O149" s="1" t="s">
        <v>209</v>
      </c>
      <c r="P149" s="2">
        <v>46211</v>
      </c>
      <c r="Q149" s="1" t="s">
        <v>38</v>
      </c>
      <c r="U149" s="1">
        <v>0.24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25">
      <c r="A150" s="1">
        <v>149</v>
      </c>
      <c r="B150" s="1" t="s">
        <v>381</v>
      </c>
      <c r="C150" s="1" t="s">
        <v>382</v>
      </c>
      <c r="D150" s="1" t="s">
        <v>383</v>
      </c>
      <c r="E150" s="1" t="s">
        <v>180</v>
      </c>
      <c r="F150" s="1" t="s">
        <v>139</v>
      </c>
      <c r="G150" s="3">
        <v>46170</v>
      </c>
      <c r="H150" s="3">
        <v>46176</v>
      </c>
      <c r="J150" s="1">
        <v>0.5</v>
      </c>
      <c r="L150" s="1" t="s">
        <v>34</v>
      </c>
      <c r="M150" s="1" t="s">
        <v>47</v>
      </c>
      <c r="N150" s="1" t="s">
        <v>380</v>
      </c>
      <c r="O150" s="1" t="s">
        <v>182</v>
      </c>
      <c r="P150" s="2">
        <v>46192</v>
      </c>
      <c r="Q150" s="1" t="s">
        <v>38</v>
      </c>
      <c r="U150" s="1">
        <v>0.5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25">
      <c r="A151" s="1">
        <v>150</v>
      </c>
      <c r="B151" s="1" t="s">
        <v>384</v>
      </c>
      <c r="C151" s="1" t="s">
        <v>385</v>
      </c>
      <c r="D151" s="1" t="s">
        <v>68</v>
      </c>
      <c r="F151" s="1" t="s">
        <v>45</v>
      </c>
      <c r="G151" s="3">
        <v>46170</v>
      </c>
      <c r="H151" s="3">
        <v>46170</v>
      </c>
      <c r="I151" s="1" t="s">
        <v>233</v>
      </c>
      <c r="J151" s="1">
        <v>1</v>
      </c>
      <c r="K151" s="3">
        <v>46170</v>
      </c>
      <c r="L151" s="1" t="s">
        <v>46</v>
      </c>
      <c r="M151" s="1" t="s">
        <v>47</v>
      </c>
      <c r="N151" s="1" t="s">
        <v>380</v>
      </c>
      <c r="O151" s="1" t="s">
        <v>182</v>
      </c>
      <c r="P151" s="2">
        <v>46188</v>
      </c>
      <c r="Q151" s="1" t="s">
        <v>38</v>
      </c>
      <c r="R151" s="1" t="s">
        <v>386</v>
      </c>
      <c r="U151" s="1">
        <v>1</v>
      </c>
      <c r="V151" s="1">
        <v>1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</row>
    <row r="152" spans="1:32" x14ac:dyDescent="0.25">
      <c r="A152" s="1">
        <v>151</v>
      </c>
      <c r="B152" s="1" t="s">
        <v>387</v>
      </c>
      <c r="C152" s="1" t="s">
        <v>385</v>
      </c>
      <c r="D152" s="1" t="s">
        <v>73</v>
      </c>
      <c r="F152" s="1" t="s">
        <v>74</v>
      </c>
      <c r="G152" s="3">
        <v>46171</v>
      </c>
      <c r="H152" s="3">
        <v>46171</v>
      </c>
      <c r="I152" s="1">
        <v>150</v>
      </c>
      <c r="J152" s="1">
        <v>1</v>
      </c>
      <c r="K152" s="3">
        <v>46171</v>
      </c>
      <c r="L152" s="1" t="s">
        <v>46</v>
      </c>
      <c r="M152" s="1" t="s">
        <v>47</v>
      </c>
      <c r="N152" s="1" t="s">
        <v>380</v>
      </c>
      <c r="O152" s="1" t="s">
        <v>131</v>
      </c>
      <c r="P152" s="2">
        <v>46189</v>
      </c>
      <c r="Q152" s="1" t="s">
        <v>38</v>
      </c>
      <c r="R152" s="1">
        <v>152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32" x14ac:dyDescent="0.25">
      <c r="A153" s="1">
        <v>152</v>
      </c>
      <c r="B153" s="1" t="s">
        <v>388</v>
      </c>
      <c r="C153" s="1" t="s">
        <v>385</v>
      </c>
      <c r="D153" s="1" t="s">
        <v>78</v>
      </c>
      <c r="F153" s="1" t="s">
        <v>69</v>
      </c>
      <c r="G153" s="3">
        <v>46174</v>
      </c>
      <c r="H153" s="3">
        <v>46175</v>
      </c>
      <c r="I153" s="1">
        <v>151</v>
      </c>
      <c r="J153" s="1">
        <v>0.5</v>
      </c>
      <c r="L153" s="1" t="s">
        <v>34</v>
      </c>
      <c r="M153" s="1" t="s">
        <v>47</v>
      </c>
      <c r="N153" s="1" t="s">
        <v>380</v>
      </c>
      <c r="O153" s="1" t="s">
        <v>133</v>
      </c>
      <c r="P153" s="2">
        <v>46191</v>
      </c>
      <c r="Q153" s="1" t="s">
        <v>38</v>
      </c>
      <c r="R153" s="1">
        <v>153</v>
      </c>
      <c r="U153" s="1">
        <v>0.5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</row>
    <row r="154" spans="1:32" x14ac:dyDescent="0.25">
      <c r="A154" s="1">
        <v>153</v>
      </c>
      <c r="B154" s="1" t="s">
        <v>389</v>
      </c>
      <c r="C154" s="1" t="s">
        <v>385</v>
      </c>
      <c r="D154" s="1" t="s">
        <v>84</v>
      </c>
      <c r="F154" s="1" t="s">
        <v>74</v>
      </c>
      <c r="G154" s="3">
        <v>46176</v>
      </c>
      <c r="H154" s="3">
        <v>46176</v>
      </c>
      <c r="I154" s="1">
        <v>152</v>
      </c>
      <c r="J154" s="1">
        <v>0</v>
      </c>
      <c r="L154" s="1" t="s">
        <v>34</v>
      </c>
      <c r="M154" s="1" t="s">
        <v>47</v>
      </c>
      <c r="N154" s="1" t="s">
        <v>380</v>
      </c>
      <c r="O154" s="1" t="s">
        <v>135</v>
      </c>
      <c r="P154" s="2">
        <v>46192</v>
      </c>
      <c r="Q154" s="1" t="s">
        <v>38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</v>
      </c>
      <c r="AF154" s="1">
        <v>0</v>
      </c>
    </row>
    <row r="155" spans="1:32" x14ac:dyDescent="0.25">
      <c r="A155" s="1">
        <v>154</v>
      </c>
      <c r="B155" s="1" t="s">
        <v>390</v>
      </c>
      <c r="C155" s="1" t="s">
        <v>382</v>
      </c>
      <c r="D155" s="1" t="s">
        <v>391</v>
      </c>
      <c r="E155" s="1" t="s">
        <v>180</v>
      </c>
      <c r="F155" s="1" t="s">
        <v>139</v>
      </c>
      <c r="G155" s="3">
        <v>46170</v>
      </c>
      <c r="H155" s="3">
        <v>46176</v>
      </c>
      <c r="J155" s="1">
        <v>0.5</v>
      </c>
      <c r="L155" s="1" t="s">
        <v>34</v>
      </c>
      <c r="M155" s="1" t="s">
        <v>47</v>
      </c>
      <c r="N155" s="1" t="s">
        <v>380</v>
      </c>
      <c r="O155" s="1" t="s">
        <v>182</v>
      </c>
      <c r="P155" s="2">
        <v>46192</v>
      </c>
      <c r="Q155" s="1" t="s">
        <v>38</v>
      </c>
      <c r="S155" s="1" t="s">
        <v>65</v>
      </c>
      <c r="U155" s="1">
        <v>0.5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 spans="1:32" x14ac:dyDescent="0.25">
      <c r="A156" s="1">
        <v>155</v>
      </c>
      <c r="B156" s="1" t="s">
        <v>392</v>
      </c>
      <c r="C156" s="1" t="s">
        <v>393</v>
      </c>
      <c r="D156" s="1" t="s">
        <v>68</v>
      </c>
      <c r="F156" s="1" t="s">
        <v>45</v>
      </c>
      <c r="G156" s="3">
        <v>46170</v>
      </c>
      <c r="H156" s="3">
        <v>46170</v>
      </c>
      <c r="I156" s="1" t="s">
        <v>233</v>
      </c>
      <c r="J156" s="1">
        <v>1</v>
      </c>
      <c r="K156" s="3">
        <v>46170</v>
      </c>
      <c r="L156" s="1" t="s">
        <v>46</v>
      </c>
      <c r="M156" s="1" t="s">
        <v>47</v>
      </c>
      <c r="N156" s="1" t="s">
        <v>380</v>
      </c>
      <c r="O156" s="1" t="s">
        <v>182</v>
      </c>
      <c r="P156" s="2">
        <v>46188</v>
      </c>
      <c r="Q156" s="1" t="s">
        <v>38</v>
      </c>
      <c r="R156" s="1" t="s">
        <v>394</v>
      </c>
      <c r="U156" s="1">
        <v>1</v>
      </c>
      <c r="V156" s="1">
        <v>1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</row>
    <row r="157" spans="1:32" x14ac:dyDescent="0.25">
      <c r="A157" s="1">
        <v>156</v>
      </c>
      <c r="B157" s="1" t="s">
        <v>395</v>
      </c>
      <c r="C157" s="1" t="s">
        <v>393</v>
      </c>
      <c r="D157" s="1" t="s">
        <v>73</v>
      </c>
      <c r="F157" s="1" t="s">
        <v>74</v>
      </c>
      <c r="G157" s="3">
        <v>46171</v>
      </c>
      <c r="H157" s="3">
        <v>46171</v>
      </c>
      <c r="I157" s="1">
        <v>155</v>
      </c>
      <c r="J157" s="1">
        <v>1</v>
      </c>
      <c r="K157" s="3">
        <v>46171</v>
      </c>
      <c r="L157" s="1" t="s">
        <v>46</v>
      </c>
      <c r="M157" s="1" t="s">
        <v>47</v>
      </c>
      <c r="N157" s="1" t="s">
        <v>380</v>
      </c>
      <c r="O157" s="1" t="s">
        <v>131</v>
      </c>
      <c r="P157" s="2">
        <v>46189</v>
      </c>
      <c r="Q157" s="1" t="s">
        <v>38</v>
      </c>
      <c r="R157" s="1">
        <v>157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 spans="1:32" x14ac:dyDescent="0.25">
      <c r="A158" s="1">
        <v>157</v>
      </c>
      <c r="B158" s="1" t="s">
        <v>396</v>
      </c>
      <c r="C158" s="1" t="s">
        <v>393</v>
      </c>
      <c r="D158" s="1" t="s">
        <v>78</v>
      </c>
      <c r="F158" s="1" t="s">
        <v>69</v>
      </c>
      <c r="G158" s="3">
        <v>46174</v>
      </c>
      <c r="H158" s="3">
        <v>46175</v>
      </c>
      <c r="I158" s="1">
        <v>156</v>
      </c>
      <c r="J158" s="1">
        <v>0.5</v>
      </c>
      <c r="L158" s="1" t="s">
        <v>34</v>
      </c>
      <c r="M158" s="1" t="s">
        <v>47</v>
      </c>
      <c r="N158" s="1" t="s">
        <v>380</v>
      </c>
      <c r="O158" s="1" t="s">
        <v>133</v>
      </c>
      <c r="P158" s="2">
        <v>46191</v>
      </c>
      <c r="Q158" s="1" t="s">
        <v>38</v>
      </c>
      <c r="R158" s="1">
        <v>158</v>
      </c>
      <c r="U158" s="1">
        <v>0.5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</v>
      </c>
      <c r="AD158" s="1">
        <v>0</v>
      </c>
      <c r="AE158" s="1">
        <v>0</v>
      </c>
      <c r="AF158" s="1">
        <v>0</v>
      </c>
    </row>
    <row r="159" spans="1:32" x14ac:dyDescent="0.25">
      <c r="A159" s="1">
        <v>158</v>
      </c>
      <c r="B159" s="1" t="s">
        <v>397</v>
      </c>
      <c r="C159" s="1" t="s">
        <v>393</v>
      </c>
      <c r="D159" s="1" t="s">
        <v>84</v>
      </c>
      <c r="F159" s="1" t="s">
        <v>74</v>
      </c>
      <c r="G159" s="3">
        <v>46176</v>
      </c>
      <c r="H159" s="3">
        <v>46176</v>
      </c>
      <c r="I159" s="1">
        <v>157</v>
      </c>
      <c r="J159" s="1">
        <v>0</v>
      </c>
      <c r="L159" s="1" t="s">
        <v>34</v>
      </c>
      <c r="M159" s="1" t="s">
        <v>47</v>
      </c>
      <c r="N159" s="1" t="s">
        <v>380</v>
      </c>
      <c r="O159" s="1" t="s">
        <v>135</v>
      </c>
      <c r="P159" s="2">
        <v>46192</v>
      </c>
      <c r="Q159" s="1" t="s">
        <v>38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1</v>
      </c>
      <c r="AF159" s="1">
        <v>0</v>
      </c>
    </row>
    <row r="160" spans="1:32" x14ac:dyDescent="0.25">
      <c r="A160" s="1">
        <v>159</v>
      </c>
      <c r="B160" s="1" t="s">
        <v>398</v>
      </c>
      <c r="C160" s="1" t="s">
        <v>382</v>
      </c>
      <c r="D160" s="1" t="s">
        <v>399</v>
      </c>
      <c r="E160" s="1" t="s">
        <v>193</v>
      </c>
      <c r="F160" s="1" t="s">
        <v>126</v>
      </c>
      <c r="G160" s="3">
        <v>46343</v>
      </c>
      <c r="H160" s="3">
        <v>46351</v>
      </c>
      <c r="J160" s="1">
        <v>0</v>
      </c>
      <c r="L160" s="1" t="s">
        <v>80</v>
      </c>
      <c r="M160" s="1" t="s">
        <v>47</v>
      </c>
      <c r="N160" s="1" t="s">
        <v>380</v>
      </c>
      <c r="O160" s="1" t="s">
        <v>400</v>
      </c>
      <c r="P160" s="2">
        <v>46174</v>
      </c>
      <c r="Q160" s="1" t="s">
        <v>38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25">
      <c r="A161" s="1">
        <v>160</v>
      </c>
      <c r="B161" s="1" t="s">
        <v>401</v>
      </c>
      <c r="C161" s="1" t="s">
        <v>402</v>
      </c>
      <c r="D161" s="1" t="s">
        <v>68</v>
      </c>
      <c r="F161" s="1" t="s">
        <v>93</v>
      </c>
      <c r="G161" s="3">
        <v>46343</v>
      </c>
      <c r="H161" s="3">
        <v>46345</v>
      </c>
      <c r="I161" s="1" t="s">
        <v>403</v>
      </c>
      <c r="J161" s="1">
        <v>0</v>
      </c>
      <c r="L161" s="1" t="s">
        <v>80</v>
      </c>
      <c r="M161" s="1" t="s">
        <v>47</v>
      </c>
      <c r="N161" s="1" t="s">
        <v>380</v>
      </c>
      <c r="O161" s="1" t="s">
        <v>400</v>
      </c>
      <c r="P161" s="2">
        <v>46168</v>
      </c>
      <c r="Q161" s="1" t="s">
        <v>38</v>
      </c>
      <c r="R161" s="1">
        <v>161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25">
      <c r="A162" s="1">
        <v>161</v>
      </c>
      <c r="B162" s="1" t="s">
        <v>404</v>
      </c>
      <c r="C162" s="1" t="s">
        <v>402</v>
      </c>
      <c r="D162" s="1" t="s">
        <v>73</v>
      </c>
      <c r="F162" s="1" t="s">
        <v>74</v>
      </c>
      <c r="G162" s="3">
        <v>46346</v>
      </c>
      <c r="H162" s="3">
        <v>46346</v>
      </c>
      <c r="I162" s="1">
        <v>160</v>
      </c>
      <c r="J162" s="1">
        <v>0</v>
      </c>
      <c r="L162" s="1" t="s">
        <v>80</v>
      </c>
      <c r="M162" s="1" t="s">
        <v>47</v>
      </c>
      <c r="N162" s="1" t="s">
        <v>380</v>
      </c>
      <c r="O162" s="1" t="s">
        <v>405</v>
      </c>
      <c r="P162" s="2">
        <v>46169</v>
      </c>
      <c r="Q162" s="1" t="s">
        <v>38</v>
      </c>
      <c r="R162" s="1">
        <v>162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 x14ac:dyDescent="0.25">
      <c r="A163" s="1">
        <v>162</v>
      </c>
      <c r="B163" s="1" t="s">
        <v>406</v>
      </c>
      <c r="C163" s="1" t="s">
        <v>402</v>
      </c>
      <c r="D163" s="1" t="s">
        <v>78</v>
      </c>
      <c r="F163" s="1" t="s">
        <v>69</v>
      </c>
      <c r="G163" s="3">
        <v>46349</v>
      </c>
      <c r="H163" s="3">
        <v>46350</v>
      </c>
      <c r="I163" s="1">
        <v>161</v>
      </c>
      <c r="J163" s="1">
        <v>0</v>
      </c>
      <c r="L163" s="1" t="s">
        <v>80</v>
      </c>
      <c r="M163" s="1" t="s">
        <v>47</v>
      </c>
      <c r="N163" s="1" t="s">
        <v>380</v>
      </c>
      <c r="O163" s="1" t="s">
        <v>246</v>
      </c>
      <c r="P163" s="2">
        <v>46171</v>
      </c>
      <c r="Q163" s="1" t="s">
        <v>38</v>
      </c>
      <c r="R163" s="1">
        <v>163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 x14ac:dyDescent="0.25">
      <c r="A164" s="1">
        <v>163</v>
      </c>
      <c r="B164" s="1" t="s">
        <v>407</v>
      </c>
      <c r="C164" s="1" t="s">
        <v>402</v>
      </c>
      <c r="D164" s="1" t="s">
        <v>84</v>
      </c>
      <c r="F164" s="1" t="s">
        <v>74</v>
      </c>
      <c r="G164" s="3">
        <v>46351</v>
      </c>
      <c r="H164" s="3">
        <v>46351</v>
      </c>
      <c r="I164" s="1">
        <v>162</v>
      </c>
      <c r="J164" s="1">
        <v>0</v>
      </c>
      <c r="L164" s="1" t="s">
        <v>80</v>
      </c>
      <c r="M164" s="1" t="s">
        <v>47</v>
      </c>
      <c r="N164" s="1" t="s">
        <v>380</v>
      </c>
      <c r="O164" s="1" t="s">
        <v>408</v>
      </c>
      <c r="P164" s="2">
        <v>46174</v>
      </c>
      <c r="Q164" s="1" t="s">
        <v>38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 x14ac:dyDescent="0.25">
      <c r="A165" s="1">
        <v>164</v>
      </c>
      <c r="B165" s="1" t="s">
        <v>409</v>
      </c>
      <c r="C165" s="1" t="s">
        <v>382</v>
      </c>
      <c r="D165" s="1" t="s">
        <v>410</v>
      </c>
      <c r="E165" s="1" t="s">
        <v>193</v>
      </c>
      <c r="F165" s="1" t="s">
        <v>126</v>
      </c>
      <c r="G165" s="3">
        <v>46209</v>
      </c>
      <c r="H165" s="3">
        <v>46219</v>
      </c>
      <c r="J165" s="1">
        <v>0</v>
      </c>
      <c r="L165" s="1" t="s">
        <v>34</v>
      </c>
      <c r="M165" s="1" t="s">
        <v>47</v>
      </c>
      <c r="N165" s="1" t="s">
        <v>380</v>
      </c>
      <c r="O165" s="1" t="s">
        <v>400</v>
      </c>
      <c r="P165" s="2">
        <v>46174</v>
      </c>
      <c r="Q165" s="1" t="s">
        <v>38</v>
      </c>
      <c r="S165" s="1" t="s">
        <v>65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 x14ac:dyDescent="0.25">
      <c r="A166" s="1">
        <v>165</v>
      </c>
      <c r="B166" s="1" t="s">
        <v>411</v>
      </c>
      <c r="C166" s="1" t="s">
        <v>412</v>
      </c>
      <c r="D166" s="1" t="s">
        <v>68</v>
      </c>
      <c r="F166" s="1" t="s">
        <v>93</v>
      </c>
      <c r="G166" s="3">
        <v>46209</v>
      </c>
      <c r="H166" s="3">
        <v>46211</v>
      </c>
      <c r="J166" s="1">
        <v>0</v>
      </c>
      <c r="L166" s="1" t="s">
        <v>34</v>
      </c>
      <c r="M166" s="1" t="s">
        <v>47</v>
      </c>
      <c r="N166" s="1" t="s">
        <v>380</v>
      </c>
      <c r="O166" s="1" t="s">
        <v>400</v>
      </c>
      <c r="P166" s="2">
        <v>46168</v>
      </c>
      <c r="Q166" s="1" t="s">
        <v>38</v>
      </c>
      <c r="R166" s="1">
        <v>166</v>
      </c>
      <c r="U166" s="1">
        <v>0</v>
      </c>
      <c r="V166" s="1">
        <v>1</v>
      </c>
      <c r="W166" s="1">
        <v>0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 x14ac:dyDescent="0.25">
      <c r="A167" s="1">
        <v>166</v>
      </c>
      <c r="B167" s="1" t="s">
        <v>413</v>
      </c>
      <c r="C167" s="1" t="s">
        <v>412</v>
      </c>
      <c r="D167" s="1" t="s">
        <v>73</v>
      </c>
      <c r="F167" s="1" t="s">
        <v>74</v>
      </c>
      <c r="G167" s="3">
        <v>46216</v>
      </c>
      <c r="H167" s="3">
        <v>46216</v>
      </c>
      <c r="I167" s="1">
        <v>165</v>
      </c>
      <c r="J167" s="1">
        <v>0</v>
      </c>
      <c r="L167" s="1" t="s">
        <v>80</v>
      </c>
      <c r="M167" s="1" t="s">
        <v>47</v>
      </c>
      <c r="N167" s="1" t="s">
        <v>380</v>
      </c>
      <c r="O167" s="1" t="s">
        <v>405</v>
      </c>
      <c r="P167" s="2">
        <v>46169</v>
      </c>
      <c r="Q167" s="1" t="s">
        <v>38</v>
      </c>
      <c r="R167" s="1">
        <v>167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</row>
    <row r="168" spans="1:32" x14ac:dyDescent="0.25">
      <c r="A168" s="1">
        <v>167</v>
      </c>
      <c r="B168" s="1" t="s">
        <v>414</v>
      </c>
      <c r="C168" s="1" t="s">
        <v>412</v>
      </c>
      <c r="D168" s="1" t="s">
        <v>78</v>
      </c>
      <c r="F168" s="1" t="s">
        <v>69</v>
      </c>
      <c r="G168" s="3">
        <v>46217</v>
      </c>
      <c r="H168" s="3">
        <v>46218</v>
      </c>
      <c r="I168" s="1">
        <v>166</v>
      </c>
      <c r="J168" s="1">
        <v>0</v>
      </c>
      <c r="L168" s="1" t="s">
        <v>80</v>
      </c>
      <c r="M168" s="1" t="s">
        <v>47</v>
      </c>
      <c r="N168" s="1" t="s">
        <v>380</v>
      </c>
      <c r="O168" s="1" t="s">
        <v>246</v>
      </c>
      <c r="P168" s="2">
        <v>46171</v>
      </c>
      <c r="Q168" s="1" t="s">
        <v>38</v>
      </c>
      <c r="R168" s="1">
        <v>168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25">
      <c r="A169" s="1">
        <v>168</v>
      </c>
      <c r="B169" s="1" t="s">
        <v>415</v>
      </c>
      <c r="C169" s="1" t="s">
        <v>412</v>
      </c>
      <c r="D169" s="1" t="s">
        <v>84</v>
      </c>
      <c r="F169" s="1" t="s">
        <v>74</v>
      </c>
      <c r="G169" s="3">
        <v>46219</v>
      </c>
      <c r="H169" s="3">
        <v>46219</v>
      </c>
      <c r="I169" s="1">
        <v>167</v>
      </c>
      <c r="J169" s="1">
        <v>0</v>
      </c>
      <c r="L169" s="1" t="s">
        <v>80</v>
      </c>
      <c r="M169" s="1" t="s">
        <v>47</v>
      </c>
      <c r="N169" s="1" t="s">
        <v>380</v>
      </c>
      <c r="O169" s="1" t="s">
        <v>408</v>
      </c>
      <c r="P169" s="2">
        <v>46174</v>
      </c>
      <c r="Q169" s="1" t="s">
        <v>38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25">
      <c r="A170" s="1">
        <v>169</v>
      </c>
      <c r="B170" s="1" t="s">
        <v>416</v>
      </c>
      <c r="C170" s="1" t="s">
        <v>382</v>
      </c>
      <c r="D170" s="1" t="s">
        <v>417</v>
      </c>
      <c r="E170" s="1" t="s">
        <v>193</v>
      </c>
      <c r="F170" s="1" t="s">
        <v>126</v>
      </c>
      <c r="G170" s="3">
        <v>46205</v>
      </c>
      <c r="H170" s="3">
        <v>46217</v>
      </c>
      <c r="J170" s="1">
        <v>0.43</v>
      </c>
      <c r="L170" s="1" t="s">
        <v>34</v>
      </c>
      <c r="M170" s="1" t="s">
        <v>47</v>
      </c>
      <c r="N170" s="1" t="s">
        <v>380</v>
      </c>
      <c r="O170" s="1" t="s">
        <v>400</v>
      </c>
      <c r="P170" s="2">
        <v>46174</v>
      </c>
      <c r="Q170" s="1" t="s">
        <v>38</v>
      </c>
      <c r="S170" s="1" t="s">
        <v>65</v>
      </c>
      <c r="U170" s="1">
        <v>0.43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 spans="1:32" x14ac:dyDescent="0.25">
      <c r="A171" s="1">
        <v>170</v>
      </c>
      <c r="B171" s="1" t="s">
        <v>418</v>
      </c>
      <c r="C171" s="1" t="s">
        <v>419</v>
      </c>
      <c r="D171" s="1" t="s">
        <v>68</v>
      </c>
      <c r="F171" s="1" t="s">
        <v>93</v>
      </c>
      <c r="G171" s="3">
        <v>46205</v>
      </c>
      <c r="H171" s="3">
        <v>46209</v>
      </c>
      <c r="J171" s="1">
        <v>1</v>
      </c>
      <c r="K171" s="3">
        <v>46209</v>
      </c>
      <c r="L171" s="1" t="s">
        <v>46</v>
      </c>
      <c r="M171" s="1" t="s">
        <v>47</v>
      </c>
      <c r="N171" s="1" t="s">
        <v>380</v>
      </c>
      <c r="O171" s="1" t="s">
        <v>400</v>
      </c>
      <c r="P171" s="2">
        <v>46168</v>
      </c>
      <c r="Q171" s="1" t="s">
        <v>38</v>
      </c>
      <c r="R171" s="1">
        <v>171</v>
      </c>
      <c r="U171" s="1">
        <v>1</v>
      </c>
      <c r="V171" s="1">
        <v>1</v>
      </c>
      <c r="W171" s="1">
        <v>1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</row>
    <row r="172" spans="1:32" x14ac:dyDescent="0.25">
      <c r="A172" s="1">
        <v>171</v>
      </c>
      <c r="B172" s="1" t="s">
        <v>420</v>
      </c>
      <c r="C172" s="1" t="s">
        <v>419</v>
      </c>
      <c r="D172" s="1" t="s">
        <v>73</v>
      </c>
      <c r="F172" s="1" t="s">
        <v>74</v>
      </c>
      <c r="G172" s="3">
        <v>46210</v>
      </c>
      <c r="H172" s="3">
        <v>46210</v>
      </c>
      <c r="I172" s="1">
        <v>170</v>
      </c>
      <c r="J172" s="1">
        <v>0</v>
      </c>
      <c r="L172" s="1" t="s">
        <v>34</v>
      </c>
      <c r="M172" s="1" t="s">
        <v>47</v>
      </c>
      <c r="N172" s="1" t="s">
        <v>380</v>
      </c>
      <c r="O172" s="1" t="s">
        <v>405</v>
      </c>
      <c r="P172" s="2">
        <v>46169</v>
      </c>
      <c r="Q172" s="1" t="s">
        <v>38</v>
      </c>
      <c r="R172" s="1">
        <v>172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 x14ac:dyDescent="0.25">
      <c r="A173" s="1">
        <v>172</v>
      </c>
      <c r="B173" s="1" t="s">
        <v>421</v>
      </c>
      <c r="C173" s="1" t="s">
        <v>419</v>
      </c>
      <c r="D173" s="1" t="s">
        <v>78</v>
      </c>
      <c r="F173" s="1" t="s">
        <v>69</v>
      </c>
      <c r="G173" s="3">
        <v>46211</v>
      </c>
      <c r="H173" s="3">
        <v>46216</v>
      </c>
      <c r="I173" s="1">
        <v>171</v>
      </c>
      <c r="J173" s="1">
        <v>0</v>
      </c>
      <c r="L173" s="1" t="s">
        <v>64</v>
      </c>
      <c r="M173" s="1" t="s">
        <v>47</v>
      </c>
      <c r="N173" s="1" t="s">
        <v>380</v>
      </c>
      <c r="O173" s="1" t="s">
        <v>246</v>
      </c>
      <c r="P173" s="2">
        <v>46171</v>
      </c>
      <c r="Q173" s="1" t="s">
        <v>38</v>
      </c>
      <c r="R173" s="1">
        <v>173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25">
      <c r="A174" s="1">
        <v>173</v>
      </c>
      <c r="B174" s="1" t="s">
        <v>422</v>
      </c>
      <c r="C174" s="1" t="s">
        <v>419</v>
      </c>
      <c r="D174" s="1" t="s">
        <v>84</v>
      </c>
      <c r="F174" s="1" t="s">
        <v>74</v>
      </c>
      <c r="G174" s="3">
        <v>46217</v>
      </c>
      <c r="H174" s="3">
        <v>46217</v>
      </c>
      <c r="I174" s="1">
        <v>172</v>
      </c>
      <c r="J174" s="1">
        <v>0</v>
      </c>
      <c r="L174" s="1" t="s">
        <v>80</v>
      </c>
      <c r="M174" s="1" t="s">
        <v>47</v>
      </c>
      <c r="N174" s="1" t="s">
        <v>380</v>
      </c>
      <c r="O174" s="1" t="s">
        <v>408</v>
      </c>
      <c r="P174" s="2">
        <v>46174</v>
      </c>
      <c r="Q174" s="1" t="s">
        <v>38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 x14ac:dyDescent="0.25">
      <c r="A175" s="1">
        <v>174</v>
      </c>
      <c r="B175" s="1" t="s">
        <v>423</v>
      </c>
      <c r="C175" s="1" t="s">
        <v>43</v>
      </c>
      <c r="D175" s="1" t="s">
        <v>424</v>
      </c>
      <c r="F175" s="1" t="s">
        <v>126</v>
      </c>
      <c r="G175" s="3">
        <v>46274</v>
      </c>
      <c r="H175" s="3">
        <v>46282</v>
      </c>
      <c r="J175" s="1">
        <v>0</v>
      </c>
      <c r="L175" s="1" t="s">
        <v>80</v>
      </c>
      <c r="M175" s="1" t="s">
        <v>47</v>
      </c>
      <c r="N175" s="1" t="s">
        <v>425</v>
      </c>
      <c r="O175" s="1" t="s">
        <v>198</v>
      </c>
      <c r="P175" s="2">
        <v>46211</v>
      </c>
      <c r="Q175" s="1" t="s">
        <v>38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 x14ac:dyDescent="0.25">
      <c r="A176" s="1">
        <v>175</v>
      </c>
      <c r="B176" s="1" t="s">
        <v>426</v>
      </c>
      <c r="C176" s="1" t="s">
        <v>427</v>
      </c>
      <c r="D176" s="1" t="s">
        <v>428</v>
      </c>
      <c r="F176" s="1" t="s">
        <v>126</v>
      </c>
      <c r="G176" s="3">
        <v>46274</v>
      </c>
      <c r="H176" s="3">
        <v>46282</v>
      </c>
      <c r="J176" s="1">
        <v>0</v>
      </c>
      <c r="L176" s="1" t="s">
        <v>80</v>
      </c>
      <c r="M176" s="1" t="s">
        <v>47</v>
      </c>
      <c r="N176" s="1" t="s">
        <v>425</v>
      </c>
      <c r="O176" s="1" t="s">
        <v>429</v>
      </c>
      <c r="P176" s="2">
        <v>46272</v>
      </c>
      <c r="Q176" s="1" t="s">
        <v>38</v>
      </c>
      <c r="S176" s="1" t="s">
        <v>65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32" x14ac:dyDescent="0.25">
      <c r="A177" s="1">
        <v>176</v>
      </c>
      <c r="B177" s="1" t="s">
        <v>430</v>
      </c>
      <c r="C177" s="1" t="s">
        <v>431</v>
      </c>
      <c r="D177" s="1" t="s">
        <v>68</v>
      </c>
      <c r="F177" s="1" t="s">
        <v>93</v>
      </c>
      <c r="G177" s="3">
        <v>46274</v>
      </c>
      <c r="H177" s="3">
        <v>46276</v>
      </c>
      <c r="I177" s="1" t="s">
        <v>432</v>
      </c>
      <c r="J177" s="1">
        <v>0</v>
      </c>
      <c r="L177" s="1" t="s">
        <v>80</v>
      </c>
      <c r="M177" s="1" t="s">
        <v>47</v>
      </c>
      <c r="N177" s="1" t="s">
        <v>425</v>
      </c>
      <c r="O177" s="1" t="s">
        <v>433</v>
      </c>
      <c r="P177" s="2">
        <v>46276</v>
      </c>
      <c r="Q177" s="1" t="s">
        <v>38</v>
      </c>
      <c r="R177" s="1">
        <v>177</v>
      </c>
      <c r="U177" s="1">
        <v>0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</row>
    <row r="178" spans="1:32" x14ac:dyDescent="0.25">
      <c r="A178" s="1">
        <v>177</v>
      </c>
      <c r="B178" s="1" t="s">
        <v>434</v>
      </c>
      <c r="C178" s="1" t="s">
        <v>431</v>
      </c>
      <c r="D178" s="1" t="s">
        <v>73</v>
      </c>
      <c r="F178" s="1" t="s">
        <v>74</v>
      </c>
      <c r="G178" s="3">
        <v>46279</v>
      </c>
      <c r="H178" s="3">
        <v>46279</v>
      </c>
      <c r="I178" s="1">
        <v>176</v>
      </c>
      <c r="J178" s="1">
        <v>0</v>
      </c>
      <c r="L178" s="1" t="s">
        <v>80</v>
      </c>
      <c r="M178" s="1" t="s">
        <v>47</v>
      </c>
      <c r="N178" s="1" t="s">
        <v>425</v>
      </c>
      <c r="O178" s="1" t="s">
        <v>435</v>
      </c>
      <c r="P178" s="2">
        <v>46279</v>
      </c>
      <c r="Q178" s="1" t="s">
        <v>38</v>
      </c>
      <c r="R178" s="1">
        <v>178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</row>
    <row r="179" spans="1:32" x14ac:dyDescent="0.25">
      <c r="A179" s="1">
        <v>178</v>
      </c>
      <c r="B179" s="1" t="s">
        <v>436</v>
      </c>
      <c r="C179" s="1" t="s">
        <v>431</v>
      </c>
      <c r="D179" s="1" t="s">
        <v>78</v>
      </c>
      <c r="F179" s="1" t="s">
        <v>69</v>
      </c>
      <c r="G179" s="3">
        <v>46280</v>
      </c>
      <c r="H179" s="3">
        <v>46281</v>
      </c>
      <c r="I179" s="1">
        <v>177</v>
      </c>
      <c r="J179" s="1">
        <v>0</v>
      </c>
      <c r="L179" s="1" t="s">
        <v>80</v>
      </c>
      <c r="M179" s="1" t="s">
        <v>47</v>
      </c>
      <c r="N179" s="1" t="s">
        <v>425</v>
      </c>
      <c r="O179" s="1" t="s">
        <v>437</v>
      </c>
      <c r="P179" s="2">
        <v>46281</v>
      </c>
      <c r="Q179" s="1" t="s">
        <v>38</v>
      </c>
      <c r="R179" s="1">
        <v>179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</row>
    <row r="180" spans="1:32" x14ac:dyDescent="0.25">
      <c r="A180" s="1">
        <v>179</v>
      </c>
      <c r="B180" s="1" t="s">
        <v>438</v>
      </c>
      <c r="C180" s="1" t="s">
        <v>431</v>
      </c>
      <c r="D180" s="1" t="s">
        <v>84</v>
      </c>
      <c r="F180" s="1" t="s">
        <v>74</v>
      </c>
      <c r="G180" s="3">
        <v>46282</v>
      </c>
      <c r="H180" s="3">
        <v>46282</v>
      </c>
      <c r="I180" s="1">
        <v>178</v>
      </c>
      <c r="J180" s="1">
        <v>0</v>
      </c>
      <c r="L180" s="1" t="s">
        <v>80</v>
      </c>
      <c r="M180" s="1" t="s">
        <v>47</v>
      </c>
      <c r="N180" s="1" t="s">
        <v>425</v>
      </c>
      <c r="O180" s="1" t="s">
        <v>439</v>
      </c>
      <c r="P180" s="2">
        <v>46282</v>
      </c>
      <c r="Q180" s="1" t="s">
        <v>38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</row>
    <row r="181" spans="1:32" x14ac:dyDescent="0.25">
      <c r="A181" s="1">
        <v>7</v>
      </c>
      <c r="B181" s="1" t="s">
        <v>60</v>
      </c>
      <c r="C181" s="1" t="s">
        <v>61</v>
      </c>
      <c r="D181" s="1" t="s">
        <v>440</v>
      </c>
      <c r="F181" s="1" t="s">
        <v>441</v>
      </c>
      <c r="G181" s="3">
        <v>46174</v>
      </c>
      <c r="H181" s="3">
        <v>46380</v>
      </c>
      <c r="J181" s="1">
        <v>0</v>
      </c>
      <c r="L181" s="1" t="s">
        <v>80</v>
      </c>
      <c r="M181" s="1" t="s">
        <v>35</v>
      </c>
      <c r="N181" s="1" t="s">
        <v>442</v>
      </c>
      <c r="O181" s="1" t="s">
        <v>37</v>
      </c>
      <c r="P181" s="2">
        <v>46161</v>
      </c>
      <c r="Q181" s="1" t="s">
        <v>38</v>
      </c>
      <c r="S181" s="1" t="s">
        <v>443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32" x14ac:dyDescent="0.25">
      <c r="A182" s="1">
        <v>71</v>
      </c>
      <c r="B182" s="1" t="s">
        <v>309</v>
      </c>
      <c r="C182" s="1" t="s">
        <v>291</v>
      </c>
      <c r="D182" s="1" t="s">
        <v>444</v>
      </c>
      <c r="F182" s="1" t="s">
        <v>126</v>
      </c>
      <c r="G182" s="3">
        <v>46360</v>
      </c>
      <c r="H182" s="3">
        <v>46370</v>
      </c>
      <c r="J182" s="1">
        <v>0</v>
      </c>
      <c r="L182" s="1" t="s">
        <v>80</v>
      </c>
      <c r="M182" s="1" t="s">
        <v>47</v>
      </c>
      <c r="N182" s="1" t="s">
        <v>445</v>
      </c>
      <c r="O182" s="1" t="s">
        <v>246</v>
      </c>
      <c r="P182" s="2">
        <v>46178</v>
      </c>
      <c r="Q182" s="1" t="s">
        <v>38</v>
      </c>
      <c r="S182" s="1" t="s">
        <v>443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32" x14ac:dyDescent="0.25">
      <c r="A183" s="1">
        <v>76</v>
      </c>
      <c r="B183" s="1" t="s">
        <v>446</v>
      </c>
      <c r="C183" s="1" t="s">
        <v>291</v>
      </c>
      <c r="D183" s="1" t="s">
        <v>447</v>
      </c>
      <c r="F183" s="1" t="s">
        <v>126</v>
      </c>
      <c r="G183" s="3">
        <v>46360</v>
      </c>
      <c r="H183" s="3">
        <v>46370</v>
      </c>
      <c r="J183" s="1">
        <v>0</v>
      </c>
      <c r="L183" s="1" t="s">
        <v>80</v>
      </c>
      <c r="M183" s="1" t="s">
        <v>47</v>
      </c>
      <c r="N183" s="1" t="s">
        <v>445</v>
      </c>
      <c r="O183" s="1" t="s">
        <v>250</v>
      </c>
      <c r="P183" s="2">
        <v>46183</v>
      </c>
      <c r="Q183" s="1" t="s">
        <v>38</v>
      </c>
      <c r="S183" s="1" t="s">
        <v>443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</row>
    <row r="184" spans="1:32" x14ac:dyDescent="0.25">
      <c r="A184" s="1">
        <v>115</v>
      </c>
      <c r="B184" s="1" t="s">
        <v>426</v>
      </c>
      <c r="C184" s="1" t="s">
        <v>427</v>
      </c>
      <c r="D184" s="1" t="s">
        <v>448</v>
      </c>
      <c r="F184" s="1" t="s">
        <v>45</v>
      </c>
      <c r="G184" s="3">
        <v>46272</v>
      </c>
      <c r="H184" s="3">
        <v>46272</v>
      </c>
      <c r="I184" s="1" t="s">
        <v>449</v>
      </c>
      <c r="J184" s="1">
        <v>0</v>
      </c>
      <c r="L184" s="1" t="s">
        <v>80</v>
      </c>
      <c r="M184" s="1" t="s">
        <v>47</v>
      </c>
      <c r="N184" s="1" t="s">
        <v>425</v>
      </c>
      <c r="O184" s="1" t="s">
        <v>429</v>
      </c>
      <c r="P184" s="2">
        <v>46272</v>
      </c>
      <c r="Q184" s="1" t="s">
        <v>38</v>
      </c>
      <c r="S184" s="1" t="s">
        <v>443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="85" zoomScaleNormal="85" workbookViewId="0">
      <selection activeCell="G31" sqref="G31"/>
    </sheetView>
  </sheetViews>
  <sheetFormatPr defaultRowHeight="15" x14ac:dyDescent="0.2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450</v>
      </c>
      <c r="B1" s="1">
        <v>33</v>
      </c>
    </row>
    <row r="2" spans="1:8" x14ac:dyDescent="0.25">
      <c r="A2" s="1" t="s">
        <v>451</v>
      </c>
      <c r="B2" s="4">
        <v>0.40625</v>
      </c>
    </row>
    <row r="3" spans="1:8" x14ac:dyDescent="0.25">
      <c r="A3" s="1" t="s">
        <v>13</v>
      </c>
      <c r="B3" s="1" t="s">
        <v>21</v>
      </c>
      <c r="C3" s="1" t="s">
        <v>22</v>
      </c>
      <c r="D3" s="1" t="s">
        <v>452</v>
      </c>
      <c r="E3" s="1" t="s">
        <v>25</v>
      </c>
      <c r="F3" s="1" t="s">
        <v>27</v>
      </c>
      <c r="G3" s="1" t="s">
        <v>29</v>
      </c>
      <c r="H3" s="1" t="s">
        <v>453</v>
      </c>
    </row>
    <row r="4" spans="1:8" x14ac:dyDescent="0.25">
      <c r="A4" s="1" t="s">
        <v>380</v>
      </c>
      <c r="B4" s="1">
        <v>5</v>
      </c>
      <c r="C4" s="1">
        <v>3</v>
      </c>
      <c r="D4" s="4">
        <v>0.6</v>
      </c>
      <c r="E4" s="1">
        <v>2</v>
      </c>
      <c r="F4" s="1">
        <v>0</v>
      </c>
      <c r="G4" s="1">
        <v>0</v>
      </c>
      <c r="H4" s="4">
        <v>0</v>
      </c>
    </row>
    <row r="5" spans="1:8" x14ac:dyDescent="0.25">
      <c r="A5" s="1" t="s">
        <v>425</v>
      </c>
      <c r="B5" s="1">
        <v>1</v>
      </c>
      <c r="C5" s="1">
        <v>0</v>
      </c>
      <c r="D5" s="4">
        <v>0</v>
      </c>
      <c r="E5" s="1">
        <v>0</v>
      </c>
      <c r="F5" s="1">
        <v>0</v>
      </c>
      <c r="G5" s="1">
        <v>0</v>
      </c>
      <c r="H5" s="4">
        <v>0</v>
      </c>
    </row>
    <row r="6" spans="1:8" x14ac:dyDescent="0.25">
      <c r="A6" s="1" t="s">
        <v>121</v>
      </c>
      <c r="B6" s="1">
        <v>4</v>
      </c>
      <c r="C6" s="1">
        <v>2</v>
      </c>
      <c r="D6" s="4">
        <v>0.5</v>
      </c>
      <c r="E6" s="1">
        <v>2</v>
      </c>
      <c r="F6" s="1">
        <v>0</v>
      </c>
      <c r="G6" s="1">
        <v>0</v>
      </c>
      <c r="H6" s="4">
        <v>0</v>
      </c>
    </row>
    <row r="7" spans="1:8" x14ac:dyDescent="0.25">
      <c r="A7" s="1" t="s">
        <v>350</v>
      </c>
      <c r="B7" s="1">
        <v>3</v>
      </c>
      <c r="C7" s="1">
        <v>1</v>
      </c>
      <c r="D7" s="4">
        <v>0.33333333333333331</v>
      </c>
      <c r="E7" s="1">
        <v>1</v>
      </c>
      <c r="F7" s="1">
        <v>0</v>
      </c>
      <c r="G7" s="1">
        <v>0</v>
      </c>
      <c r="H7" s="4">
        <v>0</v>
      </c>
    </row>
    <row r="8" spans="1:8" x14ac:dyDescent="0.25">
      <c r="A8" s="1" t="s">
        <v>321</v>
      </c>
      <c r="B8" s="1">
        <v>3</v>
      </c>
      <c r="C8" s="1">
        <v>0</v>
      </c>
      <c r="D8" s="4">
        <v>0</v>
      </c>
      <c r="E8" s="1">
        <v>0</v>
      </c>
      <c r="F8" s="1">
        <v>0</v>
      </c>
      <c r="G8" s="1">
        <v>0</v>
      </c>
      <c r="H8" s="4">
        <v>0</v>
      </c>
    </row>
    <row r="9" spans="1:8" x14ac:dyDescent="0.25">
      <c r="A9" s="1" t="s">
        <v>36</v>
      </c>
      <c r="B9" s="1">
        <v>0</v>
      </c>
      <c r="C9" s="1">
        <v>0</v>
      </c>
      <c r="D9" s="4">
        <v>0</v>
      </c>
      <c r="E9" s="1">
        <v>0</v>
      </c>
      <c r="F9" s="1">
        <v>0</v>
      </c>
      <c r="G9" s="1">
        <v>0</v>
      </c>
      <c r="H9" s="4">
        <v>0</v>
      </c>
    </row>
    <row r="10" spans="1:8" x14ac:dyDescent="0.25">
      <c r="A10" s="1" t="s">
        <v>226</v>
      </c>
      <c r="B10" s="1">
        <v>7</v>
      </c>
      <c r="C10" s="1">
        <v>1</v>
      </c>
      <c r="D10" s="4">
        <v>0.14285714285714279</v>
      </c>
      <c r="E10" s="1">
        <v>1</v>
      </c>
      <c r="F10" s="1">
        <v>0</v>
      </c>
      <c r="G10" s="1">
        <v>0</v>
      </c>
      <c r="H10" s="4">
        <v>0</v>
      </c>
    </row>
    <row r="11" spans="1:8" x14ac:dyDescent="0.25">
      <c r="A11" s="1" t="s">
        <v>51</v>
      </c>
      <c r="B11" s="1">
        <v>0</v>
      </c>
      <c r="C11" s="1">
        <v>0</v>
      </c>
      <c r="D11" s="4">
        <v>0</v>
      </c>
      <c r="E11" s="1">
        <v>0</v>
      </c>
      <c r="F11" s="1">
        <v>0</v>
      </c>
      <c r="G11" s="1">
        <v>0</v>
      </c>
      <c r="H11" s="4">
        <v>0</v>
      </c>
    </row>
    <row r="12" spans="1:8" x14ac:dyDescent="0.25">
      <c r="A12" s="1" t="s">
        <v>59</v>
      </c>
      <c r="B12" s="1">
        <v>3</v>
      </c>
      <c r="C12" s="1">
        <v>3</v>
      </c>
      <c r="D12" s="4">
        <v>1</v>
      </c>
      <c r="E12" s="1">
        <v>3</v>
      </c>
      <c r="F12" s="1">
        <v>0</v>
      </c>
      <c r="G12" s="1">
        <v>0</v>
      </c>
      <c r="H12" s="4">
        <v>0</v>
      </c>
    </row>
    <row r="13" spans="1:8" x14ac:dyDescent="0.25">
      <c r="A13" s="1" t="s">
        <v>442</v>
      </c>
      <c r="B13" s="1">
        <v>0</v>
      </c>
      <c r="C13" s="1">
        <v>0</v>
      </c>
      <c r="D13" s="4">
        <v>0</v>
      </c>
      <c r="E13" s="1">
        <v>0</v>
      </c>
      <c r="F13" s="1">
        <v>0</v>
      </c>
      <c r="G13" s="1">
        <v>0</v>
      </c>
      <c r="H13" s="4">
        <v>0</v>
      </c>
    </row>
    <row r="14" spans="1:8" x14ac:dyDescent="0.25">
      <c r="A14" s="1" t="s">
        <v>176</v>
      </c>
      <c r="B14" s="1">
        <v>4</v>
      </c>
      <c r="C14" s="1">
        <v>2</v>
      </c>
      <c r="D14" s="4">
        <v>0.5</v>
      </c>
      <c r="E14" s="1">
        <v>2</v>
      </c>
      <c r="F14" s="1">
        <v>0</v>
      </c>
      <c r="G14" s="1">
        <v>0</v>
      </c>
      <c r="H14" s="4">
        <v>0</v>
      </c>
    </row>
    <row r="15" spans="1:8" x14ac:dyDescent="0.25">
      <c r="A15" s="1" t="s">
        <v>289</v>
      </c>
      <c r="B15" s="1">
        <v>3</v>
      </c>
      <c r="C15" s="1">
        <v>1</v>
      </c>
      <c r="D15" s="4">
        <v>0.33333333333333331</v>
      </c>
      <c r="E15" s="1">
        <v>1</v>
      </c>
      <c r="F15" s="1">
        <v>1</v>
      </c>
      <c r="G15" s="1">
        <v>1</v>
      </c>
      <c r="H15" s="4">
        <v>0.33333333333333331</v>
      </c>
    </row>
    <row r="16" spans="1:8" x14ac:dyDescent="0.25">
      <c r="A16" s="1" t="s">
        <v>445</v>
      </c>
      <c r="B16" s="1">
        <v>0</v>
      </c>
      <c r="C16" s="1">
        <v>0</v>
      </c>
      <c r="D16" s="4">
        <v>0</v>
      </c>
      <c r="E16" s="1">
        <v>0</v>
      </c>
      <c r="F16" s="1">
        <v>0</v>
      </c>
      <c r="G16" s="1">
        <v>0</v>
      </c>
      <c r="H16" s="4">
        <v>0</v>
      </c>
    </row>
    <row r="17" spans="1:8" x14ac:dyDescent="0.25">
      <c r="A17" s="1" t="s">
        <v>474</v>
      </c>
      <c r="B17" s="1">
        <f>SUBTOTAL(109,Tabela2[Emissão inicial total])</f>
        <v>33</v>
      </c>
      <c r="C17" s="1">
        <f>SUBTOTAL(109,Tabela2[Emissão inicial concluída])</f>
        <v>13</v>
      </c>
      <c r="D17" s="4"/>
      <c r="E17" s="1">
        <f>SUBTOTAL(109,Tabela2[Avaliação do cliente concluída])</f>
        <v>12</v>
      </c>
      <c r="F17" s="1">
        <f>SUBTOTAL(109,Tabela2[Atendimento de comentário concluído])</f>
        <v>1</v>
      </c>
      <c r="G17" s="1">
        <f>SUBTOTAL(109,Tabela2[Aprovação concluída])</f>
        <v>1</v>
      </c>
      <c r="H17" s="4"/>
    </row>
    <row r="22" spans="1:8" x14ac:dyDescent="0.25">
      <c r="A22" s="1" t="s">
        <v>13</v>
      </c>
      <c r="B22" s="1" t="s">
        <v>23</v>
      </c>
      <c r="C22" s="1" t="s">
        <v>26</v>
      </c>
      <c r="D22" s="1" t="s">
        <v>28</v>
      </c>
      <c r="E22" s="1" t="s">
        <v>30</v>
      </c>
    </row>
    <row r="23" spans="1:8" x14ac:dyDescent="0.25">
      <c r="A23" s="1" t="s">
        <v>380</v>
      </c>
      <c r="B23" s="1">
        <v>1</v>
      </c>
      <c r="C23" s="1">
        <v>1</v>
      </c>
      <c r="D23" s="1">
        <v>2</v>
      </c>
      <c r="E23" s="1">
        <v>2</v>
      </c>
    </row>
    <row r="24" spans="1:8" x14ac:dyDescent="0.25">
      <c r="A24" s="1" t="s">
        <v>425</v>
      </c>
      <c r="B24" s="1">
        <v>0</v>
      </c>
      <c r="C24" s="1">
        <v>0</v>
      </c>
      <c r="D24" s="1">
        <v>0</v>
      </c>
      <c r="E24" s="1">
        <v>0</v>
      </c>
    </row>
    <row r="25" spans="1:8" x14ac:dyDescent="0.25">
      <c r="A25" s="1" t="s">
        <v>121</v>
      </c>
      <c r="B25" s="1">
        <v>2</v>
      </c>
      <c r="C25" s="1">
        <v>2</v>
      </c>
      <c r="D25" s="1">
        <v>3</v>
      </c>
      <c r="E25" s="1">
        <v>3</v>
      </c>
    </row>
    <row r="26" spans="1:8" x14ac:dyDescent="0.25">
      <c r="A26" s="1" t="s">
        <v>350</v>
      </c>
      <c r="B26" s="1">
        <v>1</v>
      </c>
      <c r="C26" s="1">
        <v>0</v>
      </c>
      <c r="D26" s="1">
        <v>1</v>
      </c>
      <c r="E26" s="1">
        <v>1</v>
      </c>
    </row>
    <row r="27" spans="1:8" x14ac:dyDescent="0.25">
      <c r="A27" s="1" t="s">
        <v>321</v>
      </c>
      <c r="B27" s="1">
        <v>1</v>
      </c>
      <c r="C27" s="1">
        <v>0</v>
      </c>
      <c r="D27" s="1">
        <v>0</v>
      </c>
      <c r="E27" s="1">
        <v>0</v>
      </c>
    </row>
    <row r="28" spans="1:8" x14ac:dyDescent="0.25">
      <c r="A28" s="1" t="s">
        <v>36</v>
      </c>
      <c r="B28" s="1">
        <v>0</v>
      </c>
      <c r="C28" s="1">
        <v>0</v>
      </c>
      <c r="D28" s="1">
        <v>0</v>
      </c>
      <c r="E28" s="1">
        <v>0</v>
      </c>
    </row>
    <row r="29" spans="1:8" x14ac:dyDescent="0.25">
      <c r="A29" s="1" t="s">
        <v>226</v>
      </c>
      <c r="B29" s="1">
        <v>1</v>
      </c>
      <c r="C29" s="1">
        <v>0</v>
      </c>
      <c r="D29" s="1">
        <v>1</v>
      </c>
      <c r="E29" s="1">
        <v>1</v>
      </c>
    </row>
    <row r="30" spans="1:8" x14ac:dyDescent="0.25">
      <c r="A30" s="1" t="s">
        <v>51</v>
      </c>
      <c r="B30" s="1">
        <v>0</v>
      </c>
      <c r="C30" s="1">
        <v>0</v>
      </c>
      <c r="D30" s="1">
        <v>0</v>
      </c>
      <c r="E30" s="1">
        <v>0</v>
      </c>
    </row>
    <row r="31" spans="1:8" x14ac:dyDescent="0.25">
      <c r="A31" s="1" t="s">
        <v>59</v>
      </c>
      <c r="B31" s="1">
        <v>0</v>
      </c>
      <c r="C31" s="1">
        <v>0</v>
      </c>
      <c r="D31" s="1">
        <v>2</v>
      </c>
      <c r="E31" s="1">
        <v>2</v>
      </c>
    </row>
    <row r="32" spans="1:8" x14ac:dyDescent="0.25">
      <c r="A32" s="1" t="s">
        <v>442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176</v>
      </c>
      <c r="B33" s="1">
        <v>1</v>
      </c>
      <c r="C33" s="1">
        <v>1</v>
      </c>
      <c r="D33" s="1">
        <v>3</v>
      </c>
      <c r="E33" s="1">
        <v>3</v>
      </c>
    </row>
    <row r="34" spans="1:5" x14ac:dyDescent="0.25">
      <c r="A34" s="1" t="s">
        <v>289</v>
      </c>
      <c r="B34" s="1">
        <v>1</v>
      </c>
      <c r="C34" s="1">
        <v>0</v>
      </c>
      <c r="D34" s="1">
        <v>0</v>
      </c>
      <c r="E34" s="1">
        <v>0</v>
      </c>
    </row>
    <row r="35" spans="1:5" x14ac:dyDescent="0.25">
      <c r="A35" s="1" t="s">
        <v>445</v>
      </c>
      <c r="B35" s="1">
        <v>0</v>
      </c>
      <c r="C35" s="1">
        <v>0</v>
      </c>
      <c r="D35" s="1">
        <v>0</v>
      </c>
      <c r="E35" s="1">
        <v>0</v>
      </c>
    </row>
    <row r="36" spans="1:5" x14ac:dyDescent="0.25">
      <c r="A36" s="1" t="s">
        <v>474</v>
      </c>
      <c r="B36" s="1">
        <f>SUBTOTAL(109,Tabela3[Emissão Inicial Atrasada])</f>
        <v>8</v>
      </c>
      <c r="C36" s="1">
        <f>SUBTOTAL(109,Tabela3[Avaliação Cliente Atrasada])</f>
        <v>4</v>
      </c>
      <c r="D36" s="1">
        <f>SUBTOTAL(109,Tabela3[Atendimento Atrasado])</f>
        <v>12</v>
      </c>
      <c r="E36" s="1">
        <f>SUBTOTAL(109,Tabela3[Aprovação Atrasada])</f>
        <v>12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7"/>
  <sheetViews>
    <sheetView topLeftCell="H15" workbookViewId="0">
      <selection activeCell="Z31" sqref="Z31"/>
    </sheetView>
  </sheetViews>
  <sheetFormatPr defaultColWidth="10.7109375" defaultRowHeight="15" x14ac:dyDescent="0.25"/>
  <cols>
    <col min="1" max="1" width="10.7109375" style="6"/>
    <col min="2" max="9" width="10.7109375" style="5"/>
    <col min="10" max="11" width="10.7109375" style="7"/>
    <col min="12" max="12" width="10.7109375" style="5"/>
    <col min="13" max="14" width="10.7109375" style="7"/>
    <col min="15" max="16384" width="10.7109375" style="5"/>
  </cols>
  <sheetData>
    <row r="1" spans="1:15" ht="60" x14ac:dyDescent="0.25">
      <c r="A1" s="6" t="s">
        <v>454</v>
      </c>
      <c r="B1" s="5" t="s">
        <v>455</v>
      </c>
      <c r="C1" s="5" t="s">
        <v>456</v>
      </c>
      <c r="D1" s="5" t="s">
        <v>457</v>
      </c>
      <c r="E1" s="5" t="s">
        <v>458</v>
      </c>
      <c r="F1" s="5" t="s">
        <v>459</v>
      </c>
      <c r="G1" s="5" t="s">
        <v>460</v>
      </c>
      <c r="H1" s="5" t="s">
        <v>461</v>
      </c>
      <c r="I1" s="5" t="s">
        <v>462</v>
      </c>
      <c r="J1" s="7" t="s">
        <v>463</v>
      </c>
      <c r="K1" s="7" t="s">
        <v>464</v>
      </c>
      <c r="L1" s="5" t="s">
        <v>465</v>
      </c>
      <c r="M1" s="7" t="s">
        <v>466</v>
      </c>
      <c r="N1" s="7" t="s">
        <v>467</v>
      </c>
      <c r="O1" s="5" t="s">
        <v>468</v>
      </c>
    </row>
    <row r="2" spans="1:15" x14ac:dyDescent="0.25">
      <c r="A2" s="6">
        <v>46101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7">
        <v>0</v>
      </c>
      <c r="K2" s="7">
        <v>0</v>
      </c>
      <c r="L2" s="5">
        <v>0</v>
      </c>
      <c r="M2" s="7">
        <v>0</v>
      </c>
      <c r="N2" s="7">
        <v>0</v>
      </c>
      <c r="O2" s="5">
        <v>0</v>
      </c>
    </row>
    <row r="3" spans="1:15" x14ac:dyDescent="0.25">
      <c r="A3" s="6">
        <v>46102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7">
        <v>0</v>
      </c>
      <c r="K3" s="7">
        <v>0</v>
      </c>
      <c r="L3" s="5">
        <v>0</v>
      </c>
      <c r="M3" s="7">
        <v>0</v>
      </c>
      <c r="N3" s="7">
        <v>0</v>
      </c>
      <c r="O3" s="5">
        <v>0</v>
      </c>
    </row>
    <row r="4" spans="1:15" x14ac:dyDescent="0.25">
      <c r="A4" s="6">
        <v>46103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7">
        <v>0</v>
      </c>
      <c r="K4" s="7">
        <v>0</v>
      </c>
      <c r="L4" s="5">
        <v>0</v>
      </c>
      <c r="M4" s="7">
        <v>0</v>
      </c>
      <c r="N4" s="7">
        <v>0</v>
      </c>
      <c r="O4" s="5">
        <v>0</v>
      </c>
    </row>
    <row r="5" spans="1:15" x14ac:dyDescent="0.25">
      <c r="A5" s="6">
        <v>46104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7">
        <v>0</v>
      </c>
      <c r="K5" s="7">
        <v>0</v>
      </c>
      <c r="L5" s="5">
        <v>0</v>
      </c>
      <c r="M5" s="7">
        <v>0</v>
      </c>
      <c r="N5" s="7">
        <v>0</v>
      </c>
      <c r="O5" s="5">
        <v>0</v>
      </c>
    </row>
    <row r="6" spans="1:15" x14ac:dyDescent="0.25">
      <c r="A6" s="6">
        <v>46105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7">
        <v>0</v>
      </c>
      <c r="K6" s="7">
        <v>0</v>
      </c>
      <c r="L6" s="5">
        <v>0</v>
      </c>
      <c r="M6" s="7">
        <v>0</v>
      </c>
      <c r="N6" s="7">
        <v>0</v>
      </c>
      <c r="O6" s="5">
        <v>0</v>
      </c>
    </row>
    <row r="7" spans="1:15" x14ac:dyDescent="0.25">
      <c r="A7" s="6">
        <v>46106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7">
        <v>0</v>
      </c>
      <c r="K7" s="7">
        <v>0</v>
      </c>
      <c r="L7" s="5">
        <v>0</v>
      </c>
      <c r="M7" s="7">
        <v>0</v>
      </c>
      <c r="N7" s="7">
        <v>0</v>
      </c>
      <c r="O7" s="5">
        <v>0</v>
      </c>
    </row>
    <row r="8" spans="1:15" x14ac:dyDescent="0.25">
      <c r="A8" s="6">
        <v>46107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7">
        <v>0</v>
      </c>
      <c r="K8" s="7">
        <v>0</v>
      </c>
      <c r="L8" s="5">
        <v>0</v>
      </c>
      <c r="M8" s="7">
        <v>0</v>
      </c>
      <c r="N8" s="7">
        <v>0</v>
      </c>
      <c r="O8" s="5">
        <v>0</v>
      </c>
    </row>
    <row r="9" spans="1:15" x14ac:dyDescent="0.25">
      <c r="A9" s="6">
        <v>46108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>
        <v>0</v>
      </c>
      <c r="K9" s="7">
        <v>0</v>
      </c>
      <c r="L9" s="5">
        <v>0</v>
      </c>
      <c r="M9" s="7">
        <v>0</v>
      </c>
      <c r="N9" s="7">
        <v>0</v>
      </c>
      <c r="O9" s="5">
        <v>0</v>
      </c>
    </row>
    <row r="10" spans="1:15" x14ac:dyDescent="0.25">
      <c r="A10" s="6">
        <v>46109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7">
        <v>0</v>
      </c>
      <c r="K10" s="7">
        <v>0</v>
      </c>
      <c r="L10" s="5">
        <v>0</v>
      </c>
      <c r="M10" s="7">
        <v>0</v>
      </c>
      <c r="N10" s="7">
        <v>0</v>
      </c>
      <c r="O10" s="5">
        <v>0</v>
      </c>
    </row>
    <row r="11" spans="1:15" x14ac:dyDescent="0.25">
      <c r="A11" s="6">
        <v>46110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7">
        <v>0</v>
      </c>
      <c r="K11" s="7">
        <v>0</v>
      </c>
      <c r="L11" s="5">
        <v>0</v>
      </c>
      <c r="M11" s="7">
        <v>0</v>
      </c>
      <c r="N11" s="7">
        <v>0</v>
      </c>
      <c r="O11" s="5">
        <v>0</v>
      </c>
    </row>
    <row r="12" spans="1:15" x14ac:dyDescent="0.25">
      <c r="A12" s="6">
        <v>46111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7">
        <v>0</v>
      </c>
      <c r="K12" s="7">
        <v>0</v>
      </c>
      <c r="L12" s="5">
        <v>0</v>
      </c>
      <c r="M12" s="7">
        <v>0</v>
      </c>
      <c r="N12" s="7">
        <v>0</v>
      </c>
      <c r="O12" s="5">
        <v>0</v>
      </c>
    </row>
    <row r="13" spans="1:15" x14ac:dyDescent="0.25">
      <c r="A13" s="6">
        <v>46112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7">
        <v>0</v>
      </c>
      <c r="K13" s="7">
        <v>0</v>
      </c>
      <c r="L13" s="5">
        <v>0</v>
      </c>
      <c r="M13" s="7">
        <v>0</v>
      </c>
      <c r="N13" s="7">
        <v>0</v>
      </c>
      <c r="O13" s="5">
        <v>0</v>
      </c>
    </row>
    <row r="14" spans="1:15" x14ac:dyDescent="0.25">
      <c r="A14" s="6">
        <v>46113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7">
        <v>0</v>
      </c>
      <c r="K14" s="7">
        <v>0</v>
      </c>
      <c r="L14" s="5">
        <v>0</v>
      </c>
      <c r="M14" s="7">
        <v>0</v>
      </c>
      <c r="N14" s="7">
        <v>0</v>
      </c>
      <c r="O14" s="5">
        <v>0</v>
      </c>
    </row>
    <row r="15" spans="1:15" x14ac:dyDescent="0.25">
      <c r="A15" s="6">
        <v>46114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7">
        <v>0</v>
      </c>
      <c r="K15" s="7">
        <v>0</v>
      </c>
      <c r="L15" s="5">
        <v>0</v>
      </c>
      <c r="M15" s="7">
        <v>0</v>
      </c>
      <c r="N15" s="7">
        <v>0</v>
      </c>
      <c r="O15" s="5">
        <v>0</v>
      </c>
    </row>
    <row r="16" spans="1:15" x14ac:dyDescent="0.25">
      <c r="A16" s="6">
        <v>46115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7">
        <v>0</v>
      </c>
      <c r="K16" s="7">
        <v>0</v>
      </c>
      <c r="L16" s="5">
        <v>0</v>
      </c>
      <c r="M16" s="7">
        <v>0</v>
      </c>
      <c r="N16" s="7">
        <v>0</v>
      </c>
      <c r="O16" s="5">
        <v>0</v>
      </c>
    </row>
    <row r="17" spans="1:15" x14ac:dyDescent="0.25">
      <c r="A17" s="6">
        <v>46116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7">
        <v>0</v>
      </c>
      <c r="K17" s="7">
        <v>0</v>
      </c>
      <c r="L17" s="5">
        <v>0</v>
      </c>
      <c r="M17" s="7">
        <v>0</v>
      </c>
      <c r="N17" s="7">
        <v>0</v>
      </c>
      <c r="O17" s="5">
        <v>0</v>
      </c>
    </row>
    <row r="18" spans="1:15" x14ac:dyDescent="0.25">
      <c r="A18" s="6">
        <v>46117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7">
        <v>0</v>
      </c>
      <c r="K18" s="7">
        <v>0</v>
      </c>
      <c r="L18" s="5">
        <v>0</v>
      </c>
      <c r="M18" s="7">
        <v>0</v>
      </c>
      <c r="N18" s="7">
        <v>0</v>
      </c>
      <c r="O18" s="5">
        <v>0</v>
      </c>
    </row>
    <row r="19" spans="1:15" x14ac:dyDescent="0.25">
      <c r="A19" s="6">
        <v>46118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7">
        <v>0</v>
      </c>
      <c r="K19" s="7">
        <v>0</v>
      </c>
      <c r="L19" s="5">
        <v>0</v>
      </c>
      <c r="M19" s="7">
        <v>0</v>
      </c>
      <c r="N19" s="7">
        <v>0</v>
      </c>
      <c r="O19" s="5">
        <v>0</v>
      </c>
    </row>
    <row r="20" spans="1:15" x14ac:dyDescent="0.25">
      <c r="A20" s="6">
        <v>46119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7">
        <v>0</v>
      </c>
      <c r="K20" s="7">
        <v>0</v>
      </c>
      <c r="L20" s="5">
        <v>0</v>
      </c>
      <c r="M20" s="7">
        <v>0</v>
      </c>
      <c r="N20" s="7">
        <v>0</v>
      </c>
      <c r="O20" s="5">
        <v>0</v>
      </c>
    </row>
    <row r="21" spans="1:15" x14ac:dyDescent="0.25">
      <c r="A21" s="6">
        <v>46120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7">
        <v>0</v>
      </c>
      <c r="K21" s="7">
        <v>0</v>
      </c>
      <c r="L21" s="5">
        <v>0</v>
      </c>
      <c r="M21" s="7">
        <v>0</v>
      </c>
      <c r="N21" s="7">
        <v>0</v>
      </c>
      <c r="O21" s="5">
        <v>0</v>
      </c>
    </row>
    <row r="22" spans="1:15" x14ac:dyDescent="0.25">
      <c r="A22" s="6">
        <v>46121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7">
        <v>0</v>
      </c>
      <c r="K22" s="7">
        <v>0</v>
      </c>
      <c r="L22" s="5">
        <v>0</v>
      </c>
      <c r="M22" s="7">
        <v>0</v>
      </c>
      <c r="N22" s="7">
        <v>0</v>
      </c>
      <c r="O22" s="5">
        <v>0</v>
      </c>
    </row>
    <row r="23" spans="1:15" x14ac:dyDescent="0.25">
      <c r="A23" s="6">
        <v>46122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7">
        <v>0</v>
      </c>
      <c r="K23" s="7">
        <v>0</v>
      </c>
      <c r="L23" s="5">
        <v>0</v>
      </c>
      <c r="M23" s="7">
        <v>0</v>
      </c>
      <c r="N23" s="7">
        <v>0</v>
      </c>
      <c r="O23" s="5">
        <v>0</v>
      </c>
    </row>
    <row r="24" spans="1:15" x14ac:dyDescent="0.25">
      <c r="A24" s="6">
        <v>46123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7">
        <v>0</v>
      </c>
      <c r="K24" s="7">
        <v>0</v>
      </c>
      <c r="L24" s="5">
        <v>0</v>
      </c>
      <c r="M24" s="7">
        <v>0</v>
      </c>
      <c r="N24" s="7">
        <v>0</v>
      </c>
      <c r="O24" s="5">
        <v>0</v>
      </c>
    </row>
    <row r="25" spans="1:15" x14ac:dyDescent="0.25">
      <c r="A25" s="6">
        <v>46124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7">
        <v>0</v>
      </c>
      <c r="K25" s="7">
        <v>0</v>
      </c>
      <c r="L25" s="5">
        <v>0</v>
      </c>
      <c r="M25" s="7">
        <v>0</v>
      </c>
      <c r="N25" s="7">
        <v>0</v>
      </c>
      <c r="O25" s="5">
        <v>0</v>
      </c>
    </row>
    <row r="26" spans="1:15" x14ac:dyDescent="0.25">
      <c r="A26" s="6">
        <v>46125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7">
        <v>0</v>
      </c>
      <c r="K26" s="7">
        <v>0</v>
      </c>
      <c r="L26" s="5">
        <v>0</v>
      </c>
      <c r="M26" s="7">
        <v>0</v>
      </c>
      <c r="N26" s="7">
        <v>0</v>
      </c>
      <c r="O26" s="5">
        <v>0</v>
      </c>
    </row>
    <row r="27" spans="1:15" x14ac:dyDescent="0.25">
      <c r="A27" s="6">
        <v>46126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7">
        <v>0</v>
      </c>
      <c r="K27" s="7">
        <v>0</v>
      </c>
      <c r="L27" s="5">
        <v>0</v>
      </c>
      <c r="M27" s="7">
        <v>0</v>
      </c>
      <c r="N27" s="7">
        <v>0</v>
      </c>
      <c r="O27" s="5">
        <v>0</v>
      </c>
    </row>
    <row r="28" spans="1:15" x14ac:dyDescent="0.25">
      <c r="A28" s="6">
        <v>46127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7">
        <v>0</v>
      </c>
      <c r="K28" s="7">
        <v>0</v>
      </c>
      <c r="L28" s="5">
        <v>0</v>
      </c>
      <c r="M28" s="7">
        <v>0</v>
      </c>
      <c r="N28" s="7">
        <v>0</v>
      </c>
      <c r="O28" s="5">
        <v>0</v>
      </c>
    </row>
    <row r="29" spans="1:15" x14ac:dyDescent="0.25">
      <c r="A29" s="6">
        <v>46128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7">
        <v>0</v>
      </c>
      <c r="K29" s="7">
        <v>0</v>
      </c>
      <c r="L29" s="5">
        <v>0</v>
      </c>
      <c r="M29" s="7">
        <v>0</v>
      </c>
      <c r="N29" s="7">
        <v>0</v>
      </c>
      <c r="O29" s="5">
        <v>0</v>
      </c>
    </row>
    <row r="30" spans="1:15" x14ac:dyDescent="0.25">
      <c r="A30" s="6">
        <v>46129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7">
        <v>0</v>
      </c>
      <c r="K30" s="7">
        <v>0</v>
      </c>
      <c r="L30" s="5">
        <v>0</v>
      </c>
      <c r="M30" s="7">
        <v>0</v>
      </c>
      <c r="N30" s="7">
        <v>0</v>
      </c>
      <c r="O30" s="5">
        <v>0</v>
      </c>
    </row>
    <row r="31" spans="1:15" x14ac:dyDescent="0.25">
      <c r="A31" s="6">
        <v>46130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7">
        <v>0</v>
      </c>
      <c r="K31" s="7">
        <v>0</v>
      </c>
      <c r="L31" s="5">
        <v>0</v>
      </c>
      <c r="M31" s="7">
        <v>0</v>
      </c>
      <c r="N31" s="7">
        <v>0</v>
      </c>
      <c r="O31" s="5">
        <v>0</v>
      </c>
    </row>
    <row r="32" spans="1:15" x14ac:dyDescent="0.25">
      <c r="A32" s="6">
        <v>46131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7">
        <v>0</v>
      </c>
      <c r="K32" s="7">
        <v>0</v>
      </c>
      <c r="L32" s="5">
        <v>0</v>
      </c>
      <c r="M32" s="7">
        <v>0</v>
      </c>
      <c r="N32" s="7">
        <v>0</v>
      </c>
      <c r="O32" s="5">
        <v>0</v>
      </c>
    </row>
    <row r="33" spans="1:15" x14ac:dyDescent="0.25">
      <c r="A33" s="6">
        <v>46132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7">
        <v>0</v>
      </c>
      <c r="K33" s="7">
        <v>0</v>
      </c>
      <c r="L33" s="5">
        <v>0</v>
      </c>
      <c r="M33" s="7">
        <v>0</v>
      </c>
      <c r="N33" s="7">
        <v>0</v>
      </c>
      <c r="O33" s="5">
        <v>0</v>
      </c>
    </row>
    <row r="34" spans="1:15" x14ac:dyDescent="0.25">
      <c r="A34" s="6">
        <v>46133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7">
        <v>0</v>
      </c>
      <c r="K34" s="7">
        <v>0</v>
      </c>
      <c r="L34" s="5">
        <v>0</v>
      </c>
      <c r="M34" s="7">
        <v>0</v>
      </c>
      <c r="N34" s="7">
        <v>0</v>
      </c>
      <c r="O34" s="5">
        <v>0</v>
      </c>
    </row>
    <row r="35" spans="1:15" x14ac:dyDescent="0.25">
      <c r="A35" s="6">
        <v>46134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7">
        <v>0</v>
      </c>
      <c r="K35" s="7">
        <v>0</v>
      </c>
      <c r="L35" s="5">
        <v>0</v>
      </c>
      <c r="M35" s="7">
        <v>0</v>
      </c>
      <c r="N35" s="7">
        <v>0</v>
      </c>
      <c r="O35" s="5">
        <v>0</v>
      </c>
    </row>
    <row r="36" spans="1:15" x14ac:dyDescent="0.25">
      <c r="A36" s="6">
        <v>46135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7">
        <v>0</v>
      </c>
      <c r="K36" s="7">
        <v>0</v>
      </c>
      <c r="L36" s="5">
        <v>0</v>
      </c>
      <c r="M36" s="7">
        <v>0</v>
      </c>
      <c r="N36" s="7">
        <v>0</v>
      </c>
      <c r="O36" s="5">
        <v>0</v>
      </c>
    </row>
    <row r="37" spans="1:15" x14ac:dyDescent="0.25">
      <c r="A37" s="6">
        <v>46136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7">
        <v>0</v>
      </c>
      <c r="K37" s="7">
        <v>0</v>
      </c>
      <c r="L37" s="5">
        <v>0</v>
      </c>
      <c r="M37" s="7">
        <v>0</v>
      </c>
      <c r="N37" s="7">
        <v>0</v>
      </c>
      <c r="O37" s="5">
        <v>0</v>
      </c>
    </row>
    <row r="38" spans="1:15" x14ac:dyDescent="0.25">
      <c r="A38" s="6">
        <v>46137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7">
        <v>0</v>
      </c>
      <c r="K38" s="7">
        <v>0</v>
      </c>
      <c r="L38" s="5">
        <v>0</v>
      </c>
      <c r="M38" s="7">
        <v>0</v>
      </c>
      <c r="N38" s="7">
        <v>0</v>
      </c>
      <c r="O38" s="5">
        <v>0</v>
      </c>
    </row>
    <row r="39" spans="1:15" x14ac:dyDescent="0.25">
      <c r="A39" s="6">
        <v>46138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7">
        <v>0</v>
      </c>
      <c r="K39" s="7">
        <v>0</v>
      </c>
      <c r="L39" s="5">
        <v>0</v>
      </c>
      <c r="M39" s="7">
        <v>0</v>
      </c>
      <c r="N39" s="7">
        <v>0</v>
      </c>
      <c r="O39" s="5">
        <v>0</v>
      </c>
    </row>
    <row r="40" spans="1:15" x14ac:dyDescent="0.25">
      <c r="A40" s="6">
        <v>46139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7">
        <v>0</v>
      </c>
      <c r="K40" s="7">
        <v>0</v>
      </c>
      <c r="L40" s="5">
        <v>0</v>
      </c>
      <c r="M40" s="7">
        <v>0</v>
      </c>
      <c r="N40" s="7">
        <v>0</v>
      </c>
      <c r="O40" s="5">
        <v>0</v>
      </c>
    </row>
    <row r="41" spans="1:15" x14ac:dyDescent="0.25">
      <c r="A41" s="6">
        <v>46140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7">
        <v>0</v>
      </c>
      <c r="K41" s="7">
        <v>0</v>
      </c>
      <c r="L41" s="5">
        <v>0</v>
      </c>
      <c r="M41" s="7">
        <v>0</v>
      </c>
      <c r="N41" s="7">
        <v>0</v>
      </c>
      <c r="O41" s="5">
        <v>0</v>
      </c>
    </row>
    <row r="42" spans="1:15" x14ac:dyDescent="0.25">
      <c r="A42" s="6">
        <v>46141</v>
      </c>
      <c r="B42" s="5">
        <v>2</v>
      </c>
      <c r="C42" s="5">
        <v>2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7">
        <v>6.0606060606060608E-2</v>
      </c>
      <c r="K42" s="7">
        <v>0</v>
      </c>
      <c r="L42" s="5">
        <v>-1</v>
      </c>
      <c r="M42" s="7">
        <v>0</v>
      </c>
      <c r="N42" s="7">
        <v>0</v>
      </c>
      <c r="O42" s="5">
        <v>0</v>
      </c>
    </row>
    <row r="43" spans="1:15" x14ac:dyDescent="0.25">
      <c r="A43" s="6">
        <v>46142</v>
      </c>
      <c r="B43" s="5">
        <v>0</v>
      </c>
      <c r="C43" s="5">
        <v>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7">
        <v>6.0606060606060608E-2</v>
      </c>
      <c r="K43" s="7">
        <v>0</v>
      </c>
      <c r="L43" s="5">
        <v>-1</v>
      </c>
      <c r="M43" s="7">
        <v>0</v>
      </c>
      <c r="N43" s="7">
        <v>0</v>
      </c>
      <c r="O43" s="5">
        <v>0</v>
      </c>
    </row>
    <row r="44" spans="1:15" x14ac:dyDescent="0.25">
      <c r="A44" s="6">
        <v>46143</v>
      </c>
      <c r="B44" s="5">
        <v>0</v>
      </c>
      <c r="C44" s="5">
        <v>2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7">
        <v>6.0606060606060608E-2</v>
      </c>
      <c r="K44" s="7">
        <v>0</v>
      </c>
      <c r="L44" s="5">
        <v>-1</v>
      </c>
      <c r="M44" s="7">
        <v>0</v>
      </c>
      <c r="N44" s="7">
        <v>0</v>
      </c>
      <c r="O44" s="5">
        <v>0</v>
      </c>
    </row>
    <row r="45" spans="1:15" x14ac:dyDescent="0.25">
      <c r="A45" s="6">
        <v>46144</v>
      </c>
      <c r="B45" s="5">
        <v>0</v>
      </c>
      <c r="C45" s="5">
        <v>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7">
        <v>6.0606060606060608E-2</v>
      </c>
      <c r="K45" s="7">
        <v>0</v>
      </c>
      <c r="L45" s="5">
        <v>-1</v>
      </c>
      <c r="M45" s="7">
        <v>0</v>
      </c>
      <c r="N45" s="7">
        <v>0</v>
      </c>
      <c r="O45" s="5">
        <v>0</v>
      </c>
    </row>
    <row r="46" spans="1:15" x14ac:dyDescent="0.25">
      <c r="A46" s="6">
        <v>46145</v>
      </c>
      <c r="B46" s="5">
        <v>0</v>
      </c>
      <c r="C46" s="5">
        <v>2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7">
        <v>6.0606060606060608E-2</v>
      </c>
      <c r="K46" s="7">
        <v>0</v>
      </c>
      <c r="L46" s="5">
        <v>-1</v>
      </c>
      <c r="M46" s="7">
        <v>0</v>
      </c>
      <c r="N46" s="7">
        <v>0</v>
      </c>
      <c r="O46" s="5">
        <v>0</v>
      </c>
    </row>
    <row r="47" spans="1:15" x14ac:dyDescent="0.25">
      <c r="A47" s="6">
        <v>46146</v>
      </c>
      <c r="B47" s="5">
        <v>1</v>
      </c>
      <c r="C47" s="5">
        <v>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7">
        <v>9.0909090909090912E-2</v>
      </c>
      <c r="K47" s="7">
        <v>0</v>
      </c>
      <c r="L47" s="5">
        <v>-1</v>
      </c>
      <c r="M47" s="7">
        <v>0</v>
      </c>
      <c r="N47" s="7">
        <v>0</v>
      </c>
      <c r="O47" s="5">
        <v>0</v>
      </c>
    </row>
    <row r="48" spans="1:15" x14ac:dyDescent="0.25">
      <c r="A48" s="6">
        <v>46147</v>
      </c>
      <c r="B48" s="5">
        <v>0</v>
      </c>
      <c r="C48" s="5">
        <v>3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7">
        <v>9.0909090909090912E-2</v>
      </c>
      <c r="K48" s="7">
        <v>0</v>
      </c>
      <c r="L48" s="5">
        <v>-1</v>
      </c>
      <c r="M48" s="7">
        <v>0</v>
      </c>
      <c r="N48" s="7">
        <v>0</v>
      </c>
      <c r="O48" s="5">
        <v>0</v>
      </c>
    </row>
    <row r="49" spans="1:15" x14ac:dyDescent="0.25">
      <c r="A49" s="6">
        <v>46148</v>
      </c>
      <c r="B49" s="5">
        <v>0</v>
      </c>
      <c r="C49" s="5">
        <v>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7">
        <v>9.0909090909090912E-2</v>
      </c>
      <c r="K49" s="7">
        <v>0</v>
      </c>
      <c r="L49" s="5">
        <v>-1</v>
      </c>
      <c r="M49" s="7">
        <v>0</v>
      </c>
      <c r="N49" s="7">
        <v>0</v>
      </c>
      <c r="O49" s="5">
        <v>0</v>
      </c>
    </row>
    <row r="50" spans="1:15" x14ac:dyDescent="0.25">
      <c r="A50" s="6">
        <v>46149</v>
      </c>
      <c r="B50" s="5">
        <v>0</v>
      </c>
      <c r="C50" s="5">
        <v>3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7">
        <v>9.0909090909090912E-2</v>
      </c>
      <c r="K50" s="7">
        <v>0</v>
      </c>
      <c r="L50" s="5">
        <v>-1</v>
      </c>
      <c r="M50" s="7">
        <v>0</v>
      </c>
      <c r="N50" s="7">
        <v>0</v>
      </c>
      <c r="O50" s="5">
        <v>0</v>
      </c>
    </row>
    <row r="51" spans="1:15" x14ac:dyDescent="0.25">
      <c r="A51" s="6">
        <v>46150</v>
      </c>
      <c r="B51" s="5">
        <v>0</v>
      </c>
      <c r="C51" s="5">
        <v>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7">
        <v>9.0909090909090912E-2</v>
      </c>
      <c r="K51" s="7">
        <v>0</v>
      </c>
      <c r="L51" s="5">
        <v>-1</v>
      </c>
      <c r="M51" s="7">
        <v>0</v>
      </c>
      <c r="N51" s="7">
        <v>0</v>
      </c>
      <c r="O51" s="5">
        <v>0</v>
      </c>
    </row>
    <row r="52" spans="1:15" x14ac:dyDescent="0.25">
      <c r="A52" s="6">
        <v>46151</v>
      </c>
      <c r="B52" s="5">
        <v>0</v>
      </c>
      <c r="C52" s="5">
        <v>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7">
        <v>9.0909090909090912E-2</v>
      </c>
      <c r="K52" s="7">
        <v>0</v>
      </c>
      <c r="L52" s="5">
        <v>-1</v>
      </c>
      <c r="M52" s="7">
        <v>0</v>
      </c>
      <c r="N52" s="7">
        <v>0</v>
      </c>
      <c r="O52" s="5">
        <v>0</v>
      </c>
    </row>
    <row r="53" spans="1:15" x14ac:dyDescent="0.25">
      <c r="A53" s="6">
        <v>46152</v>
      </c>
      <c r="B53" s="5">
        <v>0</v>
      </c>
      <c r="C53" s="5">
        <v>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7">
        <v>9.0909090909090912E-2</v>
      </c>
      <c r="K53" s="7">
        <v>0</v>
      </c>
      <c r="L53" s="5">
        <v>-1</v>
      </c>
      <c r="M53" s="7">
        <v>0</v>
      </c>
      <c r="N53" s="7">
        <v>0</v>
      </c>
      <c r="O53" s="5">
        <v>0</v>
      </c>
    </row>
    <row r="54" spans="1:15" x14ac:dyDescent="0.25">
      <c r="A54" s="6">
        <v>46153</v>
      </c>
      <c r="B54" s="5">
        <v>0</v>
      </c>
      <c r="C54" s="5">
        <v>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7">
        <v>9.0909090909090912E-2</v>
      </c>
      <c r="K54" s="7">
        <v>0</v>
      </c>
      <c r="L54" s="5">
        <v>-1</v>
      </c>
      <c r="M54" s="7">
        <v>0</v>
      </c>
      <c r="N54" s="7">
        <v>0</v>
      </c>
      <c r="O54" s="5">
        <v>0</v>
      </c>
    </row>
    <row r="55" spans="1:15" x14ac:dyDescent="0.25">
      <c r="A55" s="6">
        <v>46154</v>
      </c>
      <c r="B55" s="5">
        <v>0</v>
      </c>
      <c r="C55" s="5">
        <v>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7">
        <v>9.0909090909090912E-2</v>
      </c>
      <c r="K55" s="7">
        <v>0</v>
      </c>
      <c r="L55" s="5">
        <v>-1</v>
      </c>
      <c r="M55" s="7">
        <v>0</v>
      </c>
      <c r="N55" s="7">
        <v>0</v>
      </c>
      <c r="O55" s="5">
        <v>0</v>
      </c>
    </row>
    <row r="56" spans="1:15" x14ac:dyDescent="0.25">
      <c r="A56" s="6">
        <v>46155</v>
      </c>
      <c r="B56" s="5">
        <v>0</v>
      </c>
      <c r="C56" s="5">
        <v>3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7">
        <v>9.0909090909090912E-2</v>
      </c>
      <c r="K56" s="7">
        <v>0</v>
      </c>
      <c r="L56" s="5">
        <v>-1</v>
      </c>
      <c r="M56" s="7">
        <v>0</v>
      </c>
      <c r="N56" s="7">
        <v>0</v>
      </c>
      <c r="O56" s="5">
        <v>0</v>
      </c>
    </row>
    <row r="57" spans="1:15" x14ac:dyDescent="0.25">
      <c r="A57" s="6">
        <v>46156</v>
      </c>
      <c r="B57" s="5">
        <v>0</v>
      </c>
      <c r="C57" s="5">
        <v>3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7">
        <v>9.0909090909090912E-2</v>
      </c>
      <c r="K57" s="7">
        <v>0</v>
      </c>
      <c r="L57" s="5">
        <v>-1</v>
      </c>
      <c r="M57" s="7">
        <v>0</v>
      </c>
      <c r="N57" s="7">
        <v>0</v>
      </c>
      <c r="O57" s="5">
        <v>0</v>
      </c>
    </row>
    <row r="58" spans="1:15" x14ac:dyDescent="0.25">
      <c r="A58" s="6">
        <v>46157</v>
      </c>
      <c r="B58" s="5">
        <v>0</v>
      </c>
      <c r="C58" s="5">
        <v>3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7">
        <v>9.0909090909090912E-2</v>
      </c>
      <c r="K58" s="7">
        <v>0</v>
      </c>
      <c r="L58" s="5">
        <v>-1</v>
      </c>
      <c r="M58" s="7">
        <v>0</v>
      </c>
      <c r="N58" s="7">
        <v>0</v>
      </c>
      <c r="O58" s="5">
        <v>0</v>
      </c>
    </row>
    <row r="59" spans="1:15" x14ac:dyDescent="0.25">
      <c r="A59" s="6">
        <v>46158</v>
      </c>
      <c r="B59" s="5">
        <v>0</v>
      </c>
      <c r="C59" s="5">
        <v>3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7">
        <v>9.0909090909090912E-2</v>
      </c>
      <c r="K59" s="7">
        <v>0</v>
      </c>
      <c r="L59" s="5">
        <v>-1</v>
      </c>
      <c r="M59" s="7">
        <v>0</v>
      </c>
      <c r="N59" s="7">
        <v>0</v>
      </c>
      <c r="O59" s="5">
        <v>0</v>
      </c>
    </row>
    <row r="60" spans="1:15" x14ac:dyDescent="0.25">
      <c r="A60" s="6">
        <v>46159</v>
      </c>
      <c r="B60" s="5">
        <v>0</v>
      </c>
      <c r="C60" s="5">
        <v>3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7">
        <v>9.0909090909090912E-2</v>
      </c>
      <c r="K60" s="7">
        <v>0</v>
      </c>
      <c r="L60" s="5">
        <v>-1</v>
      </c>
      <c r="M60" s="7">
        <v>0</v>
      </c>
      <c r="N60" s="7">
        <v>0</v>
      </c>
      <c r="O60" s="5">
        <v>0</v>
      </c>
    </row>
    <row r="61" spans="1:15" x14ac:dyDescent="0.25">
      <c r="A61" s="6">
        <v>46160</v>
      </c>
      <c r="B61" s="5">
        <v>0</v>
      </c>
      <c r="C61" s="5">
        <v>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7">
        <v>9.0909090909090912E-2</v>
      </c>
      <c r="K61" s="7">
        <v>0</v>
      </c>
      <c r="L61" s="5">
        <v>-1</v>
      </c>
      <c r="M61" s="7">
        <v>0</v>
      </c>
      <c r="N61" s="7">
        <v>0</v>
      </c>
      <c r="O61" s="5">
        <v>0</v>
      </c>
    </row>
    <row r="62" spans="1:15" x14ac:dyDescent="0.25">
      <c r="A62" s="6">
        <v>46161</v>
      </c>
      <c r="B62" s="5">
        <v>2</v>
      </c>
      <c r="C62" s="5">
        <v>5</v>
      </c>
      <c r="D62" s="5">
        <v>1</v>
      </c>
      <c r="E62" s="5">
        <v>1</v>
      </c>
      <c r="F62" s="5">
        <v>2</v>
      </c>
      <c r="G62" s="5">
        <v>0</v>
      </c>
      <c r="H62" s="5">
        <v>2</v>
      </c>
      <c r="I62" s="5">
        <v>0</v>
      </c>
      <c r="J62" s="7">
        <v>0.15151515151515149</v>
      </c>
      <c r="K62" s="7">
        <v>3.03030303030303E-2</v>
      </c>
      <c r="L62" s="5">
        <v>-1</v>
      </c>
      <c r="M62" s="7">
        <v>6.0606060606060608E-2</v>
      </c>
      <c r="N62" s="7">
        <v>0</v>
      </c>
      <c r="O62" s="5">
        <v>-1</v>
      </c>
    </row>
    <row r="63" spans="1:15" x14ac:dyDescent="0.25">
      <c r="A63" s="6">
        <v>46162</v>
      </c>
      <c r="B63" s="5">
        <v>0</v>
      </c>
      <c r="C63" s="5">
        <v>5</v>
      </c>
      <c r="D63" s="5">
        <v>0</v>
      </c>
      <c r="E63" s="5">
        <v>1</v>
      </c>
      <c r="F63" s="5">
        <v>0</v>
      </c>
      <c r="G63" s="5">
        <v>0</v>
      </c>
      <c r="H63" s="5">
        <v>2</v>
      </c>
      <c r="I63" s="5">
        <v>0</v>
      </c>
      <c r="J63" s="7">
        <v>0.15151515151515149</v>
      </c>
      <c r="K63" s="7">
        <v>3.03030303030303E-2</v>
      </c>
      <c r="L63" s="5">
        <v>-1</v>
      </c>
      <c r="M63" s="7">
        <v>6.0606060606060608E-2</v>
      </c>
      <c r="N63" s="7">
        <v>0</v>
      </c>
      <c r="O63" s="5">
        <v>-1</v>
      </c>
    </row>
    <row r="64" spans="1:15" x14ac:dyDescent="0.25">
      <c r="A64" s="6">
        <v>46163</v>
      </c>
      <c r="B64" s="5">
        <v>0</v>
      </c>
      <c r="C64" s="5">
        <v>5</v>
      </c>
      <c r="D64" s="5">
        <v>0</v>
      </c>
      <c r="E64" s="5">
        <v>1</v>
      </c>
      <c r="F64" s="5">
        <v>0</v>
      </c>
      <c r="G64" s="5">
        <v>0</v>
      </c>
      <c r="H64" s="5">
        <v>2</v>
      </c>
      <c r="I64" s="5">
        <v>0</v>
      </c>
      <c r="J64" s="7">
        <v>0.15151515151515149</v>
      </c>
      <c r="K64" s="7">
        <v>3.03030303030303E-2</v>
      </c>
      <c r="L64" s="5">
        <v>-1</v>
      </c>
      <c r="M64" s="7">
        <v>6.0606060606060608E-2</v>
      </c>
      <c r="N64" s="7">
        <v>0</v>
      </c>
      <c r="O64" s="5">
        <v>-1</v>
      </c>
    </row>
    <row r="65" spans="1:15" x14ac:dyDescent="0.25">
      <c r="A65" s="6">
        <v>46164</v>
      </c>
      <c r="B65" s="5">
        <v>0</v>
      </c>
      <c r="C65" s="5">
        <v>5</v>
      </c>
      <c r="D65" s="5">
        <v>0</v>
      </c>
      <c r="E65" s="5">
        <v>1</v>
      </c>
      <c r="F65" s="5">
        <v>0</v>
      </c>
      <c r="G65" s="5">
        <v>0</v>
      </c>
      <c r="H65" s="5">
        <v>2</v>
      </c>
      <c r="I65" s="5">
        <v>0</v>
      </c>
      <c r="J65" s="7">
        <v>0.15151515151515149</v>
      </c>
      <c r="K65" s="7">
        <v>3.03030303030303E-2</v>
      </c>
      <c r="L65" s="5">
        <v>-1</v>
      </c>
      <c r="M65" s="7">
        <v>6.0606060606060608E-2</v>
      </c>
      <c r="N65" s="7">
        <v>0</v>
      </c>
      <c r="O65" s="5">
        <v>-1</v>
      </c>
    </row>
    <row r="66" spans="1:15" x14ac:dyDescent="0.25">
      <c r="A66" s="6">
        <v>46165</v>
      </c>
      <c r="B66" s="5">
        <v>0</v>
      </c>
      <c r="C66" s="5">
        <v>5</v>
      </c>
      <c r="D66" s="5">
        <v>0</v>
      </c>
      <c r="E66" s="5">
        <v>1</v>
      </c>
      <c r="F66" s="5">
        <v>0</v>
      </c>
      <c r="G66" s="5">
        <v>0</v>
      </c>
      <c r="H66" s="5">
        <v>2</v>
      </c>
      <c r="I66" s="5">
        <v>0</v>
      </c>
      <c r="J66" s="7">
        <v>0.15151515151515149</v>
      </c>
      <c r="K66" s="7">
        <v>3.03030303030303E-2</v>
      </c>
      <c r="L66" s="5">
        <v>-1</v>
      </c>
      <c r="M66" s="7">
        <v>6.0606060606060608E-2</v>
      </c>
      <c r="N66" s="7">
        <v>0</v>
      </c>
      <c r="O66" s="5">
        <v>-1</v>
      </c>
    </row>
    <row r="67" spans="1:15" x14ac:dyDescent="0.25">
      <c r="A67" s="6">
        <v>46166</v>
      </c>
      <c r="B67" s="5">
        <v>0</v>
      </c>
      <c r="C67" s="5">
        <v>5</v>
      </c>
      <c r="D67" s="5">
        <v>0</v>
      </c>
      <c r="E67" s="5">
        <v>1</v>
      </c>
      <c r="F67" s="5">
        <v>0</v>
      </c>
      <c r="G67" s="5">
        <v>0</v>
      </c>
      <c r="H67" s="5">
        <v>2</v>
      </c>
      <c r="I67" s="5">
        <v>0</v>
      </c>
      <c r="J67" s="7">
        <v>0.15151515151515149</v>
      </c>
      <c r="K67" s="7">
        <v>3.03030303030303E-2</v>
      </c>
      <c r="L67" s="5">
        <v>-1</v>
      </c>
      <c r="M67" s="7">
        <v>6.0606060606060608E-2</v>
      </c>
      <c r="N67" s="7">
        <v>0</v>
      </c>
      <c r="O67" s="5">
        <v>-1</v>
      </c>
    </row>
    <row r="68" spans="1:15" x14ac:dyDescent="0.25">
      <c r="A68" s="6">
        <v>46167</v>
      </c>
      <c r="B68" s="5">
        <v>0</v>
      </c>
      <c r="C68" s="5">
        <v>5</v>
      </c>
      <c r="D68" s="5">
        <v>0</v>
      </c>
      <c r="E68" s="5">
        <v>1</v>
      </c>
      <c r="F68" s="5">
        <v>2</v>
      </c>
      <c r="G68" s="5">
        <v>0</v>
      </c>
      <c r="H68" s="5">
        <v>4</v>
      </c>
      <c r="I68" s="5">
        <v>0</v>
      </c>
      <c r="J68" s="7">
        <v>0.15151515151515149</v>
      </c>
      <c r="K68" s="7">
        <v>3.03030303030303E-2</v>
      </c>
      <c r="L68" s="5">
        <v>-1</v>
      </c>
      <c r="M68" s="7">
        <v>0.1212121212121212</v>
      </c>
      <c r="N68" s="7">
        <v>0</v>
      </c>
      <c r="O68" s="5">
        <v>-1</v>
      </c>
    </row>
    <row r="69" spans="1:15" x14ac:dyDescent="0.25">
      <c r="A69" s="6">
        <v>46168</v>
      </c>
      <c r="B69" s="5">
        <v>3</v>
      </c>
      <c r="C69" s="5">
        <v>8</v>
      </c>
      <c r="D69" s="5">
        <v>0</v>
      </c>
      <c r="E69" s="5">
        <v>1</v>
      </c>
      <c r="F69" s="5">
        <v>0</v>
      </c>
      <c r="G69" s="5">
        <v>0</v>
      </c>
      <c r="H69" s="5">
        <v>4</v>
      </c>
      <c r="I69" s="5">
        <v>0</v>
      </c>
      <c r="J69" s="7">
        <v>0.2424242424242424</v>
      </c>
      <c r="K69" s="7">
        <v>3.03030303030303E-2</v>
      </c>
      <c r="L69" s="5">
        <v>-1</v>
      </c>
      <c r="M69" s="7">
        <v>0.1212121212121212</v>
      </c>
      <c r="N69" s="7">
        <v>0</v>
      </c>
      <c r="O69" s="5">
        <v>-1</v>
      </c>
    </row>
    <row r="70" spans="1:15" x14ac:dyDescent="0.25">
      <c r="A70" s="6">
        <v>46169</v>
      </c>
      <c r="B70" s="5">
        <v>6</v>
      </c>
      <c r="C70" s="5">
        <v>14</v>
      </c>
      <c r="D70" s="5">
        <v>0</v>
      </c>
      <c r="E70" s="5">
        <v>1</v>
      </c>
      <c r="F70" s="5">
        <v>0</v>
      </c>
      <c r="G70" s="5">
        <v>0</v>
      </c>
      <c r="H70" s="5">
        <v>4</v>
      </c>
      <c r="I70" s="5">
        <v>0</v>
      </c>
      <c r="J70" s="7">
        <v>0.42424242424242431</v>
      </c>
      <c r="K70" s="7">
        <v>3.03030303030303E-2</v>
      </c>
      <c r="L70" s="5">
        <v>-1</v>
      </c>
      <c r="M70" s="7">
        <v>0.1212121212121212</v>
      </c>
      <c r="N70" s="7">
        <v>0</v>
      </c>
      <c r="O70" s="5">
        <v>-1</v>
      </c>
    </row>
    <row r="71" spans="1:15" x14ac:dyDescent="0.25">
      <c r="A71" s="6">
        <v>46170</v>
      </c>
      <c r="B71" s="5">
        <v>0</v>
      </c>
      <c r="C71" s="5">
        <v>14</v>
      </c>
      <c r="D71" s="5">
        <v>4</v>
      </c>
      <c r="E71" s="5">
        <v>5</v>
      </c>
      <c r="F71" s="5">
        <v>0</v>
      </c>
      <c r="G71" s="5">
        <v>0</v>
      </c>
      <c r="H71" s="5">
        <v>4</v>
      </c>
      <c r="I71" s="5">
        <v>0</v>
      </c>
      <c r="J71" s="7">
        <v>0.42424242424242431</v>
      </c>
      <c r="K71" s="7">
        <v>0.15151515151515149</v>
      </c>
      <c r="L71" s="5">
        <v>-1</v>
      </c>
      <c r="M71" s="7">
        <v>0.1212121212121212</v>
      </c>
      <c r="N71" s="7">
        <v>0</v>
      </c>
      <c r="O71" s="5">
        <v>-1</v>
      </c>
    </row>
    <row r="72" spans="1:15" x14ac:dyDescent="0.25">
      <c r="A72" s="6">
        <v>46171</v>
      </c>
      <c r="B72" s="5">
        <v>0</v>
      </c>
      <c r="C72" s="5">
        <v>14</v>
      </c>
      <c r="D72" s="5">
        <v>0</v>
      </c>
      <c r="E72" s="5">
        <v>5</v>
      </c>
      <c r="F72" s="5">
        <v>0</v>
      </c>
      <c r="G72" s="5">
        <v>0</v>
      </c>
      <c r="H72" s="5">
        <v>4</v>
      </c>
      <c r="I72" s="5">
        <v>0</v>
      </c>
      <c r="J72" s="7">
        <v>0.42424242424242431</v>
      </c>
      <c r="K72" s="7">
        <v>0.15151515151515149</v>
      </c>
      <c r="L72" s="5">
        <v>-1</v>
      </c>
      <c r="M72" s="7">
        <v>0.1212121212121212</v>
      </c>
      <c r="N72" s="7">
        <v>0</v>
      </c>
      <c r="O72" s="5">
        <v>-1</v>
      </c>
    </row>
    <row r="73" spans="1:15" x14ac:dyDescent="0.25">
      <c r="A73" s="6">
        <v>46172</v>
      </c>
      <c r="B73" s="5">
        <v>0</v>
      </c>
      <c r="C73" s="5">
        <v>14</v>
      </c>
      <c r="D73" s="5">
        <v>0</v>
      </c>
      <c r="E73" s="5">
        <v>5</v>
      </c>
      <c r="F73" s="5">
        <v>0</v>
      </c>
      <c r="G73" s="5">
        <v>0</v>
      </c>
      <c r="H73" s="5">
        <v>4</v>
      </c>
      <c r="I73" s="5">
        <v>0</v>
      </c>
      <c r="J73" s="7">
        <v>0.42424242424242431</v>
      </c>
      <c r="K73" s="7">
        <v>0.15151515151515149</v>
      </c>
      <c r="L73" s="5">
        <v>-1</v>
      </c>
      <c r="M73" s="7">
        <v>0.1212121212121212</v>
      </c>
      <c r="N73" s="7">
        <v>0</v>
      </c>
      <c r="O73" s="5">
        <v>-1</v>
      </c>
    </row>
    <row r="74" spans="1:15" x14ac:dyDescent="0.25">
      <c r="A74" s="6">
        <v>46173</v>
      </c>
      <c r="B74" s="5">
        <v>0</v>
      </c>
      <c r="C74" s="5">
        <v>14</v>
      </c>
      <c r="D74" s="5">
        <v>0</v>
      </c>
      <c r="E74" s="5">
        <v>5</v>
      </c>
      <c r="F74" s="5">
        <v>0</v>
      </c>
      <c r="G74" s="5">
        <v>0</v>
      </c>
      <c r="H74" s="5">
        <v>4</v>
      </c>
      <c r="I74" s="5">
        <v>0</v>
      </c>
      <c r="J74" s="7">
        <v>0.42424242424242431</v>
      </c>
      <c r="K74" s="7">
        <v>0.15151515151515149</v>
      </c>
      <c r="L74" s="5">
        <v>-1</v>
      </c>
      <c r="M74" s="7">
        <v>0.1212121212121212</v>
      </c>
      <c r="N74" s="7">
        <v>0</v>
      </c>
      <c r="O74" s="5">
        <v>-1</v>
      </c>
    </row>
    <row r="75" spans="1:15" x14ac:dyDescent="0.25">
      <c r="A75" s="6">
        <v>46174</v>
      </c>
      <c r="B75" s="5">
        <v>0</v>
      </c>
      <c r="C75" s="5">
        <v>14</v>
      </c>
      <c r="D75" s="5">
        <v>0</v>
      </c>
      <c r="E75" s="5">
        <v>5</v>
      </c>
      <c r="F75" s="5">
        <v>3</v>
      </c>
      <c r="G75" s="5">
        <v>0</v>
      </c>
      <c r="H75" s="5">
        <v>7</v>
      </c>
      <c r="I75" s="5">
        <v>0</v>
      </c>
      <c r="J75" s="7">
        <v>0.42424242424242431</v>
      </c>
      <c r="K75" s="7">
        <v>0.15151515151515149</v>
      </c>
      <c r="L75" s="5">
        <v>-1</v>
      </c>
      <c r="M75" s="7">
        <v>0.2121212121212121</v>
      </c>
      <c r="N75" s="7">
        <v>0</v>
      </c>
      <c r="O75" s="5">
        <v>-1</v>
      </c>
    </row>
    <row r="76" spans="1:15" x14ac:dyDescent="0.25">
      <c r="A76" s="6">
        <v>46175</v>
      </c>
      <c r="B76" s="5">
        <v>0</v>
      </c>
      <c r="C76" s="5">
        <v>14</v>
      </c>
      <c r="D76" s="5">
        <v>1</v>
      </c>
      <c r="E76" s="5">
        <v>6</v>
      </c>
      <c r="F76" s="5">
        <v>6</v>
      </c>
      <c r="G76" s="5">
        <v>0</v>
      </c>
      <c r="H76" s="5">
        <v>13</v>
      </c>
      <c r="I76" s="5">
        <v>0</v>
      </c>
      <c r="J76" s="7">
        <v>0.42424242424242431</v>
      </c>
      <c r="K76" s="7">
        <v>0.1818181818181818</v>
      </c>
      <c r="L76" s="5">
        <v>-1</v>
      </c>
      <c r="M76" s="7">
        <v>0.39393939393939392</v>
      </c>
      <c r="N76" s="7">
        <v>0</v>
      </c>
      <c r="O76" s="5">
        <v>-1</v>
      </c>
    </row>
    <row r="77" spans="1:15" x14ac:dyDescent="0.25">
      <c r="A77" s="6">
        <v>46176</v>
      </c>
      <c r="B77" s="5">
        <v>0</v>
      </c>
      <c r="C77" s="5">
        <v>14</v>
      </c>
      <c r="D77" s="5">
        <v>1</v>
      </c>
      <c r="E77" s="5">
        <v>7</v>
      </c>
      <c r="F77" s="5">
        <v>0</v>
      </c>
      <c r="G77" s="5">
        <v>0</v>
      </c>
      <c r="H77" s="5">
        <v>13</v>
      </c>
      <c r="I77" s="5">
        <v>0</v>
      </c>
      <c r="J77" s="7">
        <v>0.42424242424242431</v>
      </c>
      <c r="K77" s="7">
        <v>0.2121212121212121</v>
      </c>
      <c r="L77" s="5">
        <v>-1</v>
      </c>
      <c r="M77" s="7">
        <v>0.39393939393939392</v>
      </c>
      <c r="N77" s="7">
        <v>0</v>
      </c>
      <c r="O77" s="5">
        <v>-1</v>
      </c>
    </row>
    <row r="78" spans="1:15" x14ac:dyDescent="0.25">
      <c r="A78" s="6">
        <v>46177</v>
      </c>
      <c r="B78" s="5">
        <v>1</v>
      </c>
      <c r="C78" s="5">
        <v>15</v>
      </c>
      <c r="D78" s="5">
        <v>0</v>
      </c>
      <c r="E78" s="5">
        <v>7</v>
      </c>
      <c r="F78" s="5">
        <v>0</v>
      </c>
      <c r="G78" s="5">
        <v>0</v>
      </c>
      <c r="H78" s="5">
        <v>13</v>
      </c>
      <c r="I78" s="5">
        <v>0</v>
      </c>
      <c r="J78" s="7">
        <v>0.45454545454545447</v>
      </c>
      <c r="K78" s="7">
        <v>0.2121212121212121</v>
      </c>
      <c r="L78" s="5">
        <v>-1</v>
      </c>
      <c r="M78" s="7">
        <v>0.39393939393939392</v>
      </c>
      <c r="N78" s="7">
        <v>0</v>
      </c>
      <c r="O78" s="5">
        <v>-1</v>
      </c>
    </row>
    <row r="79" spans="1:15" x14ac:dyDescent="0.25">
      <c r="A79" s="6">
        <v>46178</v>
      </c>
      <c r="B79" s="5">
        <v>1</v>
      </c>
      <c r="C79" s="5">
        <v>16</v>
      </c>
      <c r="D79" s="5">
        <v>2</v>
      </c>
      <c r="E79" s="5">
        <v>9</v>
      </c>
      <c r="F79" s="5">
        <v>0</v>
      </c>
      <c r="G79" s="5">
        <v>0</v>
      </c>
      <c r="H79" s="5">
        <v>13</v>
      </c>
      <c r="I79" s="5">
        <v>0</v>
      </c>
      <c r="J79" s="7">
        <v>0.48484848484848492</v>
      </c>
      <c r="K79" s="7">
        <v>0.27272727272727271</v>
      </c>
      <c r="L79" s="5">
        <v>-1</v>
      </c>
      <c r="M79" s="7">
        <v>0.39393939393939392</v>
      </c>
      <c r="N79" s="7">
        <v>0</v>
      </c>
      <c r="O79" s="5">
        <v>-1</v>
      </c>
    </row>
    <row r="80" spans="1:15" x14ac:dyDescent="0.25">
      <c r="A80" s="6">
        <v>46179</v>
      </c>
      <c r="B80" s="5">
        <v>0</v>
      </c>
      <c r="C80" s="5">
        <v>16</v>
      </c>
      <c r="D80" s="5">
        <v>0</v>
      </c>
      <c r="E80" s="5">
        <v>9</v>
      </c>
      <c r="F80" s="5">
        <v>0</v>
      </c>
      <c r="G80" s="5">
        <v>0</v>
      </c>
      <c r="H80" s="5">
        <v>13</v>
      </c>
      <c r="I80" s="5">
        <v>0</v>
      </c>
      <c r="J80" s="7">
        <v>0.48484848484848492</v>
      </c>
      <c r="K80" s="7">
        <v>0.27272727272727271</v>
      </c>
      <c r="L80" s="5">
        <v>-1</v>
      </c>
      <c r="M80" s="7">
        <v>0.39393939393939392</v>
      </c>
      <c r="N80" s="7">
        <v>0</v>
      </c>
      <c r="O80" s="5">
        <v>-1</v>
      </c>
    </row>
    <row r="81" spans="1:15" x14ac:dyDescent="0.25">
      <c r="A81" s="6">
        <v>46180</v>
      </c>
      <c r="B81" s="5">
        <v>0</v>
      </c>
      <c r="C81" s="5">
        <v>16</v>
      </c>
      <c r="D81" s="5">
        <v>0</v>
      </c>
      <c r="E81" s="5">
        <v>9</v>
      </c>
      <c r="F81" s="5">
        <v>0</v>
      </c>
      <c r="G81" s="5">
        <v>0</v>
      </c>
      <c r="H81" s="5">
        <v>13</v>
      </c>
      <c r="I81" s="5">
        <v>0</v>
      </c>
      <c r="J81" s="7">
        <v>0.48484848484848492</v>
      </c>
      <c r="K81" s="7">
        <v>0.27272727272727271</v>
      </c>
      <c r="L81" s="5">
        <v>-1</v>
      </c>
      <c r="M81" s="7">
        <v>0.39393939393939392</v>
      </c>
      <c r="N81" s="7">
        <v>0</v>
      </c>
      <c r="O81" s="5">
        <v>-1</v>
      </c>
    </row>
    <row r="82" spans="1:15" x14ac:dyDescent="0.25">
      <c r="A82" s="6">
        <v>46181</v>
      </c>
      <c r="B82" s="5">
        <v>0</v>
      </c>
      <c r="C82" s="5">
        <v>16</v>
      </c>
      <c r="D82" s="5">
        <v>0</v>
      </c>
      <c r="E82" s="5">
        <v>9</v>
      </c>
      <c r="F82" s="5">
        <v>0</v>
      </c>
      <c r="G82" s="5">
        <v>0</v>
      </c>
      <c r="H82" s="5">
        <v>13</v>
      </c>
      <c r="I82" s="5">
        <v>0</v>
      </c>
      <c r="J82" s="7">
        <v>0.48484848484848492</v>
      </c>
      <c r="K82" s="7">
        <v>0.27272727272727271</v>
      </c>
      <c r="L82" s="5">
        <v>-1</v>
      </c>
      <c r="M82" s="7">
        <v>0.39393939393939392</v>
      </c>
      <c r="N82" s="7">
        <v>0</v>
      </c>
      <c r="O82" s="5">
        <v>-1</v>
      </c>
    </row>
    <row r="83" spans="1:15" x14ac:dyDescent="0.25">
      <c r="A83" s="6">
        <v>46182</v>
      </c>
      <c r="B83" s="5">
        <v>0</v>
      </c>
      <c r="C83" s="5">
        <v>16</v>
      </c>
      <c r="D83" s="5">
        <v>0</v>
      </c>
      <c r="E83" s="5">
        <v>9</v>
      </c>
      <c r="F83" s="5">
        <v>0</v>
      </c>
      <c r="G83" s="5">
        <v>0</v>
      </c>
      <c r="H83" s="5">
        <v>13</v>
      </c>
      <c r="I83" s="5">
        <v>0</v>
      </c>
      <c r="J83" s="7">
        <v>0.48484848484848492</v>
      </c>
      <c r="K83" s="7">
        <v>0.27272727272727271</v>
      </c>
      <c r="L83" s="5">
        <v>-1</v>
      </c>
      <c r="M83" s="7">
        <v>0.39393939393939392</v>
      </c>
      <c r="N83" s="7">
        <v>0</v>
      </c>
      <c r="O83" s="5">
        <v>-1</v>
      </c>
    </row>
    <row r="84" spans="1:15" x14ac:dyDescent="0.25">
      <c r="A84" s="6">
        <v>46183</v>
      </c>
      <c r="B84" s="5">
        <v>0</v>
      </c>
      <c r="C84" s="5">
        <v>16</v>
      </c>
      <c r="D84" s="5">
        <v>0</v>
      </c>
      <c r="E84" s="5">
        <v>9</v>
      </c>
      <c r="F84" s="5">
        <v>1</v>
      </c>
      <c r="G84" s="5">
        <v>0</v>
      </c>
      <c r="H84" s="5">
        <v>14</v>
      </c>
      <c r="I84" s="5">
        <v>0</v>
      </c>
      <c r="J84" s="7">
        <v>0.48484848484848492</v>
      </c>
      <c r="K84" s="7">
        <v>0.27272727272727271</v>
      </c>
      <c r="L84" s="5">
        <v>-1</v>
      </c>
      <c r="M84" s="7">
        <v>0.42424242424242431</v>
      </c>
      <c r="N84" s="7">
        <v>0</v>
      </c>
      <c r="O84" s="5">
        <v>-1</v>
      </c>
    </row>
    <row r="85" spans="1:15" x14ac:dyDescent="0.25">
      <c r="A85" s="6">
        <v>46184</v>
      </c>
      <c r="B85" s="5">
        <v>0</v>
      </c>
      <c r="C85" s="5">
        <v>16</v>
      </c>
      <c r="D85" s="5">
        <v>0</v>
      </c>
      <c r="E85" s="5">
        <v>9</v>
      </c>
      <c r="F85" s="5">
        <v>0</v>
      </c>
      <c r="G85" s="5">
        <v>0</v>
      </c>
      <c r="H85" s="5">
        <v>14</v>
      </c>
      <c r="I85" s="5">
        <v>0</v>
      </c>
      <c r="J85" s="7">
        <v>0.48484848484848492</v>
      </c>
      <c r="K85" s="7">
        <v>0.27272727272727271</v>
      </c>
      <c r="L85" s="5">
        <v>-1</v>
      </c>
      <c r="M85" s="7">
        <v>0.42424242424242431</v>
      </c>
      <c r="N85" s="7">
        <v>0</v>
      </c>
      <c r="O85" s="5">
        <v>-1</v>
      </c>
    </row>
    <row r="86" spans="1:15" x14ac:dyDescent="0.25">
      <c r="A86" s="6">
        <v>46185</v>
      </c>
      <c r="B86" s="5">
        <v>0</v>
      </c>
      <c r="C86" s="5">
        <v>16</v>
      </c>
      <c r="D86" s="5">
        <v>1</v>
      </c>
      <c r="E86" s="5">
        <v>10</v>
      </c>
      <c r="F86" s="5">
        <v>0</v>
      </c>
      <c r="G86" s="5">
        <v>0</v>
      </c>
      <c r="H86" s="5">
        <v>14</v>
      </c>
      <c r="I86" s="5">
        <v>0</v>
      </c>
      <c r="J86" s="7">
        <v>0.48484848484848492</v>
      </c>
      <c r="K86" s="7">
        <v>0.30303030303030298</v>
      </c>
      <c r="L86" s="5">
        <v>-1</v>
      </c>
      <c r="M86" s="7">
        <v>0.42424242424242431</v>
      </c>
      <c r="N86" s="7">
        <v>0</v>
      </c>
      <c r="O86" s="5">
        <v>-1</v>
      </c>
    </row>
    <row r="87" spans="1:15" x14ac:dyDescent="0.25">
      <c r="A87" s="6">
        <v>46186</v>
      </c>
      <c r="B87" s="5">
        <v>0</v>
      </c>
      <c r="C87" s="5">
        <v>16</v>
      </c>
      <c r="D87" s="5">
        <v>0</v>
      </c>
      <c r="E87" s="5">
        <v>10</v>
      </c>
      <c r="F87" s="5">
        <v>0</v>
      </c>
      <c r="G87" s="5">
        <v>0</v>
      </c>
      <c r="H87" s="5">
        <v>14</v>
      </c>
      <c r="I87" s="5">
        <v>0</v>
      </c>
      <c r="J87" s="7">
        <v>0.48484848484848492</v>
      </c>
      <c r="K87" s="7">
        <v>0.30303030303030298</v>
      </c>
      <c r="L87" s="5">
        <v>-1</v>
      </c>
      <c r="M87" s="7">
        <v>0.42424242424242431</v>
      </c>
      <c r="N87" s="7">
        <v>0</v>
      </c>
      <c r="O87" s="5">
        <v>-1</v>
      </c>
    </row>
    <row r="88" spans="1:15" x14ac:dyDescent="0.25">
      <c r="A88" s="6">
        <v>46187</v>
      </c>
      <c r="B88" s="5">
        <v>0</v>
      </c>
      <c r="C88" s="5">
        <v>16</v>
      </c>
      <c r="D88" s="5">
        <v>0</v>
      </c>
      <c r="E88" s="5">
        <v>10</v>
      </c>
      <c r="F88" s="5">
        <v>0</v>
      </c>
      <c r="G88" s="5">
        <v>0</v>
      </c>
      <c r="H88" s="5">
        <v>14</v>
      </c>
      <c r="I88" s="5">
        <v>0</v>
      </c>
      <c r="J88" s="7">
        <v>0.48484848484848492</v>
      </c>
      <c r="K88" s="7">
        <v>0.30303030303030298</v>
      </c>
      <c r="L88" s="5">
        <v>-1</v>
      </c>
      <c r="M88" s="7">
        <v>0.42424242424242431</v>
      </c>
      <c r="N88" s="7">
        <v>0</v>
      </c>
      <c r="O88" s="5">
        <v>-1</v>
      </c>
    </row>
    <row r="89" spans="1:15" x14ac:dyDescent="0.25">
      <c r="A89" s="6">
        <v>46188</v>
      </c>
      <c r="B89" s="5">
        <v>8</v>
      </c>
      <c r="C89" s="5">
        <v>24</v>
      </c>
      <c r="D89" s="5">
        <v>1</v>
      </c>
      <c r="E89" s="5">
        <v>11</v>
      </c>
      <c r="F89" s="5">
        <v>0</v>
      </c>
      <c r="G89" s="5">
        <v>0</v>
      </c>
      <c r="H89" s="5">
        <v>14</v>
      </c>
      <c r="I89" s="5">
        <v>0</v>
      </c>
      <c r="J89" s="7">
        <v>0.72727272727272729</v>
      </c>
      <c r="K89" s="7">
        <v>0.33333333333333331</v>
      </c>
      <c r="L89" s="5">
        <v>-1</v>
      </c>
      <c r="M89" s="7">
        <v>0.42424242424242431</v>
      </c>
      <c r="N89" s="7">
        <v>0</v>
      </c>
      <c r="O89" s="5">
        <v>-1</v>
      </c>
    </row>
    <row r="90" spans="1:15" x14ac:dyDescent="0.25">
      <c r="A90" s="6">
        <v>46189</v>
      </c>
      <c r="B90" s="5">
        <v>0</v>
      </c>
      <c r="C90" s="5">
        <v>24</v>
      </c>
      <c r="D90" s="5">
        <v>0</v>
      </c>
      <c r="E90" s="5">
        <v>11</v>
      </c>
      <c r="F90" s="5">
        <v>1</v>
      </c>
      <c r="G90" s="5">
        <v>0</v>
      </c>
      <c r="H90" s="5">
        <v>15</v>
      </c>
      <c r="I90" s="5">
        <v>0</v>
      </c>
      <c r="J90" s="7">
        <v>0.72727272727272729</v>
      </c>
      <c r="K90" s="7">
        <v>0.33333333333333331</v>
      </c>
      <c r="L90" s="5">
        <v>-1</v>
      </c>
      <c r="M90" s="7">
        <v>0.45454545454545447</v>
      </c>
      <c r="N90" s="7">
        <v>0</v>
      </c>
      <c r="O90" s="5">
        <v>-1</v>
      </c>
    </row>
    <row r="91" spans="1:15" x14ac:dyDescent="0.25">
      <c r="A91" s="6">
        <v>46190</v>
      </c>
      <c r="B91" s="5">
        <v>0</v>
      </c>
      <c r="C91" s="5">
        <v>24</v>
      </c>
      <c r="D91" s="5">
        <v>0</v>
      </c>
      <c r="E91" s="5">
        <v>11</v>
      </c>
      <c r="F91" s="5">
        <v>0</v>
      </c>
      <c r="G91" s="5">
        <v>0</v>
      </c>
      <c r="H91" s="5">
        <v>15</v>
      </c>
      <c r="I91" s="5">
        <v>0</v>
      </c>
      <c r="J91" s="7">
        <v>0.72727272727272729</v>
      </c>
      <c r="K91" s="7">
        <v>0.33333333333333331</v>
      </c>
      <c r="L91" s="5">
        <v>-1</v>
      </c>
      <c r="M91" s="7">
        <v>0.45454545454545447</v>
      </c>
      <c r="N91" s="7">
        <v>0</v>
      </c>
      <c r="O91" s="5">
        <v>-1</v>
      </c>
    </row>
    <row r="92" spans="1:15" x14ac:dyDescent="0.25">
      <c r="A92" s="6">
        <v>46191</v>
      </c>
      <c r="B92" s="5">
        <v>0</v>
      </c>
      <c r="C92" s="5">
        <v>24</v>
      </c>
      <c r="D92" s="5">
        <v>0</v>
      </c>
      <c r="E92" s="5">
        <v>11</v>
      </c>
      <c r="F92" s="5">
        <v>0</v>
      </c>
      <c r="G92" s="5">
        <v>1</v>
      </c>
      <c r="H92" s="5">
        <v>15</v>
      </c>
      <c r="I92" s="5">
        <v>1</v>
      </c>
      <c r="J92" s="7">
        <v>0.72727272727272729</v>
      </c>
      <c r="K92" s="7">
        <v>0.33333333333333331</v>
      </c>
      <c r="L92" s="5">
        <v>-1</v>
      </c>
      <c r="M92" s="7">
        <v>0.45454545454545447</v>
      </c>
      <c r="N92" s="7">
        <v>3.03030303030303E-2</v>
      </c>
      <c r="O92" s="5">
        <v>-1</v>
      </c>
    </row>
    <row r="93" spans="1:15" x14ac:dyDescent="0.25">
      <c r="A93" s="6">
        <v>46192</v>
      </c>
      <c r="B93" s="5">
        <v>3</v>
      </c>
      <c r="C93" s="5">
        <v>27</v>
      </c>
      <c r="D93" s="5">
        <v>0</v>
      </c>
      <c r="E93" s="5">
        <v>11</v>
      </c>
      <c r="F93" s="5">
        <v>8</v>
      </c>
      <c r="G93" s="5">
        <v>0</v>
      </c>
      <c r="H93" s="5">
        <v>23</v>
      </c>
      <c r="I93" s="5">
        <v>1</v>
      </c>
      <c r="J93" s="7">
        <v>0.81818181818181823</v>
      </c>
      <c r="K93" s="7">
        <v>0.33333333333333331</v>
      </c>
      <c r="L93" s="5">
        <v>-1</v>
      </c>
      <c r="M93" s="7">
        <v>0.69696969696969702</v>
      </c>
      <c r="N93" s="7">
        <v>3.03030303030303E-2</v>
      </c>
      <c r="O93" s="5">
        <v>-1</v>
      </c>
    </row>
    <row r="94" spans="1:15" x14ac:dyDescent="0.25">
      <c r="A94" s="6">
        <v>46193</v>
      </c>
      <c r="B94" s="5">
        <v>0</v>
      </c>
      <c r="C94" s="5">
        <v>27</v>
      </c>
      <c r="D94" s="5">
        <v>0</v>
      </c>
      <c r="E94" s="5">
        <v>11</v>
      </c>
      <c r="F94" s="5">
        <v>0</v>
      </c>
      <c r="G94" s="5">
        <v>0</v>
      </c>
      <c r="H94" s="5">
        <v>23</v>
      </c>
      <c r="I94" s="5">
        <v>1</v>
      </c>
      <c r="J94" s="7">
        <v>0.81818181818181823</v>
      </c>
      <c r="K94" s="7">
        <v>0.33333333333333331</v>
      </c>
      <c r="L94" s="5">
        <v>-1</v>
      </c>
      <c r="M94" s="7">
        <v>0.69696969696969702</v>
      </c>
      <c r="N94" s="7">
        <v>3.03030303030303E-2</v>
      </c>
      <c r="O94" s="5">
        <v>-1</v>
      </c>
    </row>
    <row r="95" spans="1:15" x14ac:dyDescent="0.25">
      <c r="A95" s="6">
        <v>46194</v>
      </c>
      <c r="B95" s="5">
        <v>0</v>
      </c>
      <c r="C95" s="5">
        <v>27</v>
      </c>
      <c r="D95" s="5">
        <v>0</v>
      </c>
      <c r="E95" s="5">
        <v>11</v>
      </c>
      <c r="F95" s="5">
        <v>0</v>
      </c>
      <c r="G95" s="5">
        <v>0</v>
      </c>
      <c r="H95" s="5">
        <v>23</v>
      </c>
      <c r="I95" s="5">
        <v>1</v>
      </c>
      <c r="J95" s="7">
        <v>0.81818181818181823</v>
      </c>
      <c r="K95" s="7">
        <v>0.33333333333333331</v>
      </c>
      <c r="L95" s="5">
        <v>-1</v>
      </c>
      <c r="M95" s="7">
        <v>0.69696969696969702</v>
      </c>
      <c r="N95" s="7">
        <v>3.03030303030303E-2</v>
      </c>
      <c r="O95" s="5">
        <v>-1</v>
      </c>
    </row>
    <row r="96" spans="1:15" x14ac:dyDescent="0.25">
      <c r="A96" s="6">
        <v>46195</v>
      </c>
      <c r="B96" s="5">
        <v>1</v>
      </c>
      <c r="C96" s="5">
        <v>28</v>
      </c>
      <c r="D96" s="5">
        <v>0</v>
      </c>
      <c r="E96" s="5">
        <v>11</v>
      </c>
      <c r="F96" s="5">
        <v>0</v>
      </c>
      <c r="G96" s="5">
        <v>0</v>
      </c>
      <c r="H96" s="5">
        <v>23</v>
      </c>
      <c r="I96" s="5">
        <v>1</v>
      </c>
      <c r="J96" s="7">
        <v>0.84848484848484851</v>
      </c>
      <c r="K96" s="7">
        <v>0.33333333333333331</v>
      </c>
      <c r="L96" s="5">
        <v>-1</v>
      </c>
      <c r="M96" s="7">
        <v>0.69696969696969702</v>
      </c>
      <c r="N96" s="7">
        <v>3.03030303030303E-2</v>
      </c>
      <c r="O96" s="5">
        <v>-1</v>
      </c>
    </row>
    <row r="97" spans="1:15" x14ac:dyDescent="0.25">
      <c r="A97" s="6">
        <v>46196</v>
      </c>
      <c r="B97" s="5">
        <v>2</v>
      </c>
      <c r="C97" s="5">
        <v>30</v>
      </c>
      <c r="D97" s="5">
        <v>0</v>
      </c>
      <c r="E97" s="5">
        <v>11</v>
      </c>
      <c r="F97" s="5">
        <v>0</v>
      </c>
      <c r="G97" s="5">
        <v>0</v>
      </c>
      <c r="H97" s="5">
        <v>23</v>
      </c>
      <c r="I97" s="5">
        <v>1</v>
      </c>
      <c r="J97" s="7">
        <v>0.90909090909090906</v>
      </c>
      <c r="K97" s="7">
        <v>0.33333333333333331</v>
      </c>
      <c r="L97" s="5">
        <v>-1</v>
      </c>
      <c r="M97" s="7">
        <v>0.69696969696969702</v>
      </c>
      <c r="N97" s="7">
        <v>3.03030303030303E-2</v>
      </c>
      <c r="O97" s="5">
        <v>-1</v>
      </c>
    </row>
    <row r="98" spans="1:15" x14ac:dyDescent="0.25">
      <c r="A98" s="6">
        <v>46197</v>
      </c>
      <c r="B98" s="5">
        <v>0</v>
      </c>
      <c r="C98" s="5">
        <v>30</v>
      </c>
      <c r="D98" s="5">
        <v>1</v>
      </c>
      <c r="E98" s="5">
        <v>12</v>
      </c>
      <c r="F98" s="5">
        <v>1</v>
      </c>
      <c r="G98" s="5">
        <v>0</v>
      </c>
      <c r="H98" s="5">
        <v>24</v>
      </c>
      <c r="I98" s="5">
        <v>1</v>
      </c>
      <c r="J98" s="7">
        <v>0.90909090909090906</v>
      </c>
      <c r="K98" s="7">
        <v>0.36363636363636359</v>
      </c>
      <c r="L98" s="5">
        <v>-1</v>
      </c>
      <c r="M98" s="7">
        <v>0.72727272727272729</v>
      </c>
      <c r="N98" s="7">
        <v>3.03030303030303E-2</v>
      </c>
      <c r="O98" s="5">
        <v>-1</v>
      </c>
    </row>
    <row r="99" spans="1:15" x14ac:dyDescent="0.25">
      <c r="A99" s="6">
        <v>46198</v>
      </c>
      <c r="B99" s="5">
        <v>0</v>
      </c>
      <c r="C99" s="5">
        <v>30</v>
      </c>
      <c r="D99" s="5">
        <v>0</v>
      </c>
      <c r="E99" s="5">
        <v>12</v>
      </c>
      <c r="F99" s="5">
        <v>3</v>
      </c>
      <c r="G99" s="5">
        <v>0</v>
      </c>
      <c r="H99" s="5">
        <v>27</v>
      </c>
      <c r="I99" s="5">
        <v>1</v>
      </c>
      <c r="J99" s="7">
        <v>0.90909090909090906</v>
      </c>
      <c r="K99" s="7">
        <v>0.36363636363636359</v>
      </c>
      <c r="L99" s="5">
        <v>-1</v>
      </c>
      <c r="M99" s="7">
        <v>0.81818181818181823</v>
      </c>
      <c r="N99" s="7">
        <v>3.03030303030303E-2</v>
      </c>
      <c r="O99" s="5">
        <v>-1</v>
      </c>
    </row>
    <row r="100" spans="1:15" x14ac:dyDescent="0.25">
      <c r="A100" s="6">
        <v>46199</v>
      </c>
      <c r="B100" s="5">
        <v>0</v>
      </c>
      <c r="C100" s="5">
        <v>30</v>
      </c>
      <c r="D100" s="5">
        <v>0</v>
      </c>
      <c r="E100" s="5">
        <v>12</v>
      </c>
      <c r="F100" s="5">
        <v>1</v>
      </c>
      <c r="G100" s="5">
        <v>0</v>
      </c>
      <c r="H100" s="5">
        <v>28</v>
      </c>
      <c r="I100" s="5">
        <v>1</v>
      </c>
      <c r="J100" s="7">
        <v>0.90909090909090906</v>
      </c>
      <c r="K100" s="7">
        <v>0.36363636363636359</v>
      </c>
      <c r="L100" s="5">
        <v>-1</v>
      </c>
      <c r="M100" s="7">
        <v>0.84848484848484851</v>
      </c>
      <c r="N100" s="7">
        <v>3.03030303030303E-2</v>
      </c>
      <c r="O100" s="5">
        <v>-1</v>
      </c>
    </row>
    <row r="101" spans="1:15" x14ac:dyDescent="0.25">
      <c r="A101" s="6">
        <v>46200</v>
      </c>
      <c r="B101" s="5">
        <v>0</v>
      </c>
      <c r="C101" s="5">
        <v>30</v>
      </c>
      <c r="D101" s="5">
        <v>0</v>
      </c>
      <c r="E101" s="5">
        <v>12</v>
      </c>
      <c r="F101" s="5">
        <v>0</v>
      </c>
      <c r="G101" s="5">
        <v>0</v>
      </c>
      <c r="H101" s="5">
        <v>28</v>
      </c>
      <c r="I101" s="5">
        <v>1</v>
      </c>
      <c r="J101" s="7">
        <v>0.90909090909090906</v>
      </c>
      <c r="K101" s="7">
        <v>0.36363636363636359</v>
      </c>
      <c r="L101" s="5">
        <v>-1</v>
      </c>
      <c r="M101" s="7">
        <v>0.84848484848484851</v>
      </c>
      <c r="N101" s="7">
        <v>3.03030303030303E-2</v>
      </c>
      <c r="O101" s="5">
        <v>-1</v>
      </c>
    </row>
    <row r="102" spans="1:15" x14ac:dyDescent="0.25">
      <c r="A102" s="6">
        <v>46201</v>
      </c>
      <c r="B102" s="5">
        <v>0</v>
      </c>
      <c r="C102" s="5">
        <v>30</v>
      </c>
      <c r="D102" s="5">
        <v>0</v>
      </c>
      <c r="E102" s="5">
        <v>12</v>
      </c>
      <c r="F102" s="5">
        <v>0</v>
      </c>
      <c r="G102" s="5">
        <v>0</v>
      </c>
      <c r="H102" s="5">
        <v>28</v>
      </c>
      <c r="I102" s="5">
        <v>1</v>
      </c>
      <c r="J102" s="7">
        <v>0.90909090909090906</v>
      </c>
      <c r="K102" s="7">
        <v>0.36363636363636359</v>
      </c>
      <c r="L102" s="5">
        <v>-1</v>
      </c>
      <c r="M102" s="7">
        <v>0.84848484848484851</v>
      </c>
      <c r="N102" s="7">
        <v>3.03030303030303E-2</v>
      </c>
      <c r="O102" s="5">
        <v>-1</v>
      </c>
    </row>
    <row r="103" spans="1:15" x14ac:dyDescent="0.25">
      <c r="A103" s="6">
        <v>46202</v>
      </c>
      <c r="B103" s="5">
        <v>0</v>
      </c>
      <c r="C103" s="5">
        <v>30</v>
      </c>
      <c r="D103" s="5">
        <v>0</v>
      </c>
      <c r="E103" s="5">
        <v>12</v>
      </c>
      <c r="F103" s="5">
        <v>2</v>
      </c>
      <c r="G103" s="5">
        <v>0</v>
      </c>
      <c r="H103" s="5">
        <v>30</v>
      </c>
      <c r="I103" s="5">
        <v>1</v>
      </c>
      <c r="J103" s="7">
        <v>0.90909090909090906</v>
      </c>
      <c r="K103" s="7">
        <v>0.36363636363636359</v>
      </c>
      <c r="L103" s="5">
        <v>-1</v>
      </c>
      <c r="M103" s="7">
        <v>0.90909090909090906</v>
      </c>
      <c r="N103" s="7">
        <v>3.03030303030303E-2</v>
      </c>
      <c r="O103" s="5">
        <v>-1</v>
      </c>
    </row>
    <row r="104" spans="1:15" x14ac:dyDescent="0.25">
      <c r="A104" s="6">
        <v>46203</v>
      </c>
      <c r="B104" s="5">
        <v>0</v>
      </c>
      <c r="C104" s="5">
        <v>30</v>
      </c>
      <c r="D104" s="5">
        <v>0</v>
      </c>
      <c r="E104" s="5">
        <v>12</v>
      </c>
      <c r="F104" s="5">
        <v>0</v>
      </c>
      <c r="G104" s="5">
        <v>0</v>
      </c>
      <c r="H104" s="5">
        <v>30</v>
      </c>
      <c r="I104" s="5">
        <v>1</v>
      </c>
      <c r="J104" s="7">
        <v>0.90909090909090906</v>
      </c>
      <c r="K104" s="7">
        <v>0.36363636363636359</v>
      </c>
      <c r="L104" s="5">
        <v>-1</v>
      </c>
      <c r="M104" s="7">
        <v>0.90909090909090906</v>
      </c>
      <c r="N104" s="7">
        <v>3.03030303030303E-2</v>
      </c>
      <c r="O104" s="5">
        <v>-1</v>
      </c>
    </row>
    <row r="105" spans="1:15" x14ac:dyDescent="0.25">
      <c r="A105" s="6">
        <v>46204</v>
      </c>
      <c r="B105" s="5">
        <v>0</v>
      </c>
      <c r="C105" s="5">
        <v>30</v>
      </c>
      <c r="D105" s="5">
        <v>0</v>
      </c>
      <c r="E105" s="5">
        <v>12</v>
      </c>
      <c r="F105" s="5">
        <v>0</v>
      </c>
      <c r="G105" s="5">
        <v>0</v>
      </c>
      <c r="H105" s="5">
        <v>30</v>
      </c>
      <c r="I105" s="5">
        <v>1</v>
      </c>
      <c r="J105" s="7">
        <v>0.90909090909090906</v>
      </c>
      <c r="K105" s="7">
        <v>0.36363636363636359</v>
      </c>
      <c r="L105" s="5">
        <v>-1</v>
      </c>
      <c r="M105" s="7">
        <v>0.90909090909090906</v>
      </c>
      <c r="N105" s="7">
        <v>3.03030303030303E-2</v>
      </c>
      <c r="O105" s="5">
        <v>-1</v>
      </c>
    </row>
    <row r="106" spans="1:15" x14ac:dyDescent="0.25">
      <c r="A106" s="6">
        <v>46205</v>
      </c>
      <c r="B106" s="5">
        <v>1</v>
      </c>
      <c r="C106" s="5">
        <v>31</v>
      </c>
      <c r="D106" s="5">
        <v>0</v>
      </c>
      <c r="E106" s="5">
        <v>12</v>
      </c>
      <c r="F106" s="5">
        <v>0</v>
      </c>
      <c r="G106" s="5">
        <v>0</v>
      </c>
      <c r="H106" s="5">
        <v>30</v>
      </c>
      <c r="I106" s="5">
        <v>1</v>
      </c>
      <c r="J106" s="7">
        <v>0.93939393939393945</v>
      </c>
      <c r="K106" s="7">
        <v>0.36363636363636359</v>
      </c>
      <c r="L106" s="5">
        <v>-1</v>
      </c>
      <c r="M106" s="7">
        <v>0.90909090909090906</v>
      </c>
      <c r="N106" s="7">
        <v>3.03030303030303E-2</v>
      </c>
      <c r="O106" s="5">
        <v>-1</v>
      </c>
    </row>
    <row r="107" spans="1:15" x14ac:dyDescent="0.25">
      <c r="A107" s="6">
        <v>46206</v>
      </c>
      <c r="B107" s="5">
        <v>0</v>
      </c>
      <c r="C107" s="5">
        <v>31</v>
      </c>
      <c r="D107" s="5">
        <v>0</v>
      </c>
      <c r="E107" s="5">
        <v>12</v>
      </c>
      <c r="F107" s="5">
        <v>0</v>
      </c>
      <c r="G107" s="5">
        <v>0</v>
      </c>
      <c r="H107" s="5">
        <v>30</v>
      </c>
      <c r="I107" s="5">
        <v>1</v>
      </c>
      <c r="J107" s="7">
        <v>0.93939393939393945</v>
      </c>
      <c r="K107" s="7">
        <v>0.36363636363636359</v>
      </c>
      <c r="L107" s="5">
        <v>-1</v>
      </c>
      <c r="M107" s="7">
        <v>0.90909090909090906</v>
      </c>
      <c r="N107" s="7">
        <v>3.03030303030303E-2</v>
      </c>
      <c r="O107" s="5">
        <v>-1</v>
      </c>
    </row>
    <row r="108" spans="1:15" x14ac:dyDescent="0.25">
      <c r="A108" s="6">
        <v>46207</v>
      </c>
      <c r="B108" s="5">
        <v>0</v>
      </c>
      <c r="C108" s="5">
        <v>31</v>
      </c>
      <c r="D108" s="5">
        <v>0</v>
      </c>
      <c r="E108" s="5">
        <v>12</v>
      </c>
      <c r="F108" s="5">
        <v>0</v>
      </c>
      <c r="G108" s="5">
        <v>0</v>
      </c>
      <c r="H108" s="5">
        <v>30</v>
      </c>
      <c r="I108" s="5">
        <v>1</v>
      </c>
      <c r="J108" s="7">
        <v>0.93939393939393945</v>
      </c>
      <c r="K108" s="7">
        <v>0.36363636363636359</v>
      </c>
      <c r="L108" s="5">
        <v>-1</v>
      </c>
      <c r="M108" s="7">
        <v>0.90909090909090906</v>
      </c>
      <c r="N108" s="7">
        <v>3.03030303030303E-2</v>
      </c>
      <c r="O108" s="5">
        <v>-1</v>
      </c>
    </row>
    <row r="109" spans="1:15" x14ac:dyDescent="0.25">
      <c r="A109" s="6">
        <v>46208</v>
      </c>
      <c r="B109" s="5">
        <v>0</v>
      </c>
      <c r="C109" s="5">
        <v>31</v>
      </c>
      <c r="D109" s="5">
        <v>0</v>
      </c>
      <c r="E109" s="5">
        <v>12</v>
      </c>
      <c r="F109" s="5">
        <v>0</v>
      </c>
      <c r="G109" s="5">
        <v>0</v>
      </c>
      <c r="H109" s="5">
        <v>30</v>
      </c>
      <c r="I109" s="5">
        <v>1</v>
      </c>
      <c r="J109" s="7">
        <v>0.93939393939393945</v>
      </c>
      <c r="K109" s="7">
        <v>0.36363636363636359</v>
      </c>
      <c r="L109" s="5">
        <v>-1</v>
      </c>
      <c r="M109" s="7">
        <v>0.90909090909090906</v>
      </c>
      <c r="N109" s="7">
        <v>3.03030303030303E-2</v>
      </c>
      <c r="O109" s="5">
        <v>-1</v>
      </c>
    </row>
    <row r="110" spans="1:15" x14ac:dyDescent="0.25">
      <c r="A110" s="6">
        <v>46209</v>
      </c>
      <c r="B110" s="5">
        <v>0</v>
      </c>
      <c r="C110" s="5">
        <v>31</v>
      </c>
      <c r="D110" s="5">
        <v>1</v>
      </c>
      <c r="E110" s="5">
        <v>13</v>
      </c>
      <c r="F110" s="5">
        <v>0</v>
      </c>
      <c r="G110" s="5">
        <v>0</v>
      </c>
      <c r="H110" s="5">
        <v>30</v>
      </c>
      <c r="I110" s="5">
        <v>1</v>
      </c>
      <c r="J110" s="7">
        <v>0.93939393939393945</v>
      </c>
      <c r="K110" s="7">
        <v>0.39393939393939392</v>
      </c>
      <c r="L110" s="5">
        <v>-1</v>
      </c>
      <c r="M110" s="7">
        <v>0.90909090909090906</v>
      </c>
      <c r="N110" s="7">
        <v>3.03030303030303E-2</v>
      </c>
      <c r="O110" s="5">
        <v>-1</v>
      </c>
    </row>
    <row r="111" spans="1:15" x14ac:dyDescent="0.25">
      <c r="A111" s="6">
        <v>46210</v>
      </c>
      <c r="B111" s="5">
        <v>0</v>
      </c>
      <c r="C111" s="5">
        <v>31</v>
      </c>
      <c r="D111" s="5">
        <v>0</v>
      </c>
      <c r="E111" s="5">
        <v>13</v>
      </c>
      <c r="F111" s="5">
        <v>0</v>
      </c>
      <c r="G111" s="5">
        <v>0</v>
      </c>
      <c r="H111" s="5">
        <v>30</v>
      </c>
      <c r="I111" s="5">
        <v>1</v>
      </c>
      <c r="J111" s="7">
        <v>0.93939393939393945</v>
      </c>
      <c r="K111" s="7">
        <v>0.39393939393939392</v>
      </c>
      <c r="L111" s="5">
        <v>-1</v>
      </c>
      <c r="M111" s="7">
        <v>0.90909090909090906</v>
      </c>
      <c r="N111" s="7">
        <v>3.03030303030303E-2</v>
      </c>
      <c r="O111" s="5">
        <v>-1</v>
      </c>
    </row>
    <row r="112" spans="1:15" x14ac:dyDescent="0.25">
      <c r="A112" s="8">
        <v>46211</v>
      </c>
      <c r="B112" s="9">
        <v>0</v>
      </c>
      <c r="C112" s="9">
        <v>31</v>
      </c>
      <c r="D112" s="9">
        <v>0</v>
      </c>
      <c r="E112" s="9">
        <v>13</v>
      </c>
      <c r="F112" s="9">
        <v>1</v>
      </c>
      <c r="G112" s="9">
        <v>0</v>
      </c>
      <c r="H112" s="9">
        <v>31</v>
      </c>
      <c r="I112" s="9">
        <v>1</v>
      </c>
      <c r="J112" s="10">
        <v>0.93939393939393945</v>
      </c>
      <c r="K112" s="10">
        <v>0.39393939393939392</v>
      </c>
      <c r="L112" s="9">
        <v>-1</v>
      </c>
      <c r="M112" s="10">
        <v>0.93939393939393945</v>
      </c>
      <c r="N112" s="10">
        <v>3.03030303030303E-2</v>
      </c>
      <c r="O112" s="9">
        <v>-1</v>
      </c>
    </row>
    <row r="113" spans="1:15" x14ac:dyDescent="0.25">
      <c r="A113" s="6">
        <v>46212</v>
      </c>
      <c r="B113" s="5">
        <v>0</v>
      </c>
      <c r="C113" s="5">
        <v>31</v>
      </c>
      <c r="D113" s="5">
        <v>0</v>
      </c>
      <c r="F113" s="5">
        <v>0</v>
      </c>
      <c r="G113" s="5">
        <v>0</v>
      </c>
      <c r="H113" s="5">
        <v>31</v>
      </c>
      <c r="J113" s="7">
        <v>0.93939393939393945</v>
      </c>
      <c r="K113" s="7">
        <v>0.39393939393939392</v>
      </c>
      <c r="L113" s="5">
        <v>-1</v>
      </c>
      <c r="M113" s="7">
        <v>0.93939393939393945</v>
      </c>
      <c r="N113" s="7">
        <v>3.03030303030303E-2</v>
      </c>
      <c r="O113" s="5">
        <v>-1</v>
      </c>
    </row>
    <row r="114" spans="1:15" x14ac:dyDescent="0.25">
      <c r="A114" s="6">
        <v>46213</v>
      </c>
      <c r="B114" s="5">
        <v>0</v>
      </c>
      <c r="C114" s="5">
        <v>31</v>
      </c>
      <c r="D114" s="5">
        <v>0</v>
      </c>
      <c r="F114" s="5">
        <v>0</v>
      </c>
      <c r="G114" s="5">
        <v>0</v>
      </c>
      <c r="H114" s="5">
        <v>31</v>
      </c>
      <c r="J114" s="7">
        <v>0.93939393939393945</v>
      </c>
      <c r="K114" s="7">
        <v>0.39393939393939392</v>
      </c>
      <c r="L114" s="5">
        <v>-1</v>
      </c>
      <c r="M114" s="7">
        <v>0.93939393939393945</v>
      </c>
      <c r="N114" s="7">
        <v>3.03030303030303E-2</v>
      </c>
      <c r="O114" s="5">
        <v>-1</v>
      </c>
    </row>
    <row r="115" spans="1:15" x14ac:dyDescent="0.25">
      <c r="A115" s="6">
        <v>46214</v>
      </c>
      <c r="B115" s="5">
        <v>0</v>
      </c>
      <c r="C115" s="5">
        <v>31</v>
      </c>
      <c r="D115" s="5">
        <v>0</v>
      </c>
      <c r="F115" s="5">
        <v>0</v>
      </c>
      <c r="G115" s="5">
        <v>0</v>
      </c>
      <c r="H115" s="5">
        <v>31</v>
      </c>
      <c r="J115" s="7">
        <v>0.93939393939393945</v>
      </c>
      <c r="K115" s="7">
        <v>0.39393939393939392</v>
      </c>
      <c r="L115" s="5">
        <v>-1</v>
      </c>
      <c r="M115" s="7">
        <v>0.93939393939393945</v>
      </c>
      <c r="N115" s="7">
        <v>3.03030303030303E-2</v>
      </c>
      <c r="O115" s="5">
        <v>-1</v>
      </c>
    </row>
    <row r="116" spans="1:15" x14ac:dyDescent="0.25">
      <c r="A116" s="6">
        <v>46215</v>
      </c>
      <c r="B116" s="5">
        <v>0</v>
      </c>
      <c r="C116" s="5">
        <v>31</v>
      </c>
      <c r="D116" s="5">
        <v>0</v>
      </c>
      <c r="F116" s="5">
        <v>0</v>
      </c>
      <c r="G116" s="5">
        <v>0</v>
      </c>
      <c r="H116" s="5">
        <v>31</v>
      </c>
      <c r="J116" s="7">
        <v>0.93939393939393945</v>
      </c>
      <c r="K116" s="7">
        <v>0.39393939393939392</v>
      </c>
      <c r="L116" s="5">
        <v>-1</v>
      </c>
      <c r="M116" s="7">
        <v>0.93939393939393945</v>
      </c>
      <c r="N116" s="7">
        <v>3.03030303030303E-2</v>
      </c>
      <c r="O116" s="5">
        <v>-1</v>
      </c>
    </row>
    <row r="117" spans="1:15" x14ac:dyDescent="0.25">
      <c r="A117" s="6">
        <v>46216</v>
      </c>
      <c r="B117" s="5">
        <v>0</v>
      </c>
      <c r="C117" s="5">
        <v>31</v>
      </c>
      <c r="D117" s="5">
        <v>0</v>
      </c>
      <c r="F117" s="5">
        <v>0</v>
      </c>
      <c r="G117" s="5">
        <v>0</v>
      </c>
      <c r="H117" s="5">
        <v>31</v>
      </c>
      <c r="J117" s="7">
        <v>0.93939393939393945</v>
      </c>
      <c r="K117" s="7">
        <v>0.39393939393939392</v>
      </c>
      <c r="L117" s="5">
        <v>-1</v>
      </c>
      <c r="M117" s="7">
        <v>0.93939393939393945</v>
      </c>
      <c r="N117" s="7">
        <v>3.03030303030303E-2</v>
      </c>
      <c r="O117" s="5">
        <v>-1</v>
      </c>
    </row>
    <row r="118" spans="1:15" x14ac:dyDescent="0.25">
      <c r="A118" s="6">
        <v>46217</v>
      </c>
      <c r="B118" s="5">
        <v>0</v>
      </c>
      <c r="C118" s="5">
        <v>31</v>
      </c>
      <c r="D118" s="5">
        <v>0</v>
      </c>
      <c r="F118" s="5">
        <v>0</v>
      </c>
      <c r="G118" s="5">
        <v>0</v>
      </c>
      <c r="H118" s="5">
        <v>31</v>
      </c>
      <c r="J118" s="7">
        <v>0.93939393939393945</v>
      </c>
      <c r="K118" s="7">
        <v>0.39393939393939392</v>
      </c>
      <c r="L118" s="5">
        <v>-1</v>
      </c>
      <c r="M118" s="7">
        <v>0.93939393939393945</v>
      </c>
      <c r="N118" s="7">
        <v>3.03030303030303E-2</v>
      </c>
      <c r="O118" s="5">
        <v>-1</v>
      </c>
    </row>
    <row r="119" spans="1:15" x14ac:dyDescent="0.25">
      <c r="A119" s="6">
        <v>46218</v>
      </c>
      <c r="B119" s="5">
        <v>0</v>
      </c>
      <c r="C119" s="5">
        <v>31</v>
      </c>
      <c r="D119" s="5">
        <v>0</v>
      </c>
      <c r="F119" s="5">
        <v>0</v>
      </c>
      <c r="G119" s="5">
        <v>0</v>
      </c>
      <c r="H119" s="5">
        <v>31</v>
      </c>
      <c r="J119" s="7">
        <v>0.93939393939393945</v>
      </c>
      <c r="K119" s="7">
        <v>0.39393939393939392</v>
      </c>
      <c r="L119" s="5">
        <v>-1</v>
      </c>
      <c r="M119" s="7">
        <v>0.93939393939393945</v>
      </c>
      <c r="N119" s="7">
        <v>3.03030303030303E-2</v>
      </c>
      <c r="O119" s="5">
        <v>-1</v>
      </c>
    </row>
    <row r="120" spans="1:15" x14ac:dyDescent="0.25">
      <c r="A120" s="6">
        <v>46219</v>
      </c>
      <c r="B120" s="5">
        <v>0</v>
      </c>
      <c r="C120" s="5">
        <v>31</v>
      </c>
      <c r="D120" s="5">
        <v>0</v>
      </c>
      <c r="F120" s="5">
        <v>0</v>
      </c>
      <c r="G120" s="5">
        <v>0</v>
      </c>
      <c r="H120" s="5">
        <v>31</v>
      </c>
      <c r="J120" s="7">
        <v>0.93939393939393945</v>
      </c>
      <c r="K120" s="7">
        <v>0.39393939393939392</v>
      </c>
      <c r="L120" s="5">
        <v>-1</v>
      </c>
      <c r="M120" s="7">
        <v>0.93939393939393945</v>
      </c>
      <c r="N120" s="7">
        <v>3.03030303030303E-2</v>
      </c>
      <c r="O120" s="5">
        <v>-1</v>
      </c>
    </row>
    <row r="121" spans="1:15" x14ac:dyDescent="0.25">
      <c r="A121" s="6">
        <v>46220</v>
      </c>
      <c r="B121" s="5">
        <v>0</v>
      </c>
      <c r="C121" s="5">
        <v>31</v>
      </c>
      <c r="D121" s="5">
        <v>0</v>
      </c>
      <c r="F121" s="5">
        <v>0</v>
      </c>
      <c r="G121" s="5">
        <v>0</v>
      </c>
      <c r="H121" s="5">
        <v>31</v>
      </c>
      <c r="J121" s="7">
        <v>0.93939393939393945</v>
      </c>
      <c r="K121" s="7">
        <v>0.39393939393939392</v>
      </c>
      <c r="L121" s="5">
        <v>-1</v>
      </c>
      <c r="M121" s="7">
        <v>0.93939393939393945</v>
      </c>
      <c r="N121" s="7">
        <v>3.03030303030303E-2</v>
      </c>
      <c r="O121" s="5">
        <v>-1</v>
      </c>
    </row>
    <row r="122" spans="1:15" x14ac:dyDescent="0.25">
      <c r="A122" s="6">
        <v>46221</v>
      </c>
      <c r="B122" s="5">
        <v>0</v>
      </c>
      <c r="C122" s="5">
        <v>31</v>
      </c>
      <c r="D122" s="5">
        <v>0</v>
      </c>
      <c r="F122" s="5">
        <v>0</v>
      </c>
      <c r="G122" s="5">
        <v>0</v>
      </c>
      <c r="H122" s="5">
        <v>31</v>
      </c>
      <c r="J122" s="7">
        <v>0.93939393939393945</v>
      </c>
      <c r="K122" s="7">
        <v>0.39393939393939392</v>
      </c>
      <c r="L122" s="5">
        <v>-1</v>
      </c>
      <c r="M122" s="7">
        <v>0.93939393939393945</v>
      </c>
      <c r="N122" s="7">
        <v>3.03030303030303E-2</v>
      </c>
      <c r="O122" s="5">
        <v>-1</v>
      </c>
    </row>
    <row r="123" spans="1:15" x14ac:dyDescent="0.25">
      <c r="A123" s="6">
        <v>46222</v>
      </c>
      <c r="B123" s="5">
        <v>0</v>
      </c>
      <c r="C123" s="5">
        <v>31</v>
      </c>
      <c r="D123" s="5">
        <v>0</v>
      </c>
      <c r="F123" s="5">
        <v>0</v>
      </c>
      <c r="G123" s="5">
        <v>0</v>
      </c>
      <c r="H123" s="5">
        <v>31</v>
      </c>
      <c r="J123" s="7">
        <v>0.93939393939393945</v>
      </c>
      <c r="K123" s="7">
        <v>0.39393939393939392</v>
      </c>
      <c r="L123" s="5">
        <v>-1</v>
      </c>
      <c r="M123" s="7">
        <v>0.93939393939393945</v>
      </c>
      <c r="N123" s="7">
        <v>3.03030303030303E-2</v>
      </c>
      <c r="O123" s="5">
        <v>-1</v>
      </c>
    </row>
    <row r="124" spans="1:15" x14ac:dyDescent="0.25">
      <c r="A124" s="6">
        <v>46223</v>
      </c>
      <c r="B124" s="5">
        <v>0</v>
      </c>
      <c r="C124" s="5">
        <v>31</v>
      </c>
      <c r="D124" s="5">
        <v>0</v>
      </c>
      <c r="F124" s="5">
        <v>0</v>
      </c>
      <c r="G124" s="5">
        <v>0</v>
      </c>
      <c r="H124" s="5">
        <v>31</v>
      </c>
      <c r="J124" s="7">
        <v>0.93939393939393945</v>
      </c>
      <c r="K124" s="7">
        <v>0.39393939393939392</v>
      </c>
      <c r="L124" s="5">
        <v>-1</v>
      </c>
      <c r="M124" s="7">
        <v>0.93939393939393945</v>
      </c>
      <c r="N124" s="7">
        <v>3.03030303030303E-2</v>
      </c>
      <c r="O124" s="5">
        <v>-1</v>
      </c>
    </row>
    <row r="125" spans="1:15" x14ac:dyDescent="0.25">
      <c r="A125" s="6">
        <v>46224</v>
      </c>
      <c r="B125" s="5">
        <v>0</v>
      </c>
      <c r="C125" s="5">
        <v>31</v>
      </c>
      <c r="D125" s="5">
        <v>0</v>
      </c>
      <c r="F125" s="5">
        <v>0</v>
      </c>
      <c r="G125" s="5">
        <v>0</v>
      </c>
      <c r="H125" s="5">
        <v>31</v>
      </c>
      <c r="J125" s="7">
        <v>0.93939393939393945</v>
      </c>
      <c r="K125" s="7">
        <v>0.39393939393939392</v>
      </c>
      <c r="L125" s="5">
        <v>-1</v>
      </c>
      <c r="M125" s="7">
        <v>0.93939393939393945</v>
      </c>
      <c r="N125" s="7">
        <v>3.03030303030303E-2</v>
      </c>
      <c r="O125" s="5">
        <v>-1</v>
      </c>
    </row>
    <row r="126" spans="1:15" x14ac:dyDescent="0.25">
      <c r="A126" s="6">
        <v>46225</v>
      </c>
      <c r="B126" s="5">
        <v>1</v>
      </c>
      <c r="C126" s="5">
        <v>32</v>
      </c>
      <c r="D126" s="5">
        <v>0</v>
      </c>
      <c r="F126" s="5">
        <v>0</v>
      </c>
      <c r="G126" s="5">
        <v>0</v>
      </c>
      <c r="H126" s="5">
        <v>31</v>
      </c>
      <c r="J126" s="7">
        <v>0.96969696969696972</v>
      </c>
      <c r="K126" s="7">
        <v>0.39393939393939392</v>
      </c>
      <c r="L126" s="5">
        <v>-1</v>
      </c>
      <c r="M126" s="7">
        <v>0.93939393939393945</v>
      </c>
      <c r="N126" s="7">
        <v>3.03030303030303E-2</v>
      </c>
      <c r="O126" s="5">
        <v>-1</v>
      </c>
    </row>
    <row r="127" spans="1:15" x14ac:dyDescent="0.25">
      <c r="A127" s="6">
        <v>46226</v>
      </c>
      <c r="B127" s="5">
        <v>0</v>
      </c>
      <c r="C127" s="5">
        <v>32</v>
      </c>
      <c r="D127" s="5">
        <v>0</v>
      </c>
      <c r="F127" s="5">
        <v>0</v>
      </c>
      <c r="G127" s="5">
        <v>0</v>
      </c>
      <c r="H127" s="5">
        <v>31</v>
      </c>
      <c r="J127" s="7">
        <v>0.96969696969696972</v>
      </c>
      <c r="K127" s="7">
        <v>0.39393939393939392</v>
      </c>
      <c r="L127" s="5">
        <v>-1</v>
      </c>
      <c r="M127" s="7">
        <v>0.93939393939393945</v>
      </c>
      <c r="N127" s="7">
        <v>3.03030303030303E-2</v>
      </c>
      <c r="O127" s="5">
        <v>-1</v>
      </c>
    </row>
    <row r="128" spans="1:15" x14ac:dyDescent="0.25">
      <c r="A128" s="6">
        <v>46227</v>
      </c>
      <c r="B128" s="5">
        <v>0</v>
      </c>
      <c r="C128" s="5">
        <v>32</v>
      </c>
      <c r="D128" s="5">
        <v>0</v>
      </c>
      <c r="F128" s="5">
        <v>0</v>
      </c>
      <c r="G128" s="5">
        <v>0</v>
      </c>
      <c r="H128" s="5">
        <v>31</v>
      </c>
      <c r="J128" s="7">
        <v>0.96969696969696972</v>
      </c>
      <c r="K128" s="7">
        <v>0.39393939393939392</v>
      </c>
      <c r="L128" s="5">
        <v>-1</v>
      </c>
      <c r="M128" s="7">
        <v>0.93939393939393945</v>
      </c>
      <c r="N128" s="7">
        <v>3.03030303030303E-2</v>
      </c>
      <c r="O128" s="5">
        <v>-1</v>
      </c>
    </row>
    <row r="129" spans="1:15" x14ac:dyDescent="0.25">
      <c r="A129" s="6">
        <v>46228</v>
      </c>
      <c r="B129" s="5">
        <v>0</v>
      </c>
      <c r="C129" s="5">
        <v>32</v>
      </c>
      <c r="D129" s="5">
        <v>0</v>
      </c>
      <c r="F129" s="5">
        <v>0</v>
      </c>
      <c r="G129" s="5">
        <v>0</v>
      </c>
      <c r="H129" s="5">
        <v>31</v>
      </c>
      <c r="J129" s="7">
        <v>0.96969696969696972</v>
      </c>
      <c r="K129" s="7">
        <v>0.39393939393939392</v>
      </c>
      <c r="L129" s="5">
        <v>-1</v>
      </c>
      <c r="M129" s="7">
        <v>0.93939393939393945</v>
      </c>
      <c r="N129" s="7">
        <v>3.03030303030303E-2</v>
      </c>
      <c r="O129" s="5">
        <v>-1</v>
      </c>
    </row>
    <row r="130" spans="1:15" x14ac:dyDescent="0.25">
      <c r="A130" s="6">
        <v>46229</v>
      </c>
      <c r="B130" s="5">
        <v>0</v>
      </c>
      <c r="C130" s="5">
        <v>32</v>
      </c>
      <c r="D130" s="5">
        <v>0</v>
      </c>
      <c r="F130" s="5">
        <v>0</v>
      </c>
      <c r="G130" s="5">
        <v>0</v>
      </c>
      <c r="H130" s="5">
        <v>31</v>
      </c>
      <c r="J130" s="7">
        <v>0.96969696969696972</v>
      </c>
      <c r="K130" s="7">
        <v>0.39393939393939392</v>
      </c>
      <c r="L130" s="5">
        <v>-1</v>
      </c>
      <c r="M130" s="7">
        <v>0.93939393939393945</v>
      </c>
      <c r="N130" s="7">
        <v>3.03030303030303E-2</v>
      </c>
      <c r="O130" s="5">
        <v>-1</v>
      </c>
    </row>
    <row r="131" spans="1:15" x14ac:dyDescent="0.25">
      <c r="A131" s="6">
        <v>46230</v>
      </c>
      <c r="B131" s="5">
        <v>0</v>
      </c>
      <c r="C131" s="5">
        <v>32</v>
      </c>
      <c r="D131" s="5">
        <v>0</v>
      </c>
      <c r="F131" s="5">
        <v>0</v>
      </c>
      <c r="G131" s="5">
        <v>0</v>
      </c>
      <c r="H131" s="5">
        <v>31</v>
      </c>
      <c r="J131" s="7">
        <v>0.96969696969696972</v>
      </c>
      <c r="K131" s="7">
        <v>0.39393939393939392</v>
      </c>
      <c r="L131" s="5">
        <v>-1</v>
      </c>
      <c r="M131" s="7">
        <v>0.93939393939393945</v>
      </c>
      <c r="N131" s="7">
        <v>3.03030303030303E-2</v>
      </c>
      <c r="O131" s="5">
        <v>-1</v>
      </c>
    </row>
    <row r="132" spans="1:15" x14ac:dyDescent="0.25">
      <c r="A132" s="6">
        <v>46231</v>
      </c>
      <c r="B132" s="5">
        <v>0</v>
      </c>
      <c r="C132" s="5">
        <v>32</v>
      </c>
      <c r="D132" s="5">
        <v>0</v>
      </c>
      <c r="F132" s="5">
        <v>1</v>
      </c>
      <c r="G132" s="5">
        <v>0</v>
      </c>
      <c r="H132" s="5">
        <v>32</v>
      </c>
      <c r="J132" s="7">
        <v>0.96969696969696972</v>
      </c>
      <c r="K132" s="7">
        <v>0.39393939393939392</v>
      </c>
      <c r="L132" s="5">
        <v>-1</v>
      </c>
      <c r="M132" s="7">
        <v>0.96969696969696972</v>
      </c>
      <c r="N132" s="7">
        <v>3.03030303030303E-2</v>
      </c>
      <c r="O132" s="5">
        <v>-1</v>
      </c>
    </row>
    <row r="133" spans="1:15" x14ac:dyDescent="0.25">
      <c r="A133" s="6">
        <v>46232</v>
      </c>
      <c r="B133" s="5">
        <v>0</v>
      </c>
      <c r="C133" s="5">
        <v>32</v>
      </c>
      <c r="D133" s="5">
        <v>0</v>
      </c>
      <c r="F133" s="5">
        <v>0</v>
      </c>
      <c r="G133" s="5">
        <v>0</v>
      </c>
      <c r="H133" s="5">
        <v>32</v>
      </c>
      <c r="J133" s="7">
        <v>0.96969696969696972</v>
      </c>
      <c r="K133" s="7">
        <v>0.39393939393939392</v>
      </c>
      <c r="L133" s="5">
        <v>-1</v>
      </c>
      <c r="M133" s="7">
        <v>0.96969696969696972</v>
      </c>
      <c r="N133" s="7">
        <v>3.03030303030303E-2</v>
      </c>
      <c r="O133" s="5">
        <v>-1</v>
      </c>
    </row>
    <row r="134" spans="1:15" x14ac:dyDescent="0.25">
      <c r="A134" s="6">
        <v>46233</v>
      </c>
      <c r="B134" s="5">
        <v>0</v>
      </c>
      <c r="C134" s="5">
        <v>32</v>
      </c>
      <c r="D134" s="5">
        <v>0</v>
      </c>
      <c r="F134" s="5">
        <v>0</v>
      </c>
      <c r="G134" s="5">
        <v>0</v>
      </c>
      <c r="H134" s="5">
        <v>32</v>
      </c>
      <c r="J134" s="7">
        <v>0.96969696969696972</v>
      </c>
      <c r="K134" s="7">
        <v>0.39393939393939392</v>
      </c>
      <c r="L134" s="5">
        <v>-1</v>
      </c>
      <c r="M134" s="7">
        <v>0.96969696969696972</v>
      </c>
      <c r="N134" s="7">
        <v>3.03030303030303E-2</v>
      </c>
      <c r="O134" s="5">
        <v>-1</v>
      </c>
    </row>
    <row r="135" spans="1:15" x14ac:dyDescent="0.25">
      <c r="A135" s="6">
        <v>46234</v>
      </c>
      <c r="B135" s="5">
        <v>0</v>
      </c>
      <c r="C135" s="5">
        <v>32</v>
      </c>
      <c r="D135" s="5">
        <v>0</v>
      </c>
      <c r="F135" s="5">
        <v>0</v>
      </c>
      <c r="G135" s="5">
        <v>0</v>
      </c>
      <c r="H135" s="5">
        <v>32</v>
      </c>
      <c r="J135" s="7">
        <v>0.96969696969696972</v>
      </c>
      <c r="K135" s="7">
        <v>0.39393939393939392</v>
      </c>
      <c r="L135" s="5">
        <v>-1</v>
      </c>
      <c r="M135" s="7">
        <v>0.96969696969696972</v>
      </c>
      <c r="N135" s="7">
        <v>3.03030303030303E-2</v>
      </c>
      <c r="O135" s="5">
        <v>-1</v>
      </c>
    </row>
    <row r="136" spans="1:15" x14ac:dyDescent="0.25">
      <c r="A136" s="6">
        <v>46235</v>
      </c>
      <c r="B136" s="5">
        <v>0</v>
      </c>
      <c r="C136" s="5">
        <v>32</v>
      </c>
      <c r="D136" s="5">
        <v>0</v>
      </c>
      <c r="F136" s="5">
        <v>0</v>
      </c>
      <c r="G136" s="5">
        <v>0</v>
      </c>
      <c r="H136" s="5">
        <v>32</v>
      </c>
      <c r="J136" s="7">
        <v>0.96969696969696972</v>
      </c>
      <c r="K136" s="7">
        <v>0.39393939393939392</v>
      </c>
      <c r="L136" s="5">
        <v>-1</v>
      </c>
      <c r="M136" s="7">
        <v>0.96969696969696972</v>
      </c>
      <c r="N136" s="7">
        <v>3.03030303030303E-2</v>
      </c>
      <c r="O136" s="5">
        <v>-1</v>
      </c>
    </row>
    <row r="137" spans="1:15" x14ac:dyDescent="0.25">
      <c r="A137" s="6">
        <v>46236</v>
      </c>
      <c r="B137" s="5">
        <v>0</v>
      </c>
      <c r="C137" s="5">
        <v>32</v>
      </c>
      <c r="D137" s="5">
        <v>0</v>
      </c>
      <c r="F137" s="5">
        <v>0</v>
      </c>
      <c r="G137" s="5">
        <v>0</v>
      </c>
      <c r="H137" s="5">
        <v>32</v>
      </c>
      <c r="J137" s="7">
        <v>0.96969696969696972</v>
      </c>
      <c r="K137" s="7">
        <v>0.39393939393939392</v>
      </c>
      <c r="L137" s="5">
        <v>-1</v>
      </c>
      <c r="M137" s="7">
        <v>0.96969696969696972</v>
      </c>
      <c r="N137" s="7">
        <v>3.03030303030303E-2</v>
      </c>
      <c r="O137" s="5">
        <v>-1</v>
      </c>
    </row>
    <row r="138" spans="1:15" x14ac:dyDescent="0.25">
      <c r="A138" s="6">
        <v>46237</v>
      </c>
      <c r="B138" s="5">
        <v>0</v>
      </c>
      <c r="C138" s="5">
        <v>32</v>
      </c>
      <c r="D138" s="5">
        <v>0</v>
      </c>
      <c r="F138" s="5">
        <v>0</v>
      </c>
      <c r="G138" s="5">
        <v>0</v>
      </c>
      <c r="H138" s="5">
        <v>32</v>
      </c>
      <c r="J138" s="7">
        <v>0.96969696969696972</v>
      </c>
      <c r="K138" s="7">
        <v>0.39393939393939392</v>
      </c>
      <c r="L138" s="5">
        <v>-1</v>
      </c>
      <c r="M138" s="7">
        <v>0.96969696969696972</v>
      </c>
      <c r="N138" s="7">
        <v>3.03030303030303E-2</v>
      </c>
      <c r="O138" s="5">
        <v>-1</v>
      </c>
    </row>
    <row r="139" spans="1:15" x14ac:dyDescent="0.25">
      <c r="A139" s="6">
        <v>46238</v>
      </c>
      <c r="B139" s="5">
        <v>0</v>
      </c>
      <c r="C139" s="5">
        <v>32</v>
      </c>
      <c r="D139" s="5">
        <v>0</v>
      </c>
      <c r="F139" s="5">
        <v>0</v>
      </c>
      <c r="G139" s="5">
        <v>0</v>
      </c>
      <c r="H139" s="5">
        <v>32</v>
      </c>
      <c r="J139" s="7">
        <v>0.96969696969696972</v>
      </c>
      <c r="K139" s="7">
        <v>0.39393939393939392</v>
      </c>
      <c r="L139" s="5">
        <v>-1</v>
      </c>
      <c r="M139" s="7">
        <v>0.96969696969696972</v>
      </c>
      <c r="N139" s="7">
        <v>3.03030303030303E-2</v>
      </c>
      <c r="O139" s="5">
        <v>-1</v>
      </c>
    </row>
    <row r="140" spans="1:15" x14ac:dyDescent="0.25">
      <c r="A140" s="6">
        <v>46239</v>
      </c>
      <c r="B140" s="5">
        <v>0</v>
      </c>
      <c r="C140" s="5">
        <v>32</v>
      </c>
      <c r="D140" s="5">
        <v>0</v>
      </c>
      <c r="F140" s="5">
        <v>0</v>
      </c>
      <c r="G140" s="5">
        <v>0</v>
      </c>
      <c r="H140" s="5">
        <v>32</v>
      </c>
      <c r="J140" s="7">
        <v>0.96969696969696972</v>
      </c>
      <c r="K140" s="7">
        <v>0.39393939393939392</v>
      </c>
      <c r="L140" s="5">
        <v>-1</v>
      </c>
      <c r="M140" s="7">
        <v>0.96969696969696972</v>
      </c>
      <c r="N140" s="7">
        <v>3.03030303030303E-2</v>
      </c>
      <c r="O140" s="5">
        <v>-1</v>
      </c>
    </row>
    <row r="141" spans="1:15" x14ac:dyDescent="0.25">
      <c r="A141" s="6">
        <v>46240</v>
      </c>
      <c r="B141" s="5">
        <v>0</v>
      </c>
      <c r="C141" s="5">
        <v>32</v>
      </c>
      <c r="D141" s="5">
        <v>0</v>
      </c>
      <c r="F141" s="5">
        <v>0</v>
      </c>
      <c r="G141" s="5">
        <v>0</v>
      </c>
      <c r="H141" s="5">
        <v>32</v>
      </c>
      <c r="J141" s="7">
        <v>0.96969696969696972</v>
      </c>
      <c r="K141" s="7">
        <v>0.39393939393939392</v>
      </c>
      <c r="L141" s="5">
        <v>-1</v>
      </c>
      <c r="M141" s="7">
        <v>0.96969696969696972</v>
      </c>
      <c r="N141" s="7">
        <v>3.03030303030303E-2</v>
      </c>
      <c r="O141" s="5">
        <v>-1</v>
      </c>
    </row>
    <row r="142" spans="1:15" x14ac:dyDescent="0.25">
      <c r="A142" s="6">
        <v>46241</v>
      </c>
      <c r="B142" s="5">
        <v>0</v>
      </c>
      <c r="C142" s="5">
        <v>32</v>
      </c>
      <c r="D142" s="5">
        <v>0</v>
      </c>
      <c r="F142" s="5">
        <v>0</v>
      </c>
      <c r="G142" s="5">
        <v>0</v>
      </c>
      <c r="H142" s="5">
        <v>32</v>
      </c>
      <c r="J142" s="7">
        <v>0.96969696969696972</v>
      </c>
      <c r="K142" s="7">
        <v>0.39393939393939392</v>
      </c>
      <c r="L142" s="5">
        <v>-1</v>
      </c>
      <c r="M142" s="7">
        <v>0.96969696969696972</v>
      </c>
      <c r="N142" s="7">
        <v>3.03030303030303E-2</v>
      </c>
      <c r="O142" s="5">
        <v>-1</v>
      </c>
    </row>
    <row r="143" spans="1:15" x14ac:dyDescent="0.25">
      <c r="A143" s="6">
        <v>46242</v>
      </c>
      <c r="B143" s="5">
        <v>0</v>
      </c>
      <c r="C143" s="5">
        <v>32</v>
      </c>
      <c r="D143" s="5">
        <v>0</v>
      </c>
      <c r="F143" s="5">
        <v>0</v>
      </c>
      <c r="G143" s="5">
        <v>0</v>
      </c>
      <c r="H143" s="5">
        <v>32</v>
      </c>
      <c r="J143" s="7">
        <v>0.96969696969696972</v>
      </c>
      <c r="K143" s="7">
        <v>0.39393939393939392</v>
      </c>
      <c r="L143" s="5">
        <v>-1</v>
      </c>
      <c r="M143" s="7">
        <v>0.96969696969696972</v>
      </c>
      <c r="N143" s="7">
        <v>3.03030303030303E-2</v>
      </c>
      <c r="O143" s="5">
        <v>-1</v>
      </c>
    </row>
    <row r="144" spans="1:15" x14ac:dyDescent="0.25">
      <c r="A144" s="6">
        <v>46243</v>
      </c>
      <c r="B144" s="5">
        <v>0</v>
      </c>
      <c r="C144" s="5">
        <v>32</v>
      </c>
      <c r="D144" s="5">
        <v>0</v>
      </c>
      <c r="F144" s="5">
        <v>0</v>
      </c>
      <c r="G144" s="5">
        <v>0</v>
      </c>
      <c r="H144" s="5">
        <v>32</v>
      </c>
      <c r="J144" s="7">
        <v>0.96969696969696972</v>
      </c>
      <c r="K144" s="7">
        <v>0.39393939393939392</v>
      </c>
      <c r="L144" s="5">
        <v>-1</v>
      </c>
      <c r="M144" s="7">
        <v>0.96969696969696972</v>
      </c>
      <c r="N144" s="7">
        <v>3.03030303030303E-2</v>
      </c>
      <c r="O144" s="5">
        <v>-1</v>
      </c>
    </row>
    <row r="145" spans="1:15" x14ac:dyDescent="0.25">
      <c r="A145" s="6">
        <v>46244</v>
      </c>
      <c r="B145" s="5">
        <v>0</v>
      </c>
      <c r="C145" s="5">
        <v>32</v>
      </c>
      <c r="D145" s="5">
        <v>0</v>
      </c>
      <c r="F145" s="5">
        <v>0</v>
      </c>
      <c r="G145" s="5">
        <v>0</v>
      </c>
      <c r="H145" s="5">
        <v>32</v>
      </c>
      <c r="J145" s="7">
        <v>0.96969696969696972</v>
      </c>
      <c r="K145" s="7">
        <v>0.39393939393939392</v>
      </c>
      <c r="L145" s="5">
        <v>-1</v>
      </c>
      <c r="M145" s="7">
        <v>0.96969696969696972</v>
      </c>
      <c r="N145" s="7">
        <v>3.03030303030303E-2</v>
      </c>
      <c r="O145" s="5">
        <v>-1</v>
      </c>
    </row>
    <row r="146" spans="1:15" x14ac:dyDescent="0.25">
      <c r="A146" s="6">
        <v>46245</v>
      </c>
      <c r="B146" s="5">
        <v>0</v>
      </c>
      <c r="C146" s="5">
        <v>32</v>
      </c>
      <c r="D146" s="5">
        <v>0</v>
      </c>
      <c r="F146" s="5">
        <v>0</v>
      </c>
      <c r="G146" s="5">
        <v>0</v>
      </c>
      <c r="H146" s="5">
        <v>32</v>
      </c>
      <c r="J146" s="7">
        <v>0.96969696969696972</v>
      </c>
      <c r="K146" s="7">
        <v>0.39393939393939392</v>
      </c>
      <c r="L146" s="5">
        <v>-1</v>
      </c>
      <c r="M146" s="7">
        <v>0.96969696969696972</v>
      </c>
      <c r="N146" s="7">
        <v>3.03030303030303E-2</v>
      </c>
      <c r="O146" s="5">
        <v>-1</v>
      </c>
    </row>
    <row r="147" spans="1:15" x14ac:dyDescent="0.25">
      <c r="A147" s="6">
        <v>46246</v>
      </c>
      <c r="B147" s="5">
        <v>0</v>
      </c>
      <c r="C147" s="5">
        <v>32</v>
      </c>
      <c r="D147" s="5">
        <v>0</v>
      </c>
      <c r="F147" s="5">
        <v>0</v>
      </c>
      <c r="G147" s="5">
        <v>0</v>
      </c>
      <c r="H147" s="5">
        <v>32</v>
      </c>
      <c r="J147" s="7">
        <v>0.96969696969696972</v>
      </c>
      <c r="K147" s="7">
        <v>0.39393939393939392</v>
      </c>
      <c r="L147" s="5">
        <v>-1</v>
      </c>
      <c r="M147" s="7">
        <v>0.96969696969696972</v>
      </c>
      <c r="N147" s="7">
        <v>3.03030303030303E-2</v>
      </c>
      <c r="O147" s="5">
        <v>-1</v>
      </c>
    </row>
    <row r="148" spans="1:15" x14ac:dyDescent="0.25">
      <c r="A148" s="6">
        <v>46247</v>
      </c>
      <c r="B148" s="5">
        <v>0</v>
      </c>
      <c r="C148" s="5">
        <v>32</v>
      </c>
      <c r="D148" s="5">
        <v>0</v>
      </c>
      <c r="F148" s="5">
        <v>0</v>
      </c>
      <c r="G148" s="5">
        <v>0</v>
      </c>
      <c r="H148" s="5">
        <v>32</v>
      </c>
      <c r="J148" s="7">
        <v>0.96969696969696972</v>
      </c>
      <c r="K148" s="7">
        <v>0.39393939393939392</v>
      </c>
      <c r="L148" s="5">
        <v>-1</v>
      </c>
      <c r="M148" s="7">
        <v>0.96969696969696972</v>
      </c>
      <c r="N148" s="7">
        <v>3.03030303030303E-2</v>
      </c>
      <c r="O148" s="5">
        <v>-1</v>
      </c>
    </row>
    <row r="149" spans="1:15" x14ac:dyDescent="0.25">
      <c r="A149" s="6">
        <v>46248</v>
      </c>
      <c r="B149" s="5">
        <v>0</v>
      </c>
      <c r="C149" s="5">
        <v>32</v>
      </c>
      <c r="D149" s="5">
        <v>0</v>
      </c>
      <c r="F149" s="5">
        <v>0</v>
      </c>
      <c r="G149" s="5">
        <v>0</v>
      </c>
      <c r="H149" s="5">
        <v>32</v>
      </c>
      <c r="J149" s="7">
        <v>0.96969696969696972</v>
      </c>
      <c r="K149" s="7">
        <v>0.39393939393939392</v>
      </c>
      <c r="L149" s="5">
        <v>-1</v>
      </c>
      <c r="M149" s="7">
        <v>0.96969696969696972</v>
      </c>
      <c r="N149" s="7">
        <v>3.03030303030303E-2</v>
      </c>
      <c r="O149" s="5">
        <v>-1</v>
      </c>
    </row>
    <row r="150" spans="1:15" x14ac:dyDescent="0.25">
      <c r="A150" s="6">
        <v>46249</v>
      </c>
      <c r="B150" s="5">
        <v>0</v>
      </c>
      <c r="C150" s="5">
        <v>32</v>
      </c>
      <c r="D150" s="5">
        <v>0</v>
      </c>
      <c r="F150" s="5">
        <v>0</v>
      </c>
      <c r="G150" s="5">
        <v>0</v>
      </c>
      <c r="H150" s="5">
        <v>32</v>
      </c>
      <c r="J150" s="7">
        <v>0.96969696969696972</v>
      </c>
      <c r="K150" s="7">
        <v>0.39393939393939392</v>
      </c>
      <c r="L150" s="5">
        <v>-1</v>
      </c>
      <c r="M150" s="7">
        <v>0.96969696969696972</v>
      </c>
      <c r="N150" s="7">
        <v>3.03030303030303E-2</v>
      </c>
      <c r="O150" s="5">
        <v>-1</v>
      </c>
    </row>
    <row r="151" spans="1:15" x14ac:dyDescent="0.25">
      <c r="A151" s="6">
        <v>46250</v>
      </c>
      <c r="B151" s="5">
        <v>0</v>
      </c>
      <c r="C151" s="5">
        <v>32</v>
      </c>
      <c r="D151" s="5">
        <v>0</v>
      </c>
      <c r="F151" s="5">
        <v>0</v>
      </c>
      <c r="G151" s="5">
        <v>0</v>
      </c>
      <c r="H151" s="5">
        <v>32</v>
      </c>
      <c r="J151" s="7">
        <v>0.96969696969696972</v>
      </c>
      <c r="K151" s="7">
        <v>0.39393939393939392</v>
      </c>
      <c r="L151" s="5">
        <v>-1</v>
      </c>
      <c r="M151" s="7">
        <v>0.96969696969696972</v>
      </c>
      <c r="N151" s="7">
        <v>3.03030303030303E-2</v>
      </c>
      <c r="O151" s="5">
        <v>-1</v>
      </c>
    </row>
    <row r="152" spans="1:15" x14ac:dyDescent="0.25">
      <c r="A152" s="6">
        <v>46251</v>
      </c>
      <c r="B152" s="5">
        <v>0</v>
      </c>
      <c r="C152" s="5">
        <v>32</v>
      </c>
      <c r="D152" s="5">
        <v>0</v>
      </c>
      <c r="F152" s="5">
        <v>0</v>
      </c>
      <c r="G152" s="5">
        <v>0</v>
      </c>
      <c r="H152" s="5">
        <v>32</v>
      </c>
      <c r="J152" s="7">
        <v>0.96969696969696972</v>
      </c>
      <c r="K152" s="7">
        <v>0.39393939393939392</v>
      </c>
      <c r="L152" s="5">
        <v>-1</v>
      </c>
      <c r="M152" s="7">
        <v>0.96969696969696972</v>
      </c>
      <c r="N152" s="7">
        <v>3.03030303030303E-2</v>
      </c>
      <c r="O152" s="5">
        <v>-1</v>
      </c>
    </row>
    <row r="153" spans="1:15" x14ac:dyDescent="0.25">
      <c r="A153" s="6">
        <v>46252</v>
      </c>
      <c r="B153" s="5">
        <v>0</v>
      </c>
      <c r="C153" s="5">
        <v>32</v>
      </c>
      <c r="D153" s="5">
        <v>0</v>
      </c>
      <c r="F153" s="5">
        <v>0</v>
      </c>
      <c r="G153" s="5">
        <v>0</v>
      </c>
      <c r="H153" s="5">
        <v>32</v>
      </c>
      <c r="J153" s="7">
        <v>0.96969696969696972</v>
      </c>
      <c r="K153" s="7">
        <v>0.39393939393939392</v>
      </c>
      <c r="L153" s="5">
        <v>-1</v>
      </c>
      <c r="M153" s="7">
        <v>0.96969696969696972</v>
      </c>
      <c r="N153" s="7">
        <v>3.03030303030303E-2</v>
      </c>
      <c r="O153" s="5">
        <v>-1</v>
      </c>
    </row>
    <row r="154" spans="1:15" x14ac:dyDescent="0.25">
      <c r="A154" s="6">
        <v>46253</v>
      </c>
      <c r="B154" s="5">
        <v>0</v>
      </c>
      <c r="C154" s="5">
        <v>32</v>
      </c>
      <c r="D154" s="5">
        <v>0</v>
      </c>
      <c r="F154" s="5">
        <v>0</v>
      </c>
      <c r="G154" s="5">
        <v>0</v>
      </c>
      <c r="H154" s="5">
        <v>32</v>
      </c>
      <c r="J154" s="7">
        <v>0.96969696969696972</v>
      </c>
      <c r="K154" s="7">
        <v>0.39393939393939392</v>
      </c>
      <c r="L154" s="5">
        <v>-1</v>
      </c>
      <c r="M154" s="7">
        <v>0.96969696969696972</v>
      </c>
      <c r="N154" s="7">
        <v>3.03030303030303E-2</v>
      </c>
      <c r="O154" s="5">
        <v>-1</v>
      </c>
    </row>
    <row r="155" spans="1:15" x14ac:dyDescent="0.25">
      <c r="A155" s="6">
        <v>46254</v>
      </c>
      <c r="B155" s="5">
        <v>0</v>
      </c>
      <c r="C155" s="5">
        <v>32</v>
      </c>
      <c r="D155" s="5">
        <v>0</v>
      </c>
      <c r="F155" s="5">
        <v>0</v>
      </c>
      <c r="G155" s="5">
        <v>0</v>
      </c>
      <c r="H155" s="5">
        <v>32</v>
      </c>
      <c r="J155" s="7">
        <v>0.96969696969696972</v>
      </c>
      <c r="K155" s="7">
        <v>0.39393939393939392</v>
      </c>
      <c r="L155" s="5">
        <v>-1</v>
      </c>
      <c r="M155" s="7">
        <v>0.96969696969696972</v>
      </c>
      <c r="N155" s="7">
        <v>3.03030303030303E-2</v>
      </c>
      <c r="O155" s="5">
        <v>-1</v>
      </c>
    </row>
    <row r="156" spans="1:15" x14ac:dyDescent="0.25">
      <c r="A156" s="6">
        <v>46255</v>
      </c>
      <c r="B156" s="5">
        <v>0</v>
      </c>
      <c r="C156" s="5">
        <v>32</v>
      </c>
      <c r="D156" s="5">
        <v>0</v>
      </c>
      <c r="F156" s="5">
        <v>0</v>
      </c>
      <c r="G156" s="5">
        <v>0</v>
      </c>
      <c r="H156" s="5">
        <v>32</v>
      </c>
      <c r="J156" s="7">
        <v>0.96969696969696972</v>
      </c>
      <c r="K156" s="7">
        <v>0.39393939393939392</v>
      </c>
      <c r="L156" s="5">
        <v>-1</v>
      </c>
      <c r="M156" s="7">
        <v>0.96969696969696972</v>
      </c>
      <c r="N156" s="7">
        <v>3.03030303030303E-2</v>
      </c>
      <c r="O156" s="5">
        <v>-1</v>
      </c>
    </row>
    <row r="157" spans="1:15" x14ac:dyDescent="0.25">
      <c r="A157" s="6">
        <v>46256</v>
      </c>
      <c r="B157" s="5">
        <v>0</v>
      </c>
      <c r="C157" s="5">
        <v>32</v>
      </c>
      <c r="D157" s="5">
        <v>0</v>
      </c>
      <c r="F157" s="5">
        <v>0</v>
      </c>
      <c r="G157" s="5">
        <v>0</v>
      </c>
      <c r="H157" s="5">
        <v>32</v>
      </c>
      <c r="J157" s="7">
        <v>0.96969696969696972</v>
      </c>
      <c r="K157" s="7">
        <v>0.39393939393939392</v>
      </c>
      <c r="L157" s="5">
        <v>-1</v>
      </c>
      <c r="M157" s="7">
        <v>0.96969696969696972</v>
      </c>
      <c r="N157" s="7">
        <v>3.03030303030303E-2</v>
      </c>
      <c r="O157" s="5">
        <v>-1</v>
      </c>
    </row>
    <row r="158" spans="1:15" x14ac:dyDescent="0.25">
      <c r="A158" s="6">
        <v>46257</v>
      </c>
      <c r="B158" s="5">
        <v>0</v>
      </c>
      <c r="C158" s="5">
        <v>32</v>
      </c>
      <c r="D158" s="5">
        <v>0</v>
      </c>
      <c r="F158" s="5">
        <v>0</v>
      </c>
      <c r="G158" s="5">
        <v>0</v>
      </c>
      <c r="H158" s="5">
        <v>32</v>
      </c>
      <c r="J158" s="7">
        <v>0.96969696969696972</v>
      </c>
      <c r="K158" s="7">
        <v>0.39393939393939392</v>
      </c>
      <c r="L158" s="5">
        <v>-1</v>
      </c>
      <c r="M158" s="7">
        <v>0.96969696969696972</v>
      </c>
      <c r="N158" s="7">
        <v>3.03030303030303E-2</v>
      </c>
      <c r="O158" s="5">
        <v>-1</v>
      </c>
    </row>
    <row r="159" spans="1:15" x14ac:dyDescent="0.25">
      <c r="A159" s="6">
        <v>46258</v>
      </c>
      <c r="B159" s="5">
        <v>0</v>
      </c>
      <c r="C159" s="5">
        <v>32</v>
      </c>
      <c r="D159" s="5">
        <v>0</v>
      </c>
      <c r="F159" s="5">
        <v>0</v>
      </c>
      <c r="G159" s="5">
        <v>0</v>
      </c>
      <c r="H159" s="5">
        <v>32</v>
      </c>
      <c r="J159" s="7">
        <v>0.96969696969696972</v>
      </c>
      <c r="K159" s="7">
        <v>0.39393939393939392</v>
      </c>
      <c r="L159" s="5">
        <v>-1</v>
      </c>
      <c r="M159" s="7">
        <v>0.96969696969696972</v>
      </c>
      <c r="N159" s="7">
        <v>3.03030303030303E-2</v>
      </c>
      <c r="O159" s="5">
        <v>-1</v>
      </c>
    </row>
    <row r="160" spans="1:15" x14ac:dyDescent="0.25">
      <c r="A160" s="6">
        <v>46259</v>
      </c>
      <c r="B160" s="5">
        <v>0</v>
      </c>
      <c r="C160" s="5">
        <v>32</v>
      </c>
      <c r="D160" s="5">
        <v>0</v>
      </c>
      <c r="F160" s="5">
        <v>0</v>
      </c>
      <c r="G160" s="5">
        <v>0</v>
      </c>
      <c r="H160" s="5">
        <v>32</v>
      </c>
      <c r="J160" s="7">
        <v>0.96969696969696972</v>
      </c>
      <c r="K160" s="7">
        <v>0.39393939393939392</v>
      </c>
      <c r="L160" s="5">
        <v>-1</v>
      </c>
      <c r="M160" s="7">
        <v>0.96969696969696972</v>
      </c>
      <c r="N160" s="7">
        <v>3.03030303030303E-2</v>
      </c>
      <c r="O160" s="5">
        <v>-1</v>
      </c>
    </row>
    <row r="161" spans="1:15" x14ac:dyDescent="0.25">
      <c r="A161" s="6">
        <v>46260</v>
      </c>
      <c r="B161" s="5">
        <v>0</v>
      </c>
      <c r="C161" s="5">
        <v>32</v>
      </c>
      <c r="D161" s="5">
        <v>0</v>
      </c>
      <c r="F161" s="5">
        <v>0</v>
      </c>
      <c r="G161" s="5">
        <v>0</v>
      </c>
      <c r="H161" s="5">
        <v>32</v>
      </c>
      <c r="J161" s="7">
        <v>0.96969696969696972</v>
      </c>
      <c r="K161" s="7">
        <v>0.39393939393939392</v>
      </c>
      <c r="L161" s="5">
        <v>-1</v>
      </c>
      <c r="M161" s="7">
        <v>0.96969696969696972</v>
      </c>
      <c r="N161" s="7">
        <v>3.03030303030303E-2</v>
      </c>
      <c r="O161" s="5">
        <v>-1</v>
      </c>
    </row>
    <row r="162" spans="1:15" x14ac:dyDescent="0.25">
      <c r="A162" s="6">
        <v>46261</v>
      </c>
      <c r="B162" s="5">
        <v>0</v>
      </c>
      <c r="C162" s="5">
        <v>32</v>
      </c>
      <c r="D162" s="5">
        <v>0</v>
      </c>
      <c r="F162" s="5">
        <v>0</v>
      </c>
      <c r="G162" s="5">
        <v>0</v>
      </c>
      <c r="H162" s="5">
        <v>32</v>
      </c>
      <c r="J162" s="7">
        <v>0.96969696969696972</v>
      </c>
      <c r="K162" s="7">
        <v>0.39393939393939392</v>
      </c>
      <c r="L162" s="5">
        <v>-1</v>
      </c>
      <c r="M162" s="7">
        <v>0.96969696969696972</v>
      </c>
      <c r="N162" s="7">
        <v>3.03030303030303E-2</v>
      </c>
      <c r="O162" s="5">
        <v>-1</v>
      </c>
    </row>
    <row r="163" spans="1:15" x14ac:dyDescent="0.25">
      <c r="A163" s="6">
        <v>46262</v>
      </c>
      <c r="B163" s="5">
        <v>0</v>
      </c>
      <c r="C163" s="5">
        <v>32</v>
      </c>
      <c r="D163" s="5">
        <v>0</v>
      </c>
      <c r="F163" s="5">
        <v>0</v>
      </c>
      <c r="G163" s="5">
        <v>0</v>
      </c>
      <c r="H163" s="5">
        <v>32</v>
      </c>
      <c r="J163" s="7">
        <v>0.96969696969696972</v>
      </c>
      <c r="K163" s="7">
        <v>0.39393939393939392</v>
      </c>
      <c r="L163" s="5">
        <v>-1</v>
      </c>
      <c r="M163" s="7">
        <v>0.96969696969696972</v>
      </c>
      <c r="N163" s="7">
        <v>3.03030303030303E-2</v>
      </c>
      <c r="O163" s="5">
        <v>-1</v>
      </c>
    </row>
    <row r="164" spans="1:15" x14ac:dyDescent="0.25">
      <c r="A164" s="6">
        <v>46263</v>
      </c>
      <c r="B164" s="5">
        <v>0</v>
      </c>
      <c r="C164" s="5">
        <v>32</v>
      </c>
      <c r="D164" s="5">
        <v>0</v>
      </c>
      <c r="F164" s="5">
        <v>0</v>
      </c>
      <c r="G164" s="5">
        <v>0</v>
      </c>
      <c r="H164" s="5">
        <v>32</v>
      </c>
      <c r="J164" s="7">
        <v>0.96969696969696972</v>
      </c>
      <c r="K164" s="7">
        <v>0.39393939393939392</v>
      </c>
      <c r="L164" s="5">
        <v>-1</v>
      </c>
      <c r="M164" s="7">
        <v>0.96969696969696972</v>
      </c>
      <c r="N164" s="7">
        <v>3.03030303030303E-2</v>
      </c>
      <c r="O164" s="5">
        <v>-1</v>
      </c>
    </row>
    <row r="165" spans="1:15" x14ac:dyDescent="0.25">
      <c r="A165" s="6">
        <v>46264</v>
      </c>
      <c r="B165" s="5">
        <v>0</v>
      </c>
      <c r="C165" s="5">
        <v>32</v>
      </c>
      <c r="D165" s="5">
        <v>0</v>
      </c>
      <c r="F165" s="5">
        <v>0</v>
      </c>
      <c r="G165" s="5">
        <v>0</v>
      </c>
      <c r="H165" s="5">
        <v>32</v>
      </c>
      <c r="J165" s="7">
        <v>0.96969696969696972</v>
      </c>
      <c r="K165" s="7">
        <v>0.39393939393939392</v>
      </c>
      <c r="L165" s="5">
        <v>-1</v>
      </c>
      <c r="M165" s="7">
        <v>0.96969696969696972</v>
      </c>
      <c r="N165" s="7">
        <v>3.03030303030303E-2</v>
      </c>
      <c r="O165" s="5">
        <v>-1</v>
      </c>
    </row>
    <row r="166" spans="1:15" x14ac:dyDescent="0.25">
      <c r="A166" s="6">
        <v>46265</v>
      </c>
      <c r="B166" s="5">
        <v>0</v>
      </c>
      <c r="C166" s="5">
        <v>32</v>
      </c>
      <c r="D166" s="5">
        <v>0</v>
      </c>
      <c r="F166" s="5">
        <v>0</v>
      </c>
      <c r="G166" s="5">
        <v>0</v>
      </c>
      <c r="H166" s="5">
        <v>32</v>
      </c>
      <c r="J166" s="7">
        <v>0.96969696969696972</v>
      </c>
      <c r="K166" s="7">
        <v>0.39393939393939392</v>
      </c>
      <c r="L166" s="5">
        <v>-1</v>
      </c>
      <c r="M166" s="7">
        <v>0.96969696969696972</v>
      </c>
      <c r="N166" s="7">
        <v>3.03030303030303E-2</v>
      </c>
      <c r="O166" s="5">
        <v>-1</v>
      </c>
    </row>
    <row r="167" spans="1:15" x14ac:dyDescent="0.25">
      <c r="A167" s="6">
        <v>46266</v>
      </c>
      <c r="B167" s="5">
        <v>0</v>
      </c>
      <c r="C167" s="5">
        <v>32</v>
      </c>
      <c r="D167" s="5">
        <v>0</v>
      </c>
      <c r="F167" s="5">
        <v>0</v>
      </c>
      <c r="G167" s="5">
        <v>0</v>
      </c>
      <c r="H167" s="5">
        <v>32</v>
      </c>
      <c r="J167" s="7">
        <v>0.96969696969696972</v>
      </c>
      <c r="K167" s="7">
        <v>0.39393939393939392</v>
      </c>
      <c r="L167" s="5">
        <v>-1</v>
      </c>
      <c r="M167" s="7">
        <v>0.96969696969696972</v>
      </c>
      <c r="N167" s="7">
        <v>3.03030303030303E-2</v>
      </c>
      <c r="O167" s="5">
        <v>-1</v>
      </c>
    </row>
    <row r="168" spans="1:15" x14ac:dyDescent="0.25">
      <c r="A168" s="6">
        <v>46267</v>
      </c>
      <c r="B168" s="5">
        <v>0</v>
      </c>
      <c r="C168" s="5">
        <v>32</v>
      </c>
      <c r="D168" s="5">
        <v>0</v>
      </c>
      <c r="F168" s="5">
        <v>0</v>
      </c>
      <c r="G168" s="5">
        <v>0</v>
      </c>
      <c r="H168" s="5">
        <v>32</v>
      </c>
      <c r="J168" s="7">
        <v>0.96969696969696972</v>
      </c>
      <c r="K168" s="7">
        <v>0.39393939393939392</v>
      </c>
      <c r="L168" s="5">
        <v>-1</v>
      </c>
      <c r="M168" s="7">
        <v>0.96969696969696972</v>
      </c>
      <c r="N168" s="7">
        <v>3.03030303030303E-2</v>
      </c>
      <c r="O168" s="5">
        <v>-1</v>
      </c>
    </row>
    <row r="169" spans="1:15" x14ac:dyDescent="0.25">
      <c r="A169" s="6">
        <v>46268</v>
      </c>
      <c r="B169" s="5">
        <v>0</v>
      </c>
      <c r="C169" s="5">
        <v>32</v>
      </c>
      <c r="D169" s="5">
        <v>0</v>
      </c>
      <c r="F169" s="5">
        <v>0</v>
      </c>
      <c r="G169" s="5">
        <v>0</v>
      </c>
      <c r="H169" s="5">
        <v>32</v>
      </c>
      <c r="J169" s="7">
        <v>0.96969696969696972</v>
      </c>
      <c r="K169" s="7">
        <v>0.39393939393939392</v>
      </c>
      <c r="L169" s="5">
        <v>-1</v>
      </c>
      <c r="M169" s="7">
        <v>0.96969696969696972</v>
      </c>
      <c r="N169" s="7">
        <v>3.03030303030303E-2</v>
      </c>
      <c r="O169" s="5">
        <v>-1</v>
      </c>
    </row>
    <row r="170" spans="1:15" x14ac:dyDescent="0.25">
      <c r="A170" s="6">
        <v>46269</v>
      </c>
      <c r="B170" s="5">
        <v>0</v>
      </c>
      <c r="C170" s="5">
        <v>32</v>
      </c>
      <c r="D170" s="5">
        <v>0</v>
      </c>
      <c r="F170" s="5">
        <v>0</v>
      </c>
      <c r="G170" s="5">
        <v>0</v>
      </c>
      <c r="H170" s="5">
        <v>32</v>
      </c>
      <c r="J170" s="7">
        <v>0.96969696969696972</v>
      </c>
      <c r="K170" s="7">
        <v>0.39393939393939392</v>
      </c>
      <c r="L170" s="5">
        <v>-1</v>
      </c>
      <c r="M170" s="7">
        <v>0.96969696969696972</v>
      </c>
      <c r="N170" s="7">
        <v>3.03030303030303E-2</v>
      </c>
      <c r="O170" s="5">
        <v>-1</v>
      </c>
    </row>
    <row r="171" spans="1:15" x14ac:dyDescent="0.25">
      <c r="A171" s="6">
        <v>46270</v>
      </c>
      <c r="B171" s="5">
        <v>0</v>
      </c>
      <c r="C171" s="5">
        <v>32</v>
      </c>
      <c r="D171" s="5">
        <v>0</v>
      </c>
      <c r="F171" s="5">
        <v>0</v>
      </c>
      <c r="G171" s="5">
        <v>0</v>
      </c>
      <c r="H171" s="5">
        <v>32</v>
      </c>
      <c r="J171" s="7">
        <v>0.96969696969696972</v>
      </c>
      <c r="K171" s="7">
        <v>0.39393939393939392</v>
      </c>
      <c r="L171" s="5">
        <v>-1</v>
      </c>
      <c r="M171" s="7">
        <v>0.96969696969696972</v>
      </c>
      <c r="N171" s="7">
        <v>3.03030303030303E-2</v>
      </c>
      <c r="O171" s="5">
        <v>-1</v>
      </c>
    </row>
    <row r="172" spans="1:15" x14ac:dyDescent="0.25">
      <c r="A172" s="6">
        <v>46271</v>
      </c>
      <c r="B172" s="5">
        <v>0</v>
      </c>
      <c r="C172" s="5">
        <v>32</v>
      </c>
      <c r="D172" s="5">
        <v>0</v>
      </c>
      <c r="F172" s="5">
        <v>0</v>
      </c>
      <c r="G172" s="5">
        <v>0</v>
      </c>
      <c r="H172" s="5">
        <v>32</v>
      </c>
      <c r="J172" s="7">
        <v>0.96969696969696972</v>
      </c>
      <c r="K172" s="7">
        <v>0.39393939393939392</v>
      </c>
      <c r="L172" s="5">
        <v>-1</v>
      </c>
      <c r="M172" s="7">
        <v>0.96969696969696972</v>
      </c>
      <c r="N172" s="7">
        <v>3.03030303030303E-2</v>
      </c>
      <c r="O172" s="5">
        <v>-1</v>
      </c>
    </row>
    <row r="173" spans="1:15" x14ac:dyDescent="0.25">
      <c r="A173" s="6">
        <v>46272</v>
      </c>
      <c r="B173" s="5">
        <v>0</v>
      </c>
      <c r="C173" s="5">
        <v>32</v>
      </c>
      <c r="D173" s="5">
        <v>0</v>
      </c>
      <c r="F173" s="5">
        <v>0</v>
      </c>
      <c r="G173" s="5">
        <v>0</v>
      </c>
      <c r="H173" s="5">
        <v>32</v>
      </c>
      <c r="J173" s="7">
        <v>0.96969696969696972</v>
      </c>
      <c r="K173" s="7">
        <v>0.39393939393939392</v>
      </c>
      <c r="L173" s="5">
        <v>-1</v>
      </c>
      <c r="M173" s="7">
        <v>0.96969696969696972</v>
      </c>
      <c r="N173" s="7">
        <v>3.03030303030303E-2</v>
      </c>
      <c r="O173" s="5">
        <v>-1</v>
      </c>
    </row>
    <row r="174" spans="1:15" x14ac:dyDescent="0.25">
      <c r="A174" s="6">
        <v>46273</v>
      </c>
      <c r="B174" s="5">
        <v>0</v>
      </c>
      <c r="C174" s="5">
        <v>32</v>
      </c>
      <c r="D174" s="5">
        <v>0</v>
      </c>
      <c r="F174" s="5">
        <v>0</v>
      </c>
      <c r="G174" s="5">
        <v>0</v>
      </c>
      <c r="H174" s="5">
        <v>32</v>
      </c>
      <c r="J174" s="7">
        <v>0.96969696969696972</v>
      </c>
      <c r="K174" s="7">
        <v>0.39393939393939392</v>
      </c>
      <c r="L174" s="5">
        <v>-1</v>
      </c>
      <c r="M174" s="7">
        <v>0.96969696969696972</v>
      </c>
      <c r="N174" s="7">
        <v>3.03030303030303E-2</v>
      </c>
      <c r="O174" s="5">
        <v>-1</v>
      </c>
    </row>
    <row r="175" spans="1:15" x14ac:dyDescent="0.25">
      <c r="A175" s="6">
        <v>46274</v>
      </c>
      <c r="B175" s="5">
        <v>0</v>
      </c>
      <c r="C175" s="5">
        <v>32</v>
      </c>
      <c r="D175" s="5">
        <v>0</v>
      </c>
      <c r="F175" s="5">
        <v>0</v>
      </c>
      <c r="G175" s="5">
        <v>0</v>
      </c>
      <c r="H175" s="5">
        <v>32</v>
      </c>
      <c r="J175" s="7">
        <v>0.96969696969696972</v>
      </c>
      <c r="K175" s="7">
        <v>0.39393939393939392</v>
      </c>
      <c r="L175" s="5">
        <v>-1</v>
      </c>
      <c r="M175" s="7">
        <v>0.96969696969696972</v>
      </c>
      <c r="N175" s="7">
        <v>3.03030303030303E-2</v>
      </c>
      <c r="O175" s="5">
        <v>-1</v>
      </c>
    </row>
    <row r="176" spans="1:15" x14ac:dyDescent="0.25">
      <c r="A176" s="6">
        <v>46275</v>
      </c>
      <c r="B176" s="5">
        <v>0</v>
      </c>
      <c r="C176" s="5">
        <v>32</v>
      </c>
      <c r="D176" s="5">
        <v>0</v>
      </c>
      <c r="F176" s="5">
        <v>0</v>
      </c>
      <c r="G176" s="5">
        <v>0</v>
      </c>
      <c r="H176" s="5">
        <v>32</v>
      </c>
      <c r="J176" s="7">
        <v>0.96969696969696972</v>
      </c>
      <c r="K176" s="7">
        <v>0.39393939393939392</v>
      </c>
      <c r="L176" s="5">
        <v>-1</v>
      </c>
      <c r="M176" s="7">
        <v>0.96969696969696972</v>
      </c>
      <c r="N176" s="7">
        <v>3.03030303030303E-2</v>
      </c>
      <c r="O176" s="5">
        <v>-1</v>
      </c>
    </row>
    <row r="177" spans="1:15" x14ac:dyDescent="0.25">
      <c r="A177" s="6">
        <v>46276</v>
      </c>
      <c r="B177" s="5">
        <v>1</v>
      </c>
      <c r="C177" s="5">
        <v>33</v>
      </c>
      <c r="D177" s="5">
        <v>0</v>
      </c>
      <c r="F177" s="5">
        <v>0</v>
      </c>
      <c r="G177" s="5">
        <v>0</v>
      </c>
      <c r="H177" s="5">
        <v>32</v>
      </c>
      <c r="J177" s="7">
        <v>1</v>
      </c>
      <c r="K177" s="7">
        <v>0.39393939393939392</v>
      </c>
      <c r="L177" s="5">
        <v>-1</v>
      </c>
      <c r="M177" s="7">
        <v>0.96969696969696972</v>
      </c>
      <c r="N177" s="7">
        <v>3.03030303030303E-2</v>
      </c>
      <c r="O177" s="5">
        <v>-1</v>
      </c>
    </row>
    <row r="178" spans="1:15" x14ac:dyDescent="0.25">
      <c r="A178" s="6">
        <v>46277</v>
      </c>
      <c r="B178" s="5">
        <v>0</v>
      </c>
      <c r="C178" s="5">
        <v>33</v>
      </c>
      <c r="D178" s="5">
        <v>0</v>
      </c>
      <c r="F178" s="5">
        <v>0</v>
      </c>
      <c r="G178" s="5">
        <v>0</v>
      </c>
      <c r="H178" s="5">
        <v>32</v>
      </c>
      <c r="J178" s="7">
        <v>1</v>
      </c>
      <c r="K178" s="7">
        <v>0.39393939393939392</v>
      </c>
      <c r="L178" s="5">
        <v>-1</v>
      </c>
      <c r="M178" s="7">
        <v>0.96969696969696972</v>
      </c>
      <c r="N178" s="7">
        <v>3.03030303030303E-2</v>
      </c>
      <c r="O178" s="5">
        <v>-1</v>
      </c>
    </row>
    <row r="179" spans="1:15" x14ac:dyDescent="0.25">
      <c r="A179" s="6">
        <v>46278</v>
      </c>
      <c r="B179" s="5">
        <v>0</v>
      </c>
      <c r="C179" s="5">
        <v>33</v>
      </c>
      <c r="D179" s="5">
        <v>0</v>
      </c>
      <c r="F179" s="5">
        <v>0</v>
      </c>
      <c r="G179" s="5">
        <v>0</v>
      </c>
      <c r="H179" s="5">
        <v>32</v>
      </c>
      <c r="J179" s="7">
        <v>1</v>
      </c>
      <c r="K179" s="7">
        <v>0.39393939393939392</v>
      </c>
      <c r="L179" s="5">
        <v>-1</v>
      </c>
      <c r="M179" s="7">
        <v>0.96969696969696972</v>
      </c>
      <c r="N179" s="7">
        <v>3.03030303030303E-2</v>
      </c>
      <c r="O179" s="5">
        <v>-1</v>
      </c>
    </row>
    <row r="180" spans="1:15" x14ac:dyDescent="0.25">
      <c r="A180" s="6">
        <v>46279</v>
      </c>
      <c r="B180" s="5">
        <v>0</v>
      </c>
      <c r="C180" s="5">
        <v>33</v>
      </c>
      <c r="D180" s="5">
        <v>0</v>
      </c>
      <c r="F180" s="5">
        <v>0</v>
      </c>
      <c r="G180" s="5">
        <v>0</v>
      </c>
      <c r="H180" s="5">
        <v>32</v>
      </c>
      <c r="J180" s="7">
        <v>1</v>
      </c>
      <c r="K180" s="7">
        <v>0.39393939393939392</v>
      </c>
      <c r="L180" s="5">
        <v>-1</v>
      </c>
      <c r="M180" s="7">
        <v>0.96969696969696972</v>
      </c>
      <c r="N180" s="7">
        <v>3.03030303030303E-2</v>
      </c>
      <c r="O180" s="5">
        <v>-1</v>
      </c>
    </row>
    <row r="181" spans="1:15" x14ac:dyDescent="0.25">
      <c r="A181" s="6">
        <v>46280</v>
      </c>
      <c r="B181" s="5">
        <v>0</v>
      </c>
      <c r="C181" s="5">
        <v>33</v>
      </c>
      <c r="D181" s="5">
        <v>0</v>
      </c>
      <c r="F181" s="5">
        <v>0</v>
      </c>
      <c r="G181" s="5">
        <v>0</v>
      </c>
      <c r="H181" s="5">
        <v>32</v>
      </c>
      <c r="J181" s="7">
        <v>1</v>
      </c>
      <c r="K181" s="7">
        <v>0.39393939393939392</v>
      </c>
      <c r="L181" s="5">
        <v>-1</v>
      </c>
      <c r="M181" s="7">
        <v>0.96969696969696972</v>
      </c>
      <c r="N181" s="7">
        <v>3.03030303030303E-2</v>
      </c>
      <c r="O181" s="5">
        <v>-1</v>
      </c>
    </row>
    <row r="182" spans="1:15" x14ac:dyDescent="0.25">
      <c r="A182" s="6">
        <v>46281</v>
      </c>
      <c r="B182" s="5">
        <v>0</v>
      </c>
      <c r="C182" s="5">
        <v>33</v>
      </c>
      <c r="D182" s="5">
        <v>0</v>
      </c>
      <c r="F182" s="5">
        <v>0</v>
      </c>
      <c r="G182" s="5">
        <v>0</v>
      </c>
      <c r="H182" s="5">
        <v>32</v>
      </c>
      <c r="J182" s="7">
        <v>1</v>
      </c>
      <c r="K182" s="7">
        <v>0.39393939393939392</v>
      </c>
      <c r="L182" s="5">
        <v>-1</v>
      </c>
      <c r="M182" s="7">
        <v>0.96969696969696972</v>
      </c>
      <c r="N182" s="7">
        <v>3.03030303030303E-2</v>
      </c>
      <c r="O182" s="5">
        <v>-1</v>
      </c>
    </row>
    <row r="183" spans="1:15" x14ac:dyDescent="0.25">
      <c r="A183" s="6">
        <v>46282</v>
      </c>
      <c r="B183" s="5">
        <v>0</v>
      </c>
      <c r="C183" s="5">
        <v>33</v>
      </c>
      <c r="D183" s="5">
        <v>0</v>
      </c>
      <c r="F183" s="5">
        <v>1</v>
      </c>
      <c r="G183" s="5">
        <v>0</v>
      </c>
      <c r="H183" s="5">
        <v>33</v>
      </c>
      <c r="J183" s="7">
        <v>1</v>
      </c>
      <c r="K183" s="7">
        <v>0.39393939393939392</v>
      </c>
      <c r="L183" s="5">
        <v>-1</v>
      </c>
      <c r="M183" s="7">
        <v>1</v>
      </c>
      <c r="N183" s="7">
        <v>3.03030303030303E-2</v>
      </c>
      <c r="O183" s="5">
        <v>-1</v>
      </c>
    </row>
    <row r="185" spans="1:15" x14ac:dyDescent="0.25">
      <c r="L185" s="5">
        <v>1</v>
      </c>
      <c r="O185" s="5">
        <v>1</v>
      </c>
    </row>
    <row r="186" spans="1:15" x14ac:dyDescent="0.25">
      <c r="L186" s="5">
        <v>0</v>
      </c>
      <c r="O186" s="5">
        <v>0</v>
      </c>
    </row>
    <row r="187" spans="1:15" x14ac:dyDescent="0.25">
      <c r="L187" s="5">
        <v>-1</v>
      </c>
      <c r="O187" s="5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079B480-5000-4614-A3A8-44C8E6EB56D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O1:O187</xm:sqref>
        </x14:conditionalFormatting>
        <x14:conditionalFormatting xmlns:xm="http://schemas.microsoft.com/office/excel/2006/main">
          <x14:cfRule type="iconSet" priority="1" id="{B7D95E84-BD2F-44F4-8D9E-55F661358BA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L1:L187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2"/>
  <sheetViews>
    <sheetView tabSelected="1" workbookViewId="0">
      <selection activeCell="G47" sqref="G47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18.5703125" style="1" bestFit="1" customWidth="1"/>
    <col min="6" max="6" width="12.7109375" style="1" bestFit="1" customWidth="1"/>
    <col min="7" max="8" width="18.28515625" style="3" bestFit="1" customWidth="1"/>
    <col min="9" max="9" width="18.42578125" style="1" bestFit="1" customWidth="1"/>
    <col min="10" max="10" width="16" style="11" bestFit="1" customWidth="1"/>
    <col min="11" max="11" width="18.28515625" style="3" bestFit="1" customWidth="1"/>
    <col min="12" max="12" width="11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65.5703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3</v>
      </c>
      <c r="B2" s="1" t="s">
        <v>42</v>
      </c>
      <c r="C2" s="1" t="s">
        <v>43</v>
      </c>
      <c r="D2" s="1" t="s">
        <v>44</v>
      </c>
      <c r="F2" s="1" t="s">
        <v>45</v>
      </c>
      <c r="G2" s="3">
        <v>46160</v>
      </c>
      <c r="H2" s="3">
        <v>46160</v>
      </c>
      <c r="J2" s="11">
        <v>1</v>
      </c>
      <c r="K2" s="3">
        <v>46160</v>
      </c>
      <c r="L2" s="1" t="s">
        <v>46</v>
      </c>
      <c r="M2" s="1" t="s">
        <v>47</v>
      </c>
      <c r="N2" s="1" t="s">
        <v>36</v>
      </c>
      <c r="O2" s="1" t="s">
        <v>37</v>
      </c>
      <c r="P2" s="2">
        <v>46139</v>
      </c>
      <c r="Q2" s="1" t="s">
        <v>38</v>
      </c>
      <c r="R2" s="1" t="s">
        <v>48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4</v>
      </c>
      <c r="B3" s="1" t="s">
        <v>49</v>
      </c>
      <c r="C3" s="1" t="s">
        <v>43</v>
      </c>
      <c r="D3" s="1" t="s">
        <v>50</v>
      </c>
      <c r="F3" s="1" t="s">
        <v>45</v>
      </c>
      <c r="G3" s="3">
        <v>46160</v>
      </c>
      <c r="H3" s="3">
        <v>46160</v>
      </c>
      <c r="J3" s="11">
        <v>1</v>
      </c>
      <c r="K3" s="3">
        <v>46160</v>
      </c>
      <c r="L3" s="1" t="s">
        <v>46</v>
      </c>
      <c r="M3" s="1" t="s">
        <v>47</v>
      </c>
      <c r="N3" s="1" t="s">
        <v>51</v>
      </c>
      <c r="O3" s="1" t="s">
        <v>52</v>
      </c>
      <c r="P3" s="2">
        <v>46141</v>
      </c>
      <c r="Q3" s="1" t="s">
        <v>38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5</v>
      </c>
      <c r="B4" s="1" t="s">
        <v>53</v>
      </c>
      <c r="C4" s="1" t="s">
        <v>54</v>
      </c>
      <c r="D4" s="1" t="s">
        <v>55</v>
      </c>
      <c r="F4" s="1" t="s">
        <v>45</v>
      </c>
      <c r="G4" s="3">
        <v>46160</v>
      </c>
      <c r="H4" s="3">
        <v>46160</v>
      </c>
      <c r="I4" s="1">
        <v>3</v>
      </c>
      <c r="J4" s="11">
        <v>1</v>
      </c>
      <c r="K4" s="3">
        <v>46160</v>
      </c>
      <c r="L4" s="1" t="s">
        <v>46</v>
      </c>
      <c r="M4" s="1" t="s">
        <v>47</v>
      </c>
      <c r="N4" s="1" t="s">
        <v>51</v>
      </c>
      <c r="O4" s="1" t="s">
        <v>52</v>
      </c>
      <c r="P4" s="2">
        <v>46141</v>
      </c>
      <c r="Q4" s="1" t="s">
        <v>38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8</v>
      </c>
      <c r="B5" s="1" t="s">
        <v>66</v>
      </c>
      <c r="C5" s="1" t="s">
        <v>67</v>
      </c>
      <c r="D5" s="1" t="s">
        <v>68</v>
      </c>
      <c r="F5" s="1" t="s">
        <v>69</v>
      </c>
      <c r="G5" s="3">
        <v>46174</v>
      </c>
      <c r="H5" s="3">
        <v>46175</v>
      </c>
      <c r="I5" s="1" t="s">
        <v>70</v>
      </c>
      <c r="J5" s="11">
        <v>1</v>
      </c>
      <c r="K5" s="3">
        <v>46175</v>
      </c>
      <c r="L5" s="1" t="s">
        <v>46</v>
      </c>
      <c r="M5" s="1" t="s">
        <v>47</v>
      </c>
      <c r="N5" s="1" t="s">
        <v>59</v>
      </c>
      <c r="O5" s="1" t="s">
        <v>37</v>
      </c>
      <c r="P5" s="2">
        <v>46141</v>
      </c>
      <c r="Q5" s="1" t="s">
        <v>38</v>
      </c>
      <c r="R5" s="1" t="s">
        <v>71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</row>
    <row r="6" spans="1:32" hidden="1" x14ac:dyDescent="0.25">
      <c r="A6" s="1">
        <v>9</v>
      </c>
      <c r="B6" s="1" t="s">
        <v>72</v>
      </c>
      <c r="C6" s="1" t="s">
        <v>67</v>
      </c>
      <c r="D6" s="1" t="s">
        <v>73</v>
      </c>
      <c r="F6" s="1" t="s">
        <v>74</v>
      </c>
      <c r="G6" s="3">
        <v>46176</v>
      </c>
      <c r="H6" s="3">
        <v>46176</v>
      </c>
      <c r="I6" s="1">
        <v>8</v>
      </c>
      <c r="J6" s="11">
        <v>1</v>
      </c>
      <c r="K6" s="3">
        <v>46176</v>
      </c>
      <c r="L6" s="1" t="s">
        <v>46</v>
      </c>
      <c r="M6" s="1" t="s">
        <v>47</v>
      </c>
      <c r="N6" s="1" t="s">
        <v>59</v>
      </c>
      <c r="O6" s="1" t="s">
        <v>75</v>
      </c>
      <c r="P6" s="2">
        <v>46142</v>
      </c>
      <c r="Q6" s="1" t="s">
        <v>38</v>
      </c>
      <c r="R6" s="1" t="s">
        <v>76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13</v>
      </c>
      <c r="B7" s="1" t="s">
        <v>91</v>
      </c>
      <c r="C7" s="1" t="s">
        <v>92</v>
      </c>
      <c r="D7" s="1" t="s">
        <v>68</v>
      </c>
      <c r="F7" s="1" t="s">
        <v>93</v>
      </c>
      <c r="G7" s="3">
        <v>46176</v>
      </c>
      <c r="H7" s="3">
        <v>46178</v>
      </c>
      <c r="I7" s="1">
        <v>8</v>
      </c>
      <c r="J7" s="11">
        <v>1</v>
      </c>
      <c r="K7" s="3">
        <v>46178</v>
      </c>
      <c r="L7" s="1" t="s">
        <v>46</v>
      </c>
      <c r="M7" s="1" t="s">
        <v>47</v>
      </c>
      <c r="N7" s="1" t="s">
        <v>59</v>
      </c>
      <c r="O7" s="1" t="s">
        <v>94</v>
      </c>
      <c r="P7" s="2">
        <v>46178</v>
      </c>
      <c r="Q7" s="1" t="s">
        <v>38</v>
      </c>
      <c r="R7" s="1" t="s">
        <v>95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</row>
    <row r="8" spans="1:32" hidden="1" x14ac:dyDescent="0.25">
      <c r="A8" s="1">
        <v>14</v>
      </c>
      <c r="B8" s="1" t="s">
        <v>96</v>
      </c>
      <c r="C8" s="1" t="s">
        <v>92</v>
      </c>
      <c r="D8" s="1" t="s">
        <v>73</v>
      </c>
      <c r="F8" s="1" t="s">
        <v>93</v>
      </c>
      <c r="G8" s="3">
        <v>46181</v>
      </c>
      <c r="H8" s="3">
        <v>46183</v>
      </c>
      <c r="I8" s="1">
        <v>13</v>
      </c>
      <c r="J8" s="11">
        <v>1</v>
      </c>
      <c r="K8" s="3">
        <v>46183</v>
      </c>
      <c r="L8" s="1" t="s">
        <v>46</v>
      </c>
      <c r="M8" s="1" t="s">
        <v>47</v>
      </c>
      <c r="N8" s="1" t="s">
        <v>59</v>
      </c>
      <c r="O8" s="1" t="s">
        <v>97</v>
      </c>
      <c r="P8" s="2">
        <v>46183</v>
      </c>
      <c r="Q8" s="1" t="s">
        <v>38</v>
      </c>
      <c r="R8" s="1" t="s">
        <v>98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18</v>
      </c>
      <c r="B9" s="1" t="s">
        <v>107</v>
      </c>
      <c r="C9" s="1" t="s">
        <v>108</v>
      </c>
      <c r="D9" s="1" t="s">
        <v>68</v>
      </c>
      <c r="F9" s="1" t="s">
        <v>93</v>
      </c>
      <c r="G9" s="3">
        <v>46176</v>
      </c>
      <c r="H9" s="3">
        <v>46178</v>
      </c>
      <c r="I9" s="1">
        <v>8</v>
      </c>
      <c r="J9" s="11">
        <v>1</v>
      </c>
      <c r="K9" s="3">
        <v>46178</v>
      </c>
      <c r="L9" s="1" t="s">
        <v>46</v>
      </c>
      <c r="M9" s="1" t="s">
        <v>47</v>
      </c>
      <c r="N9" s="1" t="s">
        <v>59</v>
      </c>
      <c r="O9" s="1" t="s">
        <v>75</v>
      </c>
      <c r="P9" s="2">
        <v>46146</v>
      </c>
      <c r="Q9" s="1" t="s">
        <v>38</v>
      </c>
      <c r="R9" s="1" t="s">
        <v>109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 hidden="1" x14ac:dyDescent="0.25">
      <c r="A10" s="1">
        <v>19</v>
      </c>
      <c r="B10" s="1" t="s">
        <v>110</v>
      </c>
      <c r="C10" s="1" t="s">
        <v>108</v>
      </c>
      <c r="D10" s="1" t="s">
        <v>73</v>
      </c>
      <c r="F10" s="1" t="s">
        <v>93</v>
      </c>
      <c r="G10" s="3">
        <v>46181</v>
      </c>
      <c r="H10" s="3">
        <v>46183</v>
      </c>
      <c r="I10" s="1">
        <v>18</v>
      </c>
      <c r="J10" s="11">
        <v>1</v>
      </c>
      <c r="K10" s="3">
        <v>46183</v>
      </c>
      <c r="L10" s="1" t="s">
        <v>46</v>
      </c>
      <c r="M10" s="1" t="s">
        <v>47</v>
      </c>
      <c r="N10" s="1" t="s">
        <v>59</v>
      </c>
      <c r="O10" s="1" t="s">
        <v>111</v>
      </c>
      <c r="P10" s="2">
        <v>46147</v>
      </c>
      <c r="Q10" s="1" t="s">
        <v>38</v>
      </c>
      <c r="R10" s="1" t="s">
        <v>112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34</v>
      </c>
      <c r="B11" s="1" t="s">
        <v>153</v>
      </c>
      <c r="C11" s="1" t="s">
        <v>154</v>
      </c>
      <c r="D11" s="1" t="s">
        <v>68</v>
      </c>
      <c r="F11" s="1" t="s">
        <v>93</v>
      </c>
      <c r="G11" s="3">
        <v>46195</v>
      </c>
      <c r="H11" s="3">
        <v>46197</v>
      </c>
      <c r="I11" s="1" t="s">
        <v>155</v>
      </c>
      <c r="J11" s="11">
        <v>1</v>
      </c>
      <c r="K11" s="3">
        <v>46197</v>
      </c>
      <c r="L11" s="1" t="s">
        <v>46</v>
      </c>
      <c r="M11" s="1" t="s">
        <v>47</v>
      </c>
      <c r="N11" s="1" t="s">
        <v>121</v>
      </c>
      <c r="O11" s="1" t="s">
        <v>152</v>
      </c>
      <c r="P11" s="2">
        <v>46225</v>
      </c>
      <c r="Q11" s="1" t="s">
        <v>38</v>
      </c>
      <c r="R11" s="1">
        <v>35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</row>
    <row r="12" spans="1:32" hidden="1" x14ac:dyDescent="0.25">
      <c r="A12" s="1">
        <v>35</v>
      </c>
      <c r="B12" s="1" t="s">
        <v>156</v>
      </c>
      <c r="C12" s="1" t="s">
        <v>154</v>
      </c>
      <c r="D12" s="1" t="s">
        <v>73</v>
      </c>
      <c r="F12" s="1" t="s">
        <v>74</v>
      </c>
      <c r="G12" s="3">
        <v>46198</v>
      </c>
      <c r="H12" s="3">
        <v>46198</v>
      </c>
      <c r="I12" s="1">
        <v>34</v>
      </c>
      <c r="J12" s="11">
        <v>1</v>
      </c>
      <c r="K12" s="3">
        <v>46198</v>
      </c>
      <c r="L12" s="1" t="s">
        <v>46</v>
      </c>
      <c r="M12" s="1" t="s">
        <v>47</v>
      </c>
      <c r="N12" s="1" t="s">
        <v>121</v>
      </c>
      <c r="O12" s="1" t="s">
        <v>157</v>
      </c>
      <c r="P12" s="2">
        <v>46226</v>
      </c>
      <c r="Q12" s="1" t="s">
        <v>38</v>
      </c>
      <c r="R12" s="1">
        <v>36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39</v>
      </c>
      <c r="B13" s="1" t="s">
        <v>165</v>
      </c>
      <c r="C13" s="1" t="s">
        <v>166</v>
      </c>
      <c r="D13" s="1" t="s">
        <v>68</v>
      </c>
      <c r="F13" s="1" t="s">
        <v>93</v>
      </c>
      <c r="G13" s="3">
        <v>46174</v>
      </c>
      <c r="H13" s="3">
        <v>46176</v>
      </c>
      <c r="I13" s="1" t="s">
        <v>70</v>
      </c>
      <c r="J13" s="11">
        <v>1</v>
      </c>
      <c r="K13" s="3">
        <v>46176</v>
      </c>
      <c r="L13" s="1" t="s">
        <v>46</v>
      </c>
      <c r="M13" s="1" t="s">
        <v>47</v>
      </c>
      <c r="N13" s="1" t="s">
        <v>121</v>
      </c>
      <c r="O13" s="1" t="s">
        <v>37</v>
      </c>
      <c r="P13" s="2">
        <v>46141</v>
      </c>
      <c r="Q13" s="1" t="s">
        <v>38</v>
      </c>
      <c r="R13" s="1">
        <v>40</v>
      </c>
      <c r="U13" s="1">
        <v>1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</row>
    <row r="14" spans="1:32" hidden="1" x14ac:dyDescent="0.25">
      <c r="A14" s="1">
        <v>40</v>
      </c>
      <c r="B14" s="1" t="s">
        <v>167</v>
      </c>
      <c r="C14" s="1" t="s">
        <v>166</v>
      </c>
      <c r="D14" s="1" t="s">
        <v>73</v>
      </c>
      <c r="F14" s="1" t="s">
        <v>74</v>
      </c>
      <c r="G14" s="3">
        <v>46177</v>
      </c>
      <c r="H14" s="3">
        <v>46177</v>
      </c>
      <c r="I14" s="1">
        <v>39</v>
      </c>
      <c r="J14" s="11">
        <v>1</v>
      </c>
      <c r="K14" s="3">
        <v>46177</v>
      </c>
      <c r="L14" s="1" t="s">
        <v>46</v>
      </c>
      <c r="M14" s="1" t="s">
        <v>47</v>
      </c>
      <c r="N14" s="1" t="s">
        <v>121</v>
      </c>
      <c r="O14" s="1" t="s">
        <v>75</v>
      </c>
      <c r="P14" s="2">
        <v>46142</v>
      </c>
      <c r="Q14" s="1" t="s">
        <v>38</v>
      </c>
      <c r="R14" s="1" t="s">
        <v>168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25">
      <c r="A15" s="1">
        <v>55</v>
      </c>
      <c r="B15" s="1" t="s">
        <v>205</v>
      </c>
      <c r="C15" s="1" t="s">
        <v>206</v>
      </c>
      <c r="D15" s="1" t="s">
        <v>68</v>
      </c>
      <c r="F15" s="1" t="s">
        <v>45</v>
      </c>
      <c r="G15" s="3">
        <v>46170</v>
      </c>
      <c r="H15" s="3">
        <v>46170</v>
      </c>
      <c r="I15" s="1" t="s">
        <v>207</v>
      </c>
      <c r="J15" s="11">
        <v>1</v>
      </c>
      <c r="K15" s="3">
        <v>46170</v>
      </c>
      <c r="L15" s="1" t="s">
        <v>46</v>
      </c>
      <c r="M15" s="1" t="s">
        <v>47</v>
      </c>
      <c r="N15" s="1" t="s">
        <v>176</v>
      </c>
      <c r="O15" s="1" t="s">
        <v>86</v>
      </c>
      <c r="P15" s="2">
        <v>46161</v>
      </c>
      <c r="Q15" s="1" t="s">
        <v>38</v>
      </c>
      <c r="R15" s="1">
        <v>56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</row>
    <row r="16" spans="1:32" hidden="1" x14ac:dyDescent="0.25">
      <c r="A16" s="1">
        <v>56</v>
      </c>
      <c r="B16" s="1" t="s">
        <v>208</v>
      </c>
      <c r="C16" s="1" t="s">
        <v>206</v>
      </c>
      <c r="D16" s="1" t="s">
        <v>73</v>
      </c>
      <c r="F16" s="1" t="s">
        <v>74</v>
      </c>
      <c r="G16" s="3">
        <v>46171</v>
      </c>
      <c r="H16" s="3">
        <v>46171</v>
      </c>
      <c r="I16" s="1">
        <v>55</v>
      </c>
      <c r="J16" s="11">
        <v>1</v>
      </c>
      <c r="K16" s="3">
        <v>46171</v>
      </c>
      <c r="L16" s="1" t="s">
        <v>46</v>
      </c>
      <c r="M16" s="1" t="s">
        <v>47</v>
      </c>
      <c r="N16" s="1" t="s">
        <v>176</v>
      </c>
      <c r="O16" s="1" t="s">
        <v>209</v>
      </c>
      <c r="P16" s="2">
        <v>46162</v>
      </c>
      <c r="Q16" s="1" t="s">
        <v>38</v>
      </c>
      <c r="R16" s="1">
        <v>57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25">
      <c r="A17" s="1">
        <v>60</v>
      </c>
      <c r="B17" s="1" t="s">
        <v>218</v>
      </c>
      <c r="C17" s="1" t="s">
        <v>219</v>
      </c>
      <c r="D17" s="1" t="s">
        <v>68</v>
      </c>
      <c r="F17" s="1" t="s">
        <v>45</v>
      </c>
      <c r="G17" s="3">
        <v>46170</v>
      </c>
      <c r="H17" s="3">
        <v>46170</v>
      </c>
      <c r="I17" s="1" t="s">
        <v>207</v>
      </c>
      <c r="J17" s="11">
        <v>1</v>
      </c>
      <c r="K17" s="3">
        <v>46170</v>
      </c>
      <c r="L17" s="1" t="s">
        <v>46</v>
      </c>
      <c r="M17" s="1" t="s">
        <v>47</v>
      </c>
      <c r="N17" s="1" t="s">
        <v>176</v>
      </c>
      <c r="O17" s="1" t="s">
        <v>86</v>
      </c>
      <c r="P17" s="2">
        <v>46161</v>
      </c>
      <c r="Q17" s="1" t="s">
        <v>38</v>
      </c>
      <c r="R17" s="1">
        <v>61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</row>
    <row r="18" spans="1:32" hidden="1" x14ac:dyDescent="0.25">
      <c r="A18" s="1">
        <v>61</v>
      </c>
      <c r="B18" s="1" t="s">
        <v>220</v>
      </c>
      <c r="C18" s="1" t="s">
        <v>219</v>
      </c>
      <c r="D18" s="1" t="s">
        <v>73</v>
      </c>
      <c r="F18" s="1" t="s">
        <v>74</v>
      </c>
      <c r="G18" s="3">
        <v>46199</v>
      </c>
      <c r="H18" s="3">
        <v>46199</v>
      </c>
      <c r="I18" s="1">
        <v>60</v>
      </c>
      <c r="J18" s="11">
        <v>1</v>
      </c>
      <c r="K18" s="3">
        <v>46199</v>
      </c>
      <c r="L18" s="1" t="s">
        <v>46</v>
      </c>
      <c r="M18" s="1" t="s">
        <v>47</v>
      </c>
      <c r="N18" s="1" t="s">
        <v>176</v>
      </c>
      <c r="O18" s="1" t="s">
        <v>209</v>
      </c>
      <c r="P18" s="2">
        <v>46162</v>
      </c>
      <c r="Q18" s="1" t="s">
        <v>38</v>
      </c>
      <c r="R18" s="1">
        <v>62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25">
      <c r="A19" s="1">
        <v>66</v>
      </c>
      <c r="B19" s="1" t="s">
        <v>231</v>
      </c>
      <c r="C19" s="1" t="s">
        <v>232</v>
      </c>
      <c r="D19" s="1" t="s">
        <v>68</v>
      </c>
      <c r="F19" s="1" t="s">
        <v>69</v>
      </c>
      <c r="G19" s="3">
        <v>46160</v>
      </c>
      <c r="H19" s="3">
        <v>46161</v>
      </c>
      <c r="I19" s="1" t="s">
        <v>233</v>
      </c>
      <c r="J19" s="11">
        <v>1</v>
      </c>
      <c r="K19" s="3">
        <v>46161</v>
      </c>
      <c r="L19" s="1" t="s">
        <v>46</v>
      </c>
      <c r="M19" s="1" t="s">
        <v>47</v>
      </c>
      <c r="N19" s="1" t="s">
        <v>226</v>
      </c>
      <c r="O19" s="1" t="s">
        <v>182</v>
      </c>
      <c r="P19" s="2">
        <v>46188</v>
      </c>
      <c r="Q19" s="1" t="s">
        <v>38</v>
      </c>
      <c r="R19" s="1" t="s">
        <v>234</v>
      </c>
      <c r="U19" s="1">
        <v>1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</row>
    <row r="20" spans="1:32" hidden="1" x14ac:dyDescent="0.25">
      <c r="A20" s="1">
        <v>67</v>
      </c>
      <c r="B20" s="1" t="s">
        <v>235</v>
      </c>
      <c r="C20" s="1" t="s">
        <v>232</v>
      </c>
      <c r="D20" s="1" t="s">
        <v>73</v>
      </c>
      <c r="F20" s="1" t="s">
        <v>74</v>
      </c>
      <c r="G20" s="3">
        <v>46162</v>
      </c>
      <c r="H20" s="3">
        <v>46162</v>
      </c>
      <c r="I20" s="1">
        <v>66</v>
      </c>
      <c r="J20" s="11">
        <v>1</v>
      </c>
      <c r="K20" s="3">
        <v>46162</v>
      </c>
      <c r="L20" s="1" t="s">
        <v>46</v>
      </c>
      <c r="M20" s="1" t="s">
        <v>47</v>
      </c>
      <c r="N20" s="1" t="s">
        <v>226</v>
      </c>
      <c r="O20" s="1" t="s">
        <v>131</v>
      </c>
      <c r="P20" s="2">
        <v>46189</v>
      </c>
      <c r="Q20" s="1" t="s">
        <v>38</v>
      </c>
      <c r="R20" s="1">
        <v>68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hidden="1" x14ac:dyDescent="0.25">
      <c r="A21" s="1">
        <v>101</v>
      </c>
      <c r="B21" s="1" t="s">
        <v>290</v>
      </c>
      <c r="C21" s="1" t="s">
        <v>291</v>
      </c>
      <c r="D21" s="1" t="s">
        <v>292</v>
      </c>
      <c r="E21" s="1" t="s">
        <v>180</v>
      </c>
      <c r="F21" s="1" t="s">
        <v>181</v>
      </c>
      <c r="G21" s="3">
        <v>46181</v>
      </c>
      <c r="H21" s="3">
        <v>46191</v>
      </c>
      <c r="J21" s="11">
        <v>1</v>
      </c>
      <c r="K21" s="3">
        <v>46191</v>
      </c>
      <c r="L21" s="1" t="s">
        <v>46</v>
      </c>
      <c r="M21" s="1" t="s">
        <v>47</v>
      </c>
      <c r="N21" s="1" t="s">
        <v>289</v>
      </c>
      <c r="O21" s="1" t="s">
        <v>127</v>
      </c>
      <c r="P21" s="2">
        <v>46192</v>
      </c>
      <c r="Q21" s="1" t="s">
        <v>38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25">
      <c r="A22" s="1">
        <v>102</v>
      </c>
      <c r="B22" s="1" t="s">
        <v>293</v>
      </c>
      <c r="C22" s="1" t="s">
        <v>294</v>
      </c>
      <c r="D22" s="1" t="s">
        <v>68</v>
      </c>
      <c r="F22" s="1" t="s">
        <v>185</v>
      </c>
      <c r="G22" s="3">
        <v>46181</v>
      </c>
      <c r="H22" s="3">
        <v>46185</v>
      </c>
      <c r="I22" s="1" t="s">
        <v>233</v>
      </c>
      <c r="J22" s="11">
        <v>1</v>
      </c>
      <c r="K22" s="3">
        <v>46185</v>
      </c>
      <c r="L22" s="1" t="s">
        <v>46</v>
      </c>
      <c r="M22" s="1" t="s">
        <v>47</v>
      </c>
      <c r="N22" s="1" t="s">
        <v>289</v>
      </c>
      <c r="O22" s="1" t="s">
        <v>127</v>
      </c>
      <c r="P22" s="2">
        <v>46188</v>
      </c>
      <c r="Q22" s="1" t="s">
        <v>38</v>
      </c>
      <c r="R22" s="1" t="s">
        <v>295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</row>
    <row r="23" spans="1:32" hidden="1" x14ac:dyDescent="0.25">
      <c r="A23" s="1">
        <v>103</v>
      </c>
      <c r="B23" s="1" t="s">
        <v>296</v>
      </c>
      <c r="C23" s="1" t="s">
        <v>294</v>
      </c>
      <c r="D23" s="1" t="s">
        <v>73</v>
      </c>
      <c r="F23" s="1" t="s">
        <v>74</v>
      </c>
      <c r="G23" s="3">
        <v>46188</v>
      </c>
      <c r="H23" s="3">
        <v>46188</v>
      </c>
      <c r="I23" s="1">
        <v>102</v>
      </c>
      <c r="J23" s="11">
        <v>1</v>
      </c>
      <c r="K23" s="3">
        <v>46188</v>
      </c>
      <c r="L23" s="1" t="s">
        <v>46</v>
      </c>
      <c r="M23" s="1" t="s">
        <v>47</v>
      </c>
      <c r="N23" s="1" t="s">
        <v>289</v>
      </c>
      <c r="O23" s="1" t="s">
        <v>131</v>
      </c>
      <c r="P23" s="2">
        <v>46189</v>
      </c>
      <c r="Q23" s="1" t="s">
        <v>38</v>
      </c>
      <c r="R23" s="1">
        <v>104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idden="1" x14ac:dyDescent="0.25">
      <c r="A24" s="1">
        <v>104</v>
      </c>
      <c r="B24" s="1" t="s">
        <v>297</v>
      </c>
      <c r="C24" s="1" t="s">
        <v>294</v>
      </c>
      <c r="D24" s="1" t="s">
        <v>78</v>
      </c>
      <c r="F24" s="1" t="s">
        <v>69</v>
      </c>
      <c r="G24" s="3">
        <v>46189</v>
      </c>
      <c r="H24" s="3">
        <v>46190</v>
      </c>
      <c r="I24" s="1">
        <v>103</v>
      </c>
      <c r="J24" s="11">
        <v>1</v>
      </c>
      <c r="K24" s="3">
        <v>46190</v>
      </c>
      <c r="L24" s="1" t="s">
        <v>46</v>
      </c>
      <c r="M24" s="1" t="s">
        <v>47</v>
      </c>
      <c r="N24" s="1" t="s">
        <v>289</v>
      </c>
      <c r="O24" s="1" t="s">
        <v>133</v>
      </c>
      <c r="P24" s="2">
        <v>46191</v>
      </c>
      <c r="Q24" s="1" t="s">
        <v>38</v>
      </c>
      <c r="R24" s="1">
        <v>105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</row>
    <row r="25" spans="1:32" hidden="1" x14ac:dyDescent="0.25">
      <c r="A25" s="1">
        <v>105</v>
      </c>
      <c r="B25" s="1" t="s">
        <v>298</v>
      </c>
      <c r="C25" s="1" t="s">
        <v>294</v>
      </c>
      <c r="D25" s="1" t="s">
        <v>84</v>
      </c>
      <c r="F25" s="1" t="s">
        <v>74</v>
      </c>
      <c r="G25" s="3">
        <v>46191</v>
      </c>
      <c r="H25" s="3">
        <v>46191</v>
      </c>
      <c r="I25" s="1">
        <v>104</v>
      </c>
      <c r="J25" s="11">
        <v>1</v>
      </c>
      <c r="K25" s="3">
        <v>46191</v>
      </c>
      <c r="L25" s="1" t="s">
        <v>46</v>
      </c>
      <c r="M25" s="1" t="s">
        <v>47</v>
      </c>
      <c r="N25" s="1" t="s">
        <v>289</v>
      </c>
      <c r="O25" s="1" t="s">
        <v>135</v>
      </c>
      <c r="P25" s="2">
        <v>46192</v>
      </c>
      <c r="Q25" s="1" t="s">
        <v>38</v>
      </c>
      <c r="U25" s="1">
        <v>1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</row>
    <row r="26" spans="1:32" x14ac:dyDescent="0.25">
      <c r="A26" s="1">
        <v>134</v>
      </c>
      <c r="B26" s="1" t="s">
        <v>355</v>
      </c>
      <c r="C26" s="1" t="s">
        <v>356</v>
      </c>
      <c r="D26" s="1" t="s">
        <v>68</v>
      </c>
      <c r="F26" s="1" t="s">
        <v>230</v>
      </c>
      <c r="G26" s="3">
        <v>46181</v>
      </c>
      <c r="H26" s="3">
        <v>46188</v>
      </c>
      <c r="I26" s="1" t="s">
        <v>233</v>
      </c>
      <c r="J26" s="11">
        <v>1</v>
      </c>
      <c r="K26" s="3">
        <v>46188</v>
      </c>
      <c r="L26" s="1" t="s">
        <v>46</v>
      </c>
      <c r="M26" s="1" t="s">
        <v>47</v>
      </c>
      <c r="N26" s="1" t="s">
        <v>350</v>
      </c>
      <c r="O26" s="1" t="s">
        <v>182</v>
      </c>
      <c r="P26" s="2">
        <v>46188</v>
      </c>
      <c r="Q26" s="1" t="s">
        <v>38</v>
      </c>
      <c r="R26" s="1">
        <v>135</v>
      </c>
      <c r="U26" s="1">
        <v>1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</row>
    <row r="27" spans="1:32" hidden="1" x14ac:dyDescent="0.25">
      <c r="A27" s="1">
        <v>135</v>
      </c>
      <c r="B27" s="1" t="s">
        <v>357</v>
      </c>
      <c r="C27" s="1" t="s">
        <v>356</v>
      </c>
      <c r="D27" s="1" t="s">
        <v>73</v>
      </c>
      <c r="F27" s="1" t="s">
        <v>74</v>
      </c>
      <c r="G27" s="3">
        <v>46188</v>
      </c>
      <c r="H27" s="3">
        <v>46188</v>
      </c>
      <c r="I27" s="1">
        <v>134</v>
      </c>
      <c r="J27" s="11">
        <v>1</v>
      </c>
      <c r="K27" s="3">
        <v>46188</v>
      </c>
      <c r="L27" s="1" t="s">
        <v>46</v>
      </c>
      <c r="M27" s="1" t="s">
        <v>47</v>
      </c>
      <c r="N27" s="1" t="s">
        <v>350</v>
      </c>
      <c r="O27" s="1" t="s">
        <v>131</v>
      </c>
      <c r="P27" s="2">
        <v>46189</v>
      </c>
      <c r="Q27" s="1" t="s">
        <v>38</v>
      </c>
      <c r="R27" s="1">
        <v>136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25">
      <c r="A28" s="1">
        <v>150</v>
      </c>
      <c r="B28" s="1" t="s">
        <v>384</v>
      </c>
      <c r="C28" s="1" t="s">
        <v>385</v>
      </c>
      <c r="D28" s="1" t="s">
        <v>68</v>
      </c>
      <c r="F28" s="1" t="s">
        <v>45</v>
      </c>
      <c r="G28" s="3">
        <v>46170</v>
      </c>
      <c r="H28" s="3">
        <v>46170</v>
      </c>
      <c r="I28" s="1" t="s">
        <v>233</v>
      </c>
      <c r="J28" s="11">
        <v>1</v>
      </c>
      <c r="K28" s="3">
        <v>46170</v>
      </c>
      <c r="L28" s="1" t="s">
        <v>46</v>
      </c>
      <c r="M28" s="1" t="s">
        <v>47</v>
      </c>
      <c r="N28" s="1" t="s">
        <v>380</v>
      </c>
      <c r="O28" s="1" t="s">
        <v>182</v>
      </c>
      <c r="P28" s="2">
        <v>46188</v>
      </c>
      <c r="Q28" s="1" t="s">
        <v>38</v>
      </c>
      <c r="R28" s="1" t="s">
        <v>386</v>
      </c>
      <c r="U28" s="1">
        <v>1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</row>
    <row r="29" spans="1:32" hidden="1" x14ac:dyDescent="0.25">
      <c r="A29" s="1">
        <v>151</v>
      </c>
      <c r="B29" s="1" t="s">
        <v>387</v>
      </c>
      <c r="C29" s="1" t="s">
        <v>385</v>
      </c>
      <c r="D29" s="1" t="s">
        <v>73</v>
      </c>
      <c r="F29" s="1" t="s">
        <v>74</v>
      </c>
      <c r="G29" s="3">
        <v>46171</v>
      </c>
      <c r="H29" s="3">
        <v>46171</v>
      </c>
      <c r="I29" s="1">
        <v>150</v>
      </c>
      <c r="J29" s="11">
        <v>1</v>
      </c>
      <c r="K29" s="3">
        <v>46171</v>
      </c>
      <c r="L29" s="1" t="s">
        <v>46</v>
      </c>
      <c r="M29" s="1" t="s">
        <v>47</v>
      </c>
      <c r="N29" s="1" t="s">
        <v>380</v>
      </c>
      <c r="O29" s="1" t="s">
        <v>131</v>
      </c>
      <c r="P29" s="2">
        <v>46189</v>
      </c>
      <c r="Q29" s="1" t="s">
        <v>38</v>
      </c>
      <c r="R29" s="1">
        <v>152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25">
      <c r="A30" s="1">
        <v>155</v>
      </c>
      <c r="B30" s="1" t="s">
        <v>392</v>
      </c>
      <c r="C30" s="1" t="s">
        <v>393</v>
      </c>
      <c r="D30" s="1" t="s">
        <v>68</v>
      </c>
      <c r="F30" s="1" t="s">
        <v>45</v>
      </c>
      <c r="G30" s="3">
        <v>46170</v>
      </c>
      <c r="H30" s="3">
        <v>46170</v>
      </c>
      <c r="I30" s="1" t="s">
        <v>233</v>
      </c>
      <c r="J30" s="11">
        <v>1</v>
      </c>
      <c r="K30" s="3">
        <v>46170</v>
      </c>
      <c r="L30" s="1" t="s">
        <v>46</v>
      </c>
      <c r="M30" s="1" t="s">
        <v>47</v>
      </c>
      <c r="N30" s="1" t="s">
        <v>380</v>
      </c>
      <c r="O30" s="1" t="s">
        <v>182</v>
      </c>
      <c r="P30" s="2">
        <v>46188</v>
      </c>
      <c r="Q30" s="1" t="s">
        <v>38</v>
      </c>
      <c r="R30" s="1" t="s">
        <v>394</v>
      </c>
      <c r="U30" s="1">
        <v>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</row>
    <row r="31" spans="1:32" hidden="1" x14ac:dyDescent="0.25">
      <c r="A31" s="1">
        <v>156</v>
      </c>
      <c r="B31" s="1" t="s">
        <v>395</v>
      </c>
      <c r="C31" s="1" t="s">
        <v>393</v>
      </c>
      <c r="D31" s="1" t="s">
        <v>73</v>
      </c>
      <c r="F31" s="1" t="s">
        <v>74</v>
      </c>
      <c r="G31" s="3">
        <v>46171</v>
      </c>
      <c r="H31" s="3">
        <v>46171</v>
      </c>
      <c r="I31" s="1">
        <v>155</v>
      </c>
      <c r="J31" s="11">
        <v>1</v>
      </c>
      <c r="K31" s="3">
        <v>46171</v>
      </c>
      <c r="L31" s="1" t="s">
        <v>46</v>
      </c>
      <c r="M31" s="1" t="s">
        <v>47</v>
      </c>
      <c r="N31" s="1" t="s">
        <v>380</v>
      </c>
      <c r="O31" s="1" t="s">
        <v>131</v>
      </c>
      <c r="P31" s="2">
        <v>46189</v>
      </c>
      <c r="Q31" s="1" t="s">
        <v>38</v>
      </c>
      <c r="R31" s="1">
        <v>157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25">
      <c r="A32" s="1">
        <v>170</v>
      </c>
      <c r="B32" s="1" t="s">
        <v>418</v>
      </c>
      <c r="C32" s="1" t="s">
        <v>419</v>
      </c>
      <c r="D32" s="1" t="s">
        <v>68</v>
      </c>
      <c r="F32" s="1" t="s">
        <v>93</v>
      </c>
      <c r="G32" s="3">
        <v>46205</v>
      </c>
      <c r="H32" s="3">
        <v>46209</v>
      </c>
      <c r="J32" s="11">
        <v>1</v>
      </c>
      <c r="K32" s="3">
        <v>46209</v>
      </c>
      <c r="L32" s="1" t="s">
        <v>46</v>
      </c>
      <c r="M32" s="1" t="s">
        <v>47</v>
      </c>
      <c r="N32" s="1" t="s">
        <v>380</v>
      </c>
      <c r="O32" s="1" t="s">
        <v>400</v>
      </c>
      <c r="P32" s="2">
        <v>46168</v>
      </c>
      <c r="Q32" s="1" t="s">
        <v>38</v>
      </c>
      <c r="R32" s="1">
        <v>171</v>
      </c>
      <c r="U32" s="1">
        <v>1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81"/>
  <sheetViews>
    <sheetView workbookViewId="0">
      <selection activeCell="F86" sqref="F86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27.28515625" style="1" bestFit="1" customWidth="1"/>
    <col min="5" max="5" width="29.85546875" style="1" bestFit="1" customWidth="1"/>
    <col min="6" max="6" width="12.7109375" style="1" bestFit="1" customWidth="1"/>
    <col min="7" max="7" width="10.7109375" style="3" bestFit="1" customWidth="1"/>
    <col min="8" max="8" width="13" style="3" bestFit="1" customWidth="1"/>
    <col min="9" max="9" width="18.42578125" style="1" bestFit="1" customWidth="1"/>
    <col min="10" max="10" width="16" style="11" bestFit="1" customWidth="1"/>
    <col min="11" max="11" width="16.85546875" style="1" bestFit="1" customWidth="1"/>
    <col min="12" max="12" width="12.42578125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82.42578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12</v>
      </c>
      <c r="B2" s="1" t="s">
        <v>87</v>
      </c>
      <c r="C2" s="1" t="s">
        <v>61</v>
      </c>
      <c r="D2" s="1" t="s">
        <v>88</v>
      </c>
      <c r="E2" s="1" t="s">
        <v>89</v>
      </c>
      <c r="F2" s="1" t="s">
        <v>90</v>
      </c>
      <c r="G2" s="3">
        <v>46176</v>
      </c>
      <c r="H2" s="3">
        <v>46197</v>
      </c>
      <c r="J2" s="11">
        <v>0.81</v>
      </c>
      <c r="L2" s="1" t="s">
        <v>34</v>
      </c>
      <c r="M2" s="1" t="s">
        <v>47</v>
      </c>
      <c r="N2" s="1" t="s">
        <v>59</v>
      </c>
      <c r="O2" s="1" t="s">
        <v>75</v>
      </c>
      <c r="P2" s="2">
        <v>46161</v>
      </c>
      <c r="Q2" s="1" t="s">
        <v>38</v>
      </c>
      <c r="S2" s="1" t="s">
        <v>65</v>
      </c>
      <c r="U2" s="1">
        <v>0.81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15</v>
      </c>
      <c r="B3" s="1" t="s">
        <v>99</v>
      </c>
      <c r="C3" s="1" t="s">
        <v>92</v>
      </c>
      <c r="D3" s="1" t="s">
        <v>78</v>
      </c>
      <c r="F3" s="1" t="s">
        <v>74</v>
      </c>
      <c r="G3" s="3">
        <v>46196</v>
      </c>
      <c r="H3" s="3">
        <v>46196</v>
      </c>
      <c r="I3" s="1" t="s">
        <v>100</v>
      </c>
      <c r="J3" s="11">
        <v>0.5</v>
      </c>
      <c r="L3" s="1" t="s">
        <v>34</v>
      </c>
      <c r="M3" s="1" t="s">
        <v>47</v>
      </c>
      <c r="N3" s="1" t="s">
        <v>59</v>
      </c>
      <c r="O3" s="1" t="s">
        <v>101</v>
      </c>
      <c r="P3" s="2">
        <v>46196</v>
      </c>
      <c r="Q3" s="1" t="s">
        <v>38</v>
      </c>
      <c r="R3" s="1">
        <v>16</v>
      </c>
      <c r="U3" s="1">
        <v>0.5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16</v>
      </c>
      <c r="B4" s="1" t="s">
        <v>102</v>
      </c>
      <c r="C4" s="1" t="s">
        <v>92</v>
      </c>
      <c r="D4" s="1" t="s">
        <v>84</v>
      </c>
      <c r="F4" s="1" t="s">
        <v>74</v>
      </c>
      <c r="G4" s="3">
        <v>46197</v>
      </c>
      <c r="H4" s="3">
        <v>46197</v>
      </c>
      <c r="I4" s="1">
        <v>15</v>
      </c>
      <c r="J4" s="11">
        <v>0</v>
      </c>
      <c r="L4" s="1" t="s">
        <v>34</v>
      </c>
      <c r="M4" s="1" t="s">
        <v>47</v>
      </c>
      <c r="N4" s="1" t="s">
        <v>59</v>
      </c>
      <c r="O4" s="1" t="s">
        <v>103</v>
      </c>
      <c r="P4" s="2">
        <v>46197</v>
      </c>
      <c r="Q4" s="1" t="s">
        <v>38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</row>
    <row r="5" spans="1:32" hidden="1" x14ac:dyDescent="0.25">
      <c r="A5" s="1">
        <v>17</v>
      </c>
      <c r="B5" s="1" t="s">
        <v>104</v>
      </c>
      <c r="C5" s="1" t="s">
        <v>61</v>
      </c>
      <c r="D5" s="1" t="s">
        <v>105</v>
      </c>
      <c r="E5" s="1" t="s">
        <v>106</v>
      </c>
      <c r="F5" s="1" t="s">
        <v>90</v>
      </c>
      <c r="G5" s="3">
        <v>46176</v>
      </c>
      <c r="H5" s="3">
        <v>46197</v>
      </c>
      <c r="J5" s="11">
        <v>0.81</v>
      </c>
      <c r="L5" s="1" t="s">
        <v>34</v>
      </c>
      <c r="M5" s="1" t="s">
        <v>47</v>
      </c>
      <c r="N5" s="1" t="s">
        <v>59</v>
      </c>
      <c r="O5" s="1" t="s">
        <v>75</v>
      </c>
      <c r="P5" s="2">
        <v>46161</v>
      </c>
      <c r="Q5" s="1" t="s">
        <v>38</v>
      </c>
      <c r="U5" s="1">
        <v>0.81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hidden="1" x14ac:dyDescent="0.25">
      <c r="A6" s="1">
        <v>20</v>
      </c>
      <c r="B6" s="1" t="s">
        <v>113</v>
      </c>
      <c r="C6" s="1" t="s">
        <v>108</v>
      </c>
      <c r="D6" s="1" t="s">
        <v>78</v>
      </c>
      <c r="F6" s="1" t="s">
        <v>74</v>
      </c>
      <c r="G6" s="3">
        <v>46196</v>
      </c>
      <c r="H6" s="3">
        <v>46196</v>
      </c>
      <c r="I6" s="1" t="s">
        <v>114</v>
      </c>
      <c r="J6" s="11">
        <v>0.5</v>
      </c>
      <c r="L6" s="1" t="s">
        <v>34</v>
      </c>
      <c r="M6" s="1" t="s">
        <v>47</v>
      </c>
      <c r="N6" s="1" t="s">
        <v>59</v>
      </c>
      <c r="O6" s="1" t="s">
        <v>115</v>
      </c>
      <c r="P6" s="2">
        <v>46160</v>
      </c>
      <c r="Q6" s="1" t="s">
        <v>38</v>
      </c>
      <c r="R6" s="1">
        <v>21</v>
      </c>
      <c r="U6" s="1">
        <v>0.5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</row>
    <row r="7" spans="1:32" hidden="1" x14ac:dyDescent="0.25">
      <c r="A7" s="1">
        <v>21</v>
      </c>
      <c r="B7" s="1" t="s">
        <v>116</v>
      </c>
      <c r="C7" s="1" t="s">
        <v>108</v>
      </c>
      <c r="D7" s="1" t="s">
        <v>84</v>
      </c>
      <c r="F7" s="1" t="s">
        <v>74</v>
      </c>
      <c r="G7" s="3">
        <v>46197</v>
      </c>
      <c r="H7" s="3">
        <v>46197</v>
      </c>
      <c r="I7" s="1">
        <v>20</v>
      </c>
      <c r="J7" s="11">
        <v>0</v>
      </c>
      <c r="L7" s="1" t="s">
        <v>34</v>
      </c>
      <c r="M7" s="1" t="s">
        <v>47</v>
      </c>
      <c r="N7" s="1" t="s">
        <v>59</v>
      </c>
      <c r="O7" s="1" t="s">
        <v>117</v>
      </c>
      <c r="P7" s="2">
        <v>46161</v>
      </c>
      <c r="Q7" s="1" t="s">
        <v>38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</row>
    <row r="8" spans="1:32" hidden="1" x14ac:dyDescent="0.25">
      <c r="A8" s="1">
        <v>22</v>
      </c>
      <c r="B8" s="1" t="s">
        <v>118</v>
      </c>
      <c r="C8" s="1" t="s">
        <v>43</v>
      </c>
      <c r="D8" s="1" t="s">
        <v>119</v>
      </c>
      <c r="F8" s="1" t="s">
        <v>120</v>
      </c>
      <c r="G8" s="3">
        <v>46174</v>
      </c>
      <c r="H8" s="3">
        <v>46225</v>
      </c>
      <c r="J8" s="11">
        <v>0.4</v>
      </c>
      <c r="L8" s="1" t="s">
        <v>34</v>
      </c>
      <c r="M8" s="1" t="s">
        <v>47</v>
      </c>
      <c r="N8" s="1" t="s">
        <v>121</v>
      </c>
      <c r="O8" s="1" t="s">
        <v>37</v>
      </c>
      <c r="P8" s="2">
        <v>46211</v>
      </c>
      <c r="Q8" s="1" t="s">
        <v>38</v>
      </c>
      <c r="U8" s="1">
        <v>0.4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hidden="1" x14ac:dyDescent="0.25">
      <c r="A9" s="1">
        <v>23</v>
      </c>
      <c r="B9" s="1" t="s">
        <v>122</v>
      </c>
      <c r="C9" s="1" t="s">
        <v>123</v>
      </c>
      <c r="D9" s="1" t="s">
        <v>124</v>
      </c>
      <c r="E9" s="1" t="s">
        <v>125</v>
      </c>
      <c r="F9" s="1" t="s">
        <v>126</v>
      </c>
      <c r="G9" s="3">
        <v>46195</v>
      </c>
      <c r="H9" s="3">
        <v>46203</v>
      </c>
      <c r="J9" s="11">
        <v>0</v>
      </c>
      <c r="L9" s="1" t="s">
        <v>34</v>
      </c>
      <c r="M9" s="1" t="s">
        <v>47</v>
      </c>
      <c r="N9" s="1" t="s">
        <v>121</v>
      </c>
      <c r="O9" s="1" t="s">
        <v>127</v>
      </c>
      <c r="P9" s="2">
        <v>46192</v>
      </c>
      <c r="Q9" s="1" t="s">
        <v>38</v>
      </c>
      <c r="S9" s="1" t="s">
        <v>65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x14ac:dyDescent="0.25">
      <c r="A10" s="1">
        <v>24</v>
      </c>
      <c r="B10" s="1" t="s">
        <v>128</v>
      </c>
      <c r="C10" s="1" t="s">
        <v>129</v>
      </c>
      <c r="D10" s="1" t="s">
        <v>68</v>
      </c>
      <c r="F10" s="1" t="s">
        <v>93</v>
      </c>
      <c r="G10" s="3">
        <v>46195</v>
      </c>
      <c r="H10" s="3">
        <v>46197</v>
      </c>
      <c r="J10" s="11">
        <v>0</v>
      </c>
      <c r="L10" s="1" t="s">
        <v>34</v>
      </c>
      <c r="M10" s="1" t="s">
        <v>47</v>
      </c>
      <c r="N10" s="1" t="s">
        <v>121</v>
      </c>
      <c r="O10" s="1" t="s">
        <v>127</v>
      </c>
      <c r="P10" s="2">
        <v>46188</v>
      </c>
      <c r="Q10" s="1" t="s">
        <v>38</v>
      </c>
      <c r="R10" s="1">
        <v>25</v>
      </c>
      <c r="U10" s="1">
        <v>0</v>
      </c>
      <c r="V10" s="1">
        <v>1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hidden="1" x14ac:dyDescent="0.25">
      <c r="A11" s="1">
        <v>25</v>
      </c>
      <c r="B11" s="1" t="s">
        <v>130</v>
      </c>
      <c r="C11" s="1" t="s">
        <v>129</v>
      </c>
      <c r="D11" s="1" t="s">
        <v>73</v>
      </c>
      <c r="F11" s="1" t="s">
        <v>74</v>
      </c>
      <c r="G11" s="3">
        <v>46198</v>
      </c>
      <c r="H11" s="3">
        <v>46198</v>
      </c>
      <c r="I11" s="1">
        <v>24</v>
      </c>
      <c r="J11" s="11">
        <v>0</v>
      </c>
      <c r="L11" s="1" t="s">
        <v>34</v>
      </c>
      <c r="M11" s="1" t="s">
        <v>47</v>
      </c>
      <c r="N11" s="1" t="s">
        <v>121</v>
      </c>
      <c r="O11" s="1" t="s">
        <v>131</v>
      </c>
      <c r="P11" s="2">
        <v>46189</v>
      </c>
      <c r="Q11" s="1" t="s">
        <v>38</v>
      </c>
      <c r="R11" s="1">
        <v>26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hidden="1" x14ac:dyDescent="0.25">
      <c r="A12" s="1">
        <v>26</v>
      </c>
      <c r="B12" s="1" t="s">
        <v>132</v>
      </c>
      <c r="C12" s="1" t="s">
        <v>129</v>
      </c>
      <c r="D12" s="1" t="s">
        <v>78</v>
      </c>
      <c r="F12" s="1" t="s">
        <v>69</v>
      </c>
      <c r="G12" s="3">
        <v>46199</v>
      </c>
      <c r="H12" s="3">
        <v>46202</v>
      </c>
      <c r="I12" s="1">
        <v>25</v>
      </c>
      <c r="J12" s="11">
        <v>0</v>
      </c>
      <c r="L12" s="1" t="s">
        <v>34</v>
      </c>
      <c r="M12" s="1" t="s">
        <v>47</v>
      </c>
      <c r="N12" s="1" t="s">
        <v>121</v>
      </c>
      <c r="O12" s="1" t="s">
        <v>133</v>
      </c>
      <c r="P12" s="2">
        <v>46191</v>
      </c>
      <c r="Q12" s="1" t="s">
        <v>38</v>
      </c>
      <c r="R12" s="1">
        <v>27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</row>
    <row r="13" spans="1:32" hidden="1" x14ac:dyDescent="0.25">
      <c r="A13" s="1">
        <v>27</v>
      </c>
      <c r="B13" s="1" t="s">
        <v>134</v>
      </c>
      <c r="C13" s="1" t="s">
        <v>129</v>
      </c>
      <c r="D13" s="1" t="s">
        <v>84</v>
      </c>
      <c r="F13" s="1" t="s">
        <v>74</v>
      </c>
      <c r="G13" s="3">
        <v>46203</v>
      </c>
      <c r="H13" s="3">
        <v>46203</v>
      </c>
      <c r="I13" s="1">
        <v>26</v>
      </c>
      <c r="J13" s="11">
        <v>0</v>
      </c>
      <c r="L13" s="1" t="s">
        <v>34</v>
      </c>
      <c r="M13" s="1" t="s">
        <v>47</v>
      </c>
      <c r="N13" s="1" t="s">
        <v>121</v>
      </c>
      <c r="O13" s="1" t="s">
        <v>135</v>
      </c>
      <c r="P13" s="2">
        <v>46192</v>
      </c>
      <c r="Q13" s="1" t="s">
        <v>38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</row>
    <row r="14" spans="1:32" hidden="1" x14ac:dyDescent="0.25">
      <c r="A14" s="1">
        <v>28</v>
      </c>
      <c r="B14" s="1" t="s">
        <v>136</v>
      </c>
      <c r="C14" s="1" t="s">
        <v>123</v>
      </c>
      <c r="D14" s="1" t="s">
        <v>137</v>
      </c>
      <c r="E14" s="1" t="s">
        <v>138</v>
      </c>
      <c r="F14" s="1" t="s">
        <v>139</v>
      </c>
      <c r="G14" s="3">
        <v>46199</v>
      </c>
      <c r="H14" s="3">
        <v>46204</v>
      </c>
      <c r="J14" s="11">
        <v>0</v>
      </c>
      <c r="L14" s="1" t="s">
        <v>34</v>
      </c>
      <c r="M14" s="1" t="s">
        <v>47</v>
      </c>
      <c r="N14" s="1" t="s">
        <v>121</v>
      </c>
      <c r="O14" s="1" t="s">
        <v>140</v>
      </c>
      <c r="P14" s="2">
        <v>46211</v>
      </c>
      <c r="Q14" s="1" t="s">
        <v>38</v>
      </c>
      <c r="S14" s="1" t="s">
        <v>65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25">
      <c r="A15" s="1">
        <v>29</v>
      </c>
      <c r="B15" s="1" t="s">
        <v>141</v>
      </c>
      <c r="C15" s="1" t="s">
        <v>142</v>
      </c>
      <c r="D15" s="1" t="s">
        <v>68</v>
      </c>
      <c r="F15" s="1" t="s">
        <v>74</v>
      </c>
      <c r="G15" s="3">
        <v>46199</v>
      </c>
      <c r="H15" s="3">
        <v>46201</v>
      </c>
      <c r="J15" s="11">
        <v>0</v>
      </c>
      <c r="L15" s="1" t="s">
        <v>34</v>
      </c>
      <c r="M15" s="1" t="s">
        <v>47</v>
      </c>
      <c r="N15" s="1" t="s">
        <v>121</v>
      </c>
      <c r="O15" s="1" t="s">
        <v>140</v>
      </c>
      <c r="P15" s="2">
        <v>46205</v>
      </c>
      <c r="R15" s="1">
        <v>30</v>
      </c>
      <c r="U15" s="1">
        <v>0</v>
      </c>
      <c r="V15" s="1">
        <v>1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hidden="1" x14ac:dyDescent="0.25">
      <c r="A16" s="1">
        <v>30</v>
      </c>
      <c r="B16" s="1" t="s">
        <v>143</v>
      </c>
      <c r="C16" s="1" t="s">
        <v>142</v>
      </c>
      <c r="D16" s="1" t="s">
        <v>73</v>
      </c>
      <c r="F16" s="1" t="s">
        <v>74</v>
      </c>
      <c r="G16" s="3">
        <v>46202</v>
      </c>
      <c r="H16" s="3">
        <v>46202</v>
      </c>
      <c r="I16" s="1">
        <v>29</v>
      </c>
      <c r="J16" s="11">
        <v>0</v>
      </c>
      <c r="L16" s="1" t="s">
        <v>34</v>
      </c>
      <c r="M16" s="1" t="s">
        <v>47</v>
      </c>
      <c r="N16" s="1" t="s">
        <v>121</v>
      </c>
      <c r="O16" s="1" t="s">
        <v>144</v>
      </c>
      <c r="P16" s="2">
        <v>46206</v>
      </c>
      <c r="R16" s="1">
        <v>31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hidden="1" x14ac:dyDescent="0.25">
      <c r="A17" s="1">
        <v>31</v>
      </c>
      <c r="B17" s="1" t="s">
        <v>145</v>
      </c>
      <c r="C17" s="1" t="s">
        <v>142</v>
      </c>
      <c r="D17" s="1" t="s">
        <v>78</v>
      </c>
      <c r="F17" s="1" t="s">
        <v>74</v>
      </c>
      <c r="G17" s="3">
        <v>46203</v>
      </c>
      <c r="H17" s="3">
        <v>46203</v>
      </c>
      <c r="I17" s="1">
        <v>30</v>
      </c>
      <c r="J17" s="11">
        <v>0</v>
      </c>
      <c r="L17" s="1" t="s">
        <v>34</v>
      </c>
      <c r="M17" s="1" t="s">
        <v>47</v>
      </c>
      <c r="N17" s="1" t="s">
        <v>121</v>
      </c>
      <c r="O17" s="1" t="s">
        <v>146</v>
      </c>
      <c r="P17" s="2">
        <v>46210</v>
      </c>
      <c r="R17" s="1">
        <v>32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</row>
    <row r="18" spans="1:32" hidden="1" x14ac:dyDescent="0.25">
      <c r="A18" s="1">
        <v>32</v>
      </c>
      <c r="B18" s="1" t="s">
        <v>147</v>
      </c>
      <c r="C18" s="1" t="s">
        <v>142</v>
      </c>
      <c r="D18" s="1" t="s">
        <v>84</v>
      </c>
      <c r="F18" s="1" t="s">
        <v>74</v>
      </c>
      <c r="G18" s="3">
        <v>46204</v>
      </c>
      <c r="H18" s="3">
        <v>46204</v>
      </c>
      <c r="I18" s="1">
        <v>31</v>
      </c>
      <c r="J18" s="11">
        <v>0</v>
      </c>
      <c r="L18" s="1" t="s">
        <v>34</v>
      </c>
      <c r="M18" s="1" t="s">
        <v>47</v>
      </c>
      <c r="N18" s="1" t="s">
        <v>121</v>
      </c>
      <c r="O18" s="1" t="s">
        <v>148</v>
      </c>
      <c r="P18" s="2">
        <v>46211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</row>
    <row r="19" spans="1:32" hidden="1" x14ac:dyDescent="0.25">
      <c r="A19" s="1">
        <v>33</v>
      </c>
      <c r="B19" s="1" t="s">
        <v>149</v>
      </c>
      <c r="C19" s="1" t="s">
        <v>123</v>
      </c>
      <c r="D19" s="1" t="s">
        <v>150</v>
      </c>
      <c r="E19" s="1" t="s">
        <v>151</v>
      </c>
      <c r="F19" s="1" t="s">
        <v>126</v>
      </c>
      <c r="G19" s="3">
        <v>46195</v>
      </c>
      <c r="H19" s="3">
        <v>46203</v>
      </c>
      <c r="J19" s="11">
        <v>0.71</v>
      </c>
      <c r="L19" s="1" t="s">
        <v>34</v>
      </c>
      <c r="M19" s="1" t="s">
        <v>47</v>
      </c>
      <c r="N19" s="1" t="s">
        <v>121</v>
      </c>
      <c r="O19" s="1" t="s">
        <v>152</v>
      </c>
      <c r="P19" s="2">
        <v>46231</v>
      </c>
      <c r="Q19" s="1" t="s">
        <v>38</v>
      </c>
      <c r="U19" s="1">
        <v>0.71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hidden="1" x14ac:dyDescent="0.25">
      <c r="A20" s="1">
        <v>36</v>
      </c>
      <c r="B20" s="1" t="s">
        <v>158</v>
      </c>
      <c r="C20" s="1" t="s">
        <v>154</v>
      </c>
      <c r="D20" s="1" t="s">
        <v>78</v>
      </c>
      <c r="F20" s="1" t="s">
        <v>69</v>
      </c>
      <c r="G20" s="3">
        <v>46199</v>
      </c>
      <c r="H20" s="3">
        <v>46202</v>
      </c>
      <c r="I20" s="1">
        <v>35</v>
      </c>
      <c r="J20" s="11">
        <v>0.5</v>
      </c>
      <c r="L20" s="1" t="s">
        <v>34</v>
      </c>
      <c r="M20" s="1" t="s">
        <v>47</v>
      </c>
      <c r="N20" s="1" t="s">
        <v>121</v>
      </c>
      <c r="O20" s="1" t="s">
        <v>159</v>
      </c>
      <c r="P20" s="2">
        <v>46230</v>
      </c>
      <c r="Q20" s="1" t="s">
        <v>38</v>
      </c>
      <c r="R20" s="1">
        <v>37</v>
      </c>
      <c r="U20" s="1">
        <v>0.5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</row>
    <row r="21" spans="1:32" hidden="1" x14ac:dyDescent="0.25">
      <c r="A21" s="1">
        <v>37</v>
      </c>
      <c r="B21" s="1" t="s">
        <v>160</v>
      </c>
      <c r="C21" s="1" t="s">
        <v>154</v>
      </c>
      <c r="D21" s="1" t="s">
        <v>84</v>
      </c>
      <c r="F21" s="1" t="s">
        <v>74</v>
      </c>
      <c r="G21" s="3">
        <v>46203</v>
      </c>
      <c r="H21" s="3">
        <v>46203</v>
      </c>
      <c r="I21" s="1">
        <v>36</v>
      </c>
      <c r="J21" s="11">
        <v>0</v>
      </c>
      <c r="L21" s="1" t="s">
        <v>34</v>
      </c>
      <c r="M21" s="1" t="s">
        <v>47</v>
      </c>
      <c r="N21" s="1" t="s">
        <v>121</v>
      </c>
      <c r="O21" s="1" t="s">
        <v>161</v>
      </c>
      <c r="P21" s="2">
        <v>46231</v>
      </c>
      <c r="Q21" s="1" t="s">
        <v>38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</row>
    <row r="22" spans="1:32" hidden="1" x14ac:dyDescent="0.25">
      <c r="A22" s="1">
        <v>38</v>
      </c>
      <c r="B22" s="1" t="s">
        <v>162</v>
      </c>
      <c r="C22" s="1" t="s">
        <v>123</v>
      </c>
      <c r="D22" s="1" t="s">
        <v>163</v>
      </c>
      <c r="E22" s="1" t="s">
        <v>164</v>
      </c>
      <c r="F22" s="1" t="s">
        <v>120</v>
      </c>
      <c r="G22" s="3">
        <v>46174</v>
      </c>
      <c r="H22" s="3">
        <v>46225</v>
      </c>
      <c r="J22" s="11">
        <v>0.71</v>
      </c>
      <c r="L22" s="1" t="s">
        <v>64</v>
      </c>
      <c r="M22" s="1" t="s">
        <v>47</v>
      </c>
      <c r="N22" s="1" t="s">
        <v>121</v>
      </c>
      <c r="O22" s="1" t="s">
        <v>37</v>
      </c>
      <c r="P22" s="2">
        <v>46189</v>
      </c>
      <c r="Q22" s="1" t="s">
        <v>38</v>
      </c>
      <c r="U22" s="1">
        <v>0.71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hidden="1" x14ac:dyDescent="0.25">
      <c r="A23" s="1">
        <v>41</v>
      </c>
      <c r="B23" s="1" t="s">
        <v>169</v>
      </c>
      <c r="C23" s="1" t="s">
        <v>166</v>
      </c>
      <c r="D23" s="1" t="s">
        <v>78</v>
      </c>
      <c r="F23" s="1" t="s">
        <v>69</v>
      </c>
      <c r="G23" s="3">
        <v>46220</v>
      </c>
      <c r="H23" s="3">
        <v>46224</v>
      </c>
      <c r="I23" s="1" t="s">
        <v>170</v>
      </c>
      <c r="J23" s="11">
        <v>0.5</v>
      </c>
      <c r="L23" s="1" t="s">
        <v>80</v>
      </c>
      <c r="M23" s="1" t="s">
        <v>47</v>
      </c>
      <c r="N23" s="1" t="s">
        <v>121</v>
      </c>
      <c r="O23" s="1" t="s">
        <v>171</v>
      </c>
      <c r="P23" s="2">
        <v>46188</v>
      </c>
      <c r="Q23" s="1" t="s">
        <v>38</v>
      </c>
      <c r="R23" s="1">
        <v>42</v>
      </c>
      <c r="U23" s="1">
        <v>0.5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idden="1" x14ac:dyDescent="0.25">
      <c r="A24" s="1">
        <v>42</v>
      </c>
      <c r="B24" s="1" t="s">
        <v>172</v>
      </c>
      <c r="C24" s="1" t="s">
        <v>166</v>
      </c>
      <c r="D24" s="1" t="s">
        <v>84</v>
      </c>
      <c r="F24" s="1" t="s">
        <v>74</v>
      </c>
      <c r="G24" s="3">
        <v>46225</v>
      </c>
      <c r="H24" s="3">
        <v>46225</v>
      </c>
      <c r="I24" s="1">
        <v>41</v>
      </c>
      <c r="J24" s="11">
        <v>0</v>
      </c>
      <c r="L24" s="1" t="s">
        <v>80</v>
      </c>
      <c r="M24" s="1" t="s">
        <v>47</v>
      </c>
      <c r="N24" s="1" t="s">
        <v>121</v>
      </c>
      <c r="O24" s="1" t="s">
        <v>131</v>
      </c>
      <c r="P24" s="2">
        <v>46189</v>
      </c>
      <c r="Q24" s="1" t="s">
        <v>38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hidden="1" x14ac:dyDescent="0.25">
      <c r="A25" s="1">
        <v>44</v>
      </c>
      <c r="B25" s="1" t="s">
        <v>177</v>
      </c>
      <c r="C25" s="1" t="s">
        <v>178</v>
      </c>
      <c r="D25" s="1" t="s">
        <v>179</v>
      </c>
      <c r="E25" s="1" t="s">
        <v>180</v>
      </c>
      <c r="F25" s="1" t="s">
        <v>181</v>
      </c>
      <c r="G25" s="3">
        <v>46181</v>
      </c>
      <c r="H25" s="3">
        <v>46191</v>
      </c>
      <c r="J25" s="11">
        <v>0.28000000000000003</v>
      </c>
      <c r="L25" s="1" t="s">
        <v>34</v>
      </c>
      <c r="M25" s="1" t="s">
        <v>47</v>
      </c>
      <c r="N25" s="1" t="s">
        <v>176</v>
      </c>
      <c r="O25" s="1" t="s">
        <v>182</v>
      </c>
      <c r="P25" s="2">
        <v>46192</v>
      </c>
      <c r="Q25" s="1" t="s">
        <v>38</v>
      </c>
      <c r="U25" s="1">
        <v>0.28000000000000003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25">
      <c r="A26" s="1">
        <v>45</v>
      </c>
      <c r="B26" s="1" t="s">
        <v>183</v>
      </c>
      <c r="C26" s="1" t="s">
        <v>184</v>
      </c>
      <c r="D26" s="1" t="s">
        <v>68</v>
      </c>
      <c r="F26" s="1" t="s">
        <v>185</v>
      </c>
      <c r="G26" s="3">
        <v>46181</v>
      </c>
      <c r="H26" s="3">
        <v>46185</v>
      </c>
      <c r="I26" s="1" t="s">
        <v>186</v>
      </c>
      <c r="J26" s="11">
        <v>0.5</v>
      </c>
      <c r="L26" s="1" t="s">
        <v>34</v>
      </c>
      <c r="M26" s="1" t="s">
        <v>47</v>
      </c>
      <c r="N26" s="1" t="s">
        <v>176</v>
      </c>
      <c r="O26" s="1" t="s">
        <v>182</v>
      </c>
      <c r="P26" s="2">
        <v>46188</v>
      </c>
      <c r="Q26" s="1" t="s">
        <v>38</v>
      </c>
      <c r="R26" s="1" t="s">
        <v>187</v>
      </c>
      <c r="U26" s="1">
        <v>0.5</v>
      </c>
      <c r="V26" s="1">
        <v>1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hidden="1" x14ac:dyDescent="0.25">
      <c r="A27" s="1">
        <v>46</v>
      </c>
      <c r="B27" s="1" t="s">
        <v>188</v>
      </c>
      <c r="C27" s="1" t="s">
        <v>184</v>
      </c>
      <c r="D27" s="1" t="s">
        <v>73</v>
      </c>
      <c r="F27" s="1" t="s">
        <v>74</v>
      </c>
      <c r="G27" s="3">
        <v>46188</v>
      </c>
      <c r="H27" s="3">
        <v>46188</v>
      </c>
      <c r="I27" s="1">
        <v>45</v>
      </c>
      <c r="J27" s="11">
        <v>0</v>
      </c>
      <c r="L27" s="1" t="s">
        <v>34</v>
      </c>
      <c r="M27" s="1" t="s">
        <v>47</v>
      </c>
      <c r="N27" s="1" t="s">
        <v>176</v>
      </c>
      <c r="O27" s="1" t="s">
        <v>131</v>
      </c>
      <c r="P27" s="2">
        <v>46189</v>
      </c>
      <c r="Q27" s="1" t="s">
        <v>38</v>
      </c>
      <c r="R27" s="1">
        <v>47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hidden="1" x14ac:dyDescent="0.25">
      <c r="A28" s="1">
        <v>47</v>
      </c>
      <c r="B28" s="1" t="s">
        <v>189</v>
      </c>
      <c r="C28" s="1" t="s">
        <v>184</v>
      </c>
      <c r="D28" s="1" t="s">
        <v>78</v>
      </c>
      <c r="F28" s="1" t="s">
        <v>69</v>
      </c>
      <c r="G28" s="3">
        <v>46189</v>
      </c>
      <c r="H28" s="3">
        <v>46190</v>
      </c>
      <c r="I28" s="1">
        <v>46</v>
      </c>
      <c r="J28" s="11">
        <v>0</v>
      </c>
      <c r="L28" s="1" t="s">
        <v>34</v>
      </c>
      <c r="M28" s="1" t="s">
        <v>47</v>
      </c>
      <c r="N28" s="1" t="s">
        <v>176</v>
      </c>
      <c r="O28" s="1" t="s">
        <v>133</v>
      </c>
      <c r="P28" s="2">
        <v>46191</v>
      </c>
      <c r="Q28" s="1" t="s">
        <v>38</v>
      </c>
      <c r="R28" s="1">
        <v>48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</row>
    <row r="29" spans="1:32" hidden="1" x14ac:dyDescent="0.25">
      <c r="A29" s="1">
        <v>48</v>
      </c>
      <c r="B29" s="1" t="s">
        <v>190</v>
      </c>
      <c r="C29" s="1" t="s">
        <v>184</v>
      </c>
      <c r="D29" s="1" t="s">
        <v>84</v>
      </c>
      <c r="F29" s="1" t="s">
        <v>74</v>
      </c>
      <c r="G29" s="3">
        <v>46191</v>
      </c>
      <c r="H29" s="3">
        <v>46191</v>
      </c>
      <c r="I29" s="1">
        <v>47</v>
      </c>
      <c r="J29" s="11">
        <v>0</v>
      </c>
      <c r="L29" s="1" t="s">
        <v>34</v>
      </c>
      <c r="M29" s="1" t="s">
        <v>47</v>
      </c>
      <c r="N29" s="1" t="s">
        <v>176</v>
      </c>
      <c r="O29" s="1" t="s">
        <v>135</v>
      </c>
      <c r="P29" s="2">
        <v>46192</v>
      </c>
      <c r="Q29" s="1" t="s">
        <v>38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</row>
    <row r="30" spans="1:32" hidden="1" x14ac:dyDescent="0.25">
      <c r="A30" s="1">
        <v>54</v>
      </c>
      <c r="B30" s="1" t="s">
        <v>202</v>
      </c>
      <c r="C30" s="1" t="s">
        <v>178</v>
      </c>
      <c r="D30" s="1" t="s">
        <v>203</v>
      </c>
      <c r="E30" s="1" t="s">
        <v>204</v>
      </c>
      <c r="F30" s="1" t="s">
        <v>139</v>
      </c>
      <c r="G30" s="3">
        <v>46170</v>
      </c>
      <c r="H30" s="3">
        <v>46176</v>
      </c>
      <c r="J30" s="11">
        <v>0.63</v>
      </c>
      <c r="L30" s="1" t="s">
        <v>34</v>
      </c>
      <c r="M30" s="1" t="s">
        <v>47</v>
      </c>
      <c r="N30" s="1" t="s">
        <v>176</v>
      </c>
      <c r="O30" s="1" t="s">
        <v>86</v>
      </c>
      <c r="P30" s="2">
        <v>46167</v>
      </c>
      <c r="Q30" s="1" t="s">
        <v>38</v>
      </c>
      <c r="U30" s="1">
        <v>0.63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hidden="1" x14ac:dyDescent="0.25">
      <c r="A31" s="1">
        <v>57</v>
      </c>
      <c r="B31" s="1" t="s">
        <v>210</v>
      </c>
      <c r="C31" s="1" t="s">
        <v>206</v>
      </c>
      <c r="D31" s="1" t="s">
        <v>78</v>
      </c>
      <c r="F31" s="1" t="s">
        <v>69</v>
      </c>
      <c r="G31" s="3">
        <v>46174</v>
      </c>
      <c r="H31" s="3">
        <v>46175</v>
      </c>
      <c r="I31" s="1">
        <v>56</v>
      </c>
      <c r="J31" s="11">
        <v>0.75</v>
      </c>
      <c r="L31" s="1" t="s">
        <v>34</v>
      </c>
      <c r="M31" s="1" t="s">
        <v>47</v>
      </c>
      <c r="N31" s="1" t="s">
        <v>176</v>
      </c>
      <c r="O31" s="1" t="s">
        <v>211</v>
      </c>
      <c r="P31" s="2">
        <v>46164</v>
      </c>
      <c r="Q31" s="1" t="s">
        <v>38</v>
      </c>
      <c r="R31" s="1">
        <v>58</v>
      </c>
      <c r="U31" s="1">
        <v>0.75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</row>
    <row r="32" spans="1:32" hidden="1" x14ac:dyDescent="0.25">
      <c r="A32" s="1">
        <v>58</v>
      </c>
      <c r="B32" s="1" t="s">
        <v>212</v>
      </c>
      <c r="C32" s="1" t="s">
        <v>206</v>
      </c>
      <c r="D32" s="1" t="s">
        <v>84</v>
      </c>
      <c r="F32" s="1" t="s">
        <v>74</v>
      </c>
      <c r="G32" s="3">
        <v>46176</v>
      </c>
      <c r="H32" s="3">
        <v>46176</v>
      </c>
      <c r="I32" s="1">
        <v>57</v>
      </c>
      <c r="J32" s="11">
        <v>0</v>
      </c>
      <c r="L32" s="1" t="s">
        <v>34</v>
      </c>
      <c r="M32" s="1" t="s">
        <v>47</v>
      </c>
      <c r="N32" s="1" t="s">
        <v>176</v>
      </c>
      <c r="O32" s="1" t="s">
        <v>213</v>
      </c>
      <c r="P32" s="2">
        <v>46167</v>
      </c>
      <c r="Q32" s="1" t="s">
        <v>38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</row>
    <row r="33" spans="1:32" hidden="1" x14ac:dyDescent="0.25">
      <c r="A33" s="1">
        <v>59</v>
      </c>
      <c r="B33" s="1" t="s">
        <v>214</v>
      </c>
      <c r="C33" s="1" t="s">
        <v>178</v>
      </c>
      <c r="D33" s="1" t="s">
        <v>215</v>
      </c>
      <c r="E33" s="1" t="s">
        <v>216</v>
      </c>
      <c r="F33" s="1" t="s">
        <v>217</v>
      </c>
      <c r="G33" s="3">
        <v>46170</v>
      </c>
      <c r="H33" s="3">
        <v>46204</v>
      </c>
      <c r="J33" s="11">
        <v>0.63</v>
      </c>
      <c r="L33" s="1" t="s">
        <v>34</v>
      </c>
      <c r="M33" s="1" t="s">
        <v>47</v>
      </c>
      <c r="N33" s="1" t="s">
        <v>176</v>
      </c>
      <c r="O33" s="1" t="s">
        <v>86</v>
      </c>
      <c r="P33" s="2">
        <v>46167</v>
      </c>
      <c r="Q33" s="1" t="s">
        <v>38</v>
      </c>
      <c r="S33" s="1" t="s">
        <v>65</v>
      </c>
      <c r="U33" s="1">
        <v>0.63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hidden="1" x14ac:dyDescent="0.25">
      <c r="A34" s="1">
        <v>62</v>
      </c>
      <c r="B34" s="1" t="s">
        <v>221</v>
      </c>
      <c r="C34" s="1" t="s">
        <v>219</v>
      </c>
      <c r="D34" s="1" t="s">
        <v>78</v>
      </c>
      <c r="F34" s="1" t="s">
        <v>69</v>
      </c>
      <c r="G34" s="3">
        <v>46202</v>
      </c>
      <c r="H34" s="3">
        <v>46203</v>
      </c>
      <c r="I34" s="1">
        <v>61</v>
      </c>
      <c r="J34" s="11">
        <v>0.75</v>
      </c>
      <c r="L34" s="1" t="s">
        <v>34</v>
      </c>
      <c r="M34" s="1" t="s">
        <v>47</v>
      </c>
      <c r="N34" s="1" t="s">
        <v>176</v>
      </c>
      <c r="O34" s="1" t="s">
        <v>211</v>
      </c>
      <c r="P34" s="2">
        <v>46164</v>
      </c>
      <c r="Q34" s="1" t="s">
        <v>38</v>
      </c>
      <c r="R34" s="1">
        <v>63</v>
      </c>
      <c r="U34" s="1">
        <v>0.75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</row>
    <row r="35" spans="1:32" hidden="1" x14ac:dyDescent="0.25">
      <c r="A35" s="1">
        <v>63</v>
      </c>
      <c r="B35" s="1" t="s">
        <v>222</v>
      </c>
      <c r="C35" s="1" t="s">
        <v>219</v>
      </c>
      <c r="D35" s="1" t="s">
        <v>84</v>
      </c>
      <c r="F35" s="1" t="s">
        <v>74</v>
      </c>
      <c r="G35" s="3">
        <v>46204</v>
      </c>
      <c r="H35" s="3">
        <v>46204</v>
      </c>
      <c r="I35" s="1">
        <v>62</v>
      </c>
      <c r="J35" s="11">
        <v>0</v>
      </c>
      <c r="L35" s="1" t="s">
        <v>34</v>
      </c>
      <c r="M35" s="1" t="s">
        <v>47</v>
      </c>
      <c r="N35" s="1" t="s">
        <v>176</v>
      </c>
      <c r="O35" s="1" t="s">
        <v>213</v>
      </c>
      <c r="P35" s="2">
        <v>46167</v>
      </c>
      <c r="Q35" s="1" t="s">
        <v>38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</row>
    <row r="36" spans="1:32" hidden="1" x14ac:dyDescent="0.25">
      <c r="A36" s="1">
        <v>65</v>
      </c>
      <c r="B36" s="1" t="s">
        <v>227</v>
      </c>
      <c r="C36" s="1" t="s">
        <v>228</v>
      </c>
      <c r="D36" s="1" t="s">
        <v>229</v>
      </c>
      <c r="E36" s="1" t="s">
        <v>180</v>
      </c>
      <c r="F36" s="1" t="s">
        <v>230</v>
      </c>
      <c r="G36" s="3">
        <v>46160</v>
      </c>
      <c r="H36" s="3">
        <v>46167</v>
      </c>
      <c r="J36" s="11">
        <v>0.67</v>
      </c>
      <c r="L36" s="1" t="s">
        <v>34</v>
      </c>
      <c r="M36" s="1" t="s">
        <v>47</v>
      </c>
      <c r="N36" s="1" t="s">
        <v>226</v>
      </c>
      <c r="O36" s="1" t="s">
        <v>182</v>
      </c>
      <c r="P36" s="2">
        <v>46192</v>
      </c>
      <c r="Q36" s="1" t="s">
        <v>38</v>
      </c>
      <c r="U36" s="1">
        <v>0.67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hidden="1" x14ac:dyDescent="0.25">
      <c r="A37" s="1">
        <v>68</v>
      </c>
      <c r="B37" s="1" t="s">
        <v>236</v>
      </c>
      <c r="C37" s="1" t="s">
        <v>232</v>
      </c>
      <c r="D37" s="1" t="s">
        <v>78</v>
      </c>
      <c r="F37" s="1" t="s">
        <v>69</v>
      </c>
      <c r="G37" s="3">
        <v>46163</v>
      </c>
      <c r="H37" s="3">
        <v>46164</v>
      </c>
      <c r="I37" s="1">
        <v>67</v>
      </c>
      <c r="J37" s="11">
        <v>0.5</v>
      </c>
      <c r="L37" s="1" t="s">
        <v>34</v>
      </c>
      <c r="M37" s="1" t="s">
        <v>47</v>
      </c>
      <c r="N37" s="1" t="s">
        <v>226</v>
      </c>
      <c r="O37" s="1" t="s">
        <v>133</v>
      </c>
      <c r="P37" s="2">
        <v>46191</v>
      </c>
      <c r="Q37" s="1" t="s">
        <v>38</v>
      </c>
      <c r="R37" s="1">
        <v>69</v>
      </c>
      <c r="U37" s="1">
        <v>0.5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</row>
    <row r="38" spans="1:32" hidden="1" x14ac:dyDescent="0.25">
      <c r="A38" s="1">
        <v>69</v>
      </c>
      <c r="B38" s="1" t="s">
        <v>237</v>
      </c>
      <c r="C38" s="1" t="s">
        <v>232</v>
      </c>
      <c r="D38" s="1" t="s">
        <v>84</v>
      </c>
      <c r="F38" s="1" t="s">
        <v>74</v>
      </c>
      <c r="G38" s="3">
        <v>46167</v>
      </c>
      <c r="H38" s="3">
        <v>46167</v>
      </c>
      <c r="I38" s="1">
        <v>68</v>
      </c>
      <c r="J38" s="11">
        <v>0</v>
      </c>
      <c r="L38" s="1" t="s">
        <v>34</v>
      </c>
      <c r="M38" s="1" t="s">
        <v>47</v>
      </c>
      <c r="N38" s="1" t="s">
        <v>226</v>
      </c>
      <c r="O38" s="1" t="s">
        <v>135</v>
      </c>
      <c r="P38" s="2">
        <v>46192</v>
      </c>
      <c r="Q38" s="1" t="s">
        <v>38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</row>
    <row r="39" spans="1:32" hidden="1" x14ac:dyDescent="0.25">
      <c r="A39" s="1">
        <v>95</v>
      </c>
      <c r="B39" s="1" t="s">
        <v>279</v>
      </c>
      <c r="C39" s="1" t="s">
        <v>228</v>
      </c>
      <c r="D39" s="1" t="s">
        <v>280</v>
      </c>
      <c r="E39" s="1" t="s">
        <v>240</v>
      </c>
      <c r="F39" s="1" t="s">
        <v>126</v>
      </c>
      <c r="G39" s="3">
        <v>46209</v>
      </c>
      <c r="H39" s="3">
        <v>46219</v>
      </c>
      <c r="J39" s="11">
        <v>0</v>
      </c>
      <c r="L39" s="1" t="s">
        <v>34</v>
      </c>
      <c r="M39" s="1" t="s">
        <v>47</v>
      </c>
      <c r="N39" s="1" t="s">
        <v>226</v>
      </c>
      <c r="O39" s="1" t="s">
        <v>241</v>
      </c>
      <c r="P39" s="2">
        <v>46175</v>
      </c>
      <c r="Q39" s="1" t="s">
        <v>38</v>
      </c>
      <c r="S39" s="1" t="s">
        <v>65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25">
      <c r="A40" s="1">
        <v>96</v>
      </c>
      <c r="B40" s="1" t="s">
        <v>281</v>
      </c>
      <c r="C40" s="1" t="s">
        <v>282</v>
      </c>
      <c r="D40" s="1" t="s">
        <v>68</v>
      </c>
      <c r="F40" s="1" t="s">
        <v>93</v>
      </c>
      <c r="G40" s="3">
        <v>46209</v>
      </c>
      <c r="H40" s="3">
        <v>46211</v>
      </c>
      <c r="J40" s="11">
        <v>0</v>
      </c>
      <c r="L40" s="1" t="s">
        <v>34</v>
      </c>
      <c r="M40" s="1" t="s">
        <v>47</v>
      </c>
      <c r="N40" s="1" t="s">
        <v>226</v>
      </c>
      <c r="O40" s="1" t="s">
        <v>241</v>
      </c>
      <c r="P40" s="2">
        <v>46169</v>
      </c>
      <c r="Q40" s="1" t="s">
        <v>38</v>
      </c>
      <c r="R40" s="1">
        <v>97</v>
      </c>
      <c r="U40" s="1">
        <v>0</v>
      </c>
      <c r="V40" s="1">
        <v>1</v>
      </c>
      <c r="W40" s="1">
        <v>0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hidden="1" x14ac:dyDescent="0.25">
      <c r="A41" s="1">
        <v>97</v>
      </c>
      <c r="B41" s="1" t="s">
        <v>283</v>
      </c>
      <c r="C41" s="1" t="s">
        <v>282</v>
      </c>
      <c r="D41" s="1" t="s">
        <v>73</v>
      </c>
      <c r="F41" s="1" t="s">
        <v>74</v>
      </c>
      <c r="G41" s="3">
        <v>46216</v>
      </c>
      <c r="H41" s="3">
        <v>46216</v>
      </c>
      <c r="I41" s="1">
        <v>96</v>
      </c>
      <c r="J41" s="11">
        <v>0</v>
      </c>
      <c r="L41" s="1" t="s">
        <v>80</v>
      </c>
      <c r="M41" s="1" t="s">
        <v>47</v>
      </c>
      <c r="N41" s="1" t="s">
        <v>226</v>
      </c>
      <c r="O41" s="1" t="s">
        <v>246</v>
      </c>
      <c r="P41" s="2">
        <v>46170</v>
      </c>
      <c r="Q41" s="1" t="s">
        <v>38</v>
      </c>
      <c r="R41" s="1">
        <v>98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hidden="1" x14ac:dyDescent="0.25">
      <c r="A42" s="1">
        <v>98</v>
      </c>
      <c r="B42" s="1" t="s">
        <v>284</v>
      </c>
      <c r="C42" s="1" t="s">
        <v>282</v>
      </c>
      <c r="D42" s="1" t="s">
        <v>78</v>
      </c>
      <c r="F42" s="1" t="s">
        <v>69</v>
      </c>
      <c r="G42" s="3">
        <v>46217</v>
      </c>
      <c r="H42" s="3">
        <v>46218</v>
      </c>
      <c r="I42" s="1">
        <v>97</v>
      </c>
      <c r="J42" s="11">
        <v>0</v>
      </c>
      <c r="L42" s="1" t="s">
        <v>80</v>
      </c>
      <c r="M42" s="1" t="s">
        <v>47</v>
      </c>
      <c r="N42" s="1" t="s">
        <v>226</v>
      </c>
      <c r="O42" s="1" t="s">
        <v>248</v>
      </c>
      <c r="P42" s="2">
        <v>46174</v>
      </c>
      <c r="Q42" s="1" t="s">
        <v>38</v>
      </c>
      <c r="R42" s="1">
        <v>99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hidden="1" x14ac:dyDescent="0.25">
      <c r="A43" s="1">
        <v>99</v>
      </c>
      <c r="B43" s="1" t="s">
        <v>285</v>
      </c>
      <c r="C43" s="1" t="s">
        <v>282</v>
      </c>
      <c r="D43" s="1" t="s">
        <v>84</v>
      </c>
      <c r="F43" s="1" t="s">
        <v>74</v>
      </c>
      <c r="G43" s="3">
        <v>46219</v>
      </c>
      <c r="H43" s="3">
        <v>46219</v>
      </c>
      <c r="I43" s="1">
        <v>98</v>
      </c>
      <c r="J43" s="11">
        <v>0</v>
      </c>
      <c r="L43" s="1" t="s">
        <v>80</v>
      </c>
      <c r="M43" s="1" t="s">
        <v>47</v>
      </c>
      <c r="N43" s="1" t="s">
        <v>226</v>
      </c>
      <c r="O43" s="1" t="s">
        <v>250</v>
      </c>
      <c r="P43" s="2">
        <v>46175</v>
      </c>
      <c r="Q43" s="1" t="s">
        <v>38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hidden="1" x14ac:dyDescent="0.25">
      <c r="A44" s="1">
        <v>111</v>
      </c>
      <c r="B44" s="1" t="s">
        <v>309</v>
      </c>
      <c r="C44" s="1" t="s">
        <v>291</v>
      </c>
      <c r="D44" s="1" t="s">
        <v>310</v>
      </c>
      <c r="E44" s="1" t="s">
        <v>240</v>
      </c>
      <c r="F44" s="1" t="s">
        <v>126</v>
      </c>
      <c r="G44" s="3">
        <v>46209</v>
      </c>
      <c r="H44" s="3">
        <v>46219</v>
      </c>
      <c r="J44" s="11">
        <v>0</v>
      </c>
      <c r="L44" s="1" t="s">
        <v>34</v>
      </c>
      <c r="M44" s="1" t="s">
        <v>47</v>
      </c>
      <c r="N44" s="1" t="s">
        <v>289</v>
      </c>
      <c r="O44" s="1" t="s">
        <v>250</v>
      </c>
      <c r="P44" s="2">
        <v>46183</v>
      </c>
      <c r="Q44" s="1" t="s">
        <v>38</v>
      </c>
      <c r="S44" s="1" t="s">
        <v>65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25">
      <c r="A45" s="1">
        <v>112</v>
      </c>
      <c r="B45" s="1" t="s">
        <v>311</v>
      </c>
      <c r="C45" s="1" t="s">
        <v>312</v>
      </c>
      <c r="D45" s="1" t="s">
        <v>68</v>
      </c>
      <c r="F45" s="1" t="s">
        <v>93</v>
      </c>
      <c r="G45" s="3">
        <v>46209</v>
      </c>
      <c r="H45" s="3">
        <v>46211</v>
      </c>
      <c r="J45" s="11">
        <v>0</v>
      </c>
      <c r="L45" s="1" t="s">
        <v>34</v>
      </c>
      <c r="M45" s="1" t="s">
        <v>47</v>
      </c>
      <c r="N45" s="1" t="s">
        <v>289</v>
      </c>
      <c r="O45" s="1" t="s">
        <v>250</v>
      </c>
      <c r="P45" s="2">
        <v>46177</v>
      </c>
      <c r="Q45" s="1" t="s">
        <v>38</v>
      </c>
      <c r="R45" s="1">
        <v>113</v>
      </c>
      <c r="U45" s="1">
        <v>0</v>
      </c>
      <c r="V45" s="1">
        <v>1</v>
      </c>
      <c r="W45" s="1">
        <v>0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hidden="1" x14ac:dyDescent="0.25">
      <c r="A46" s="1">
        <v>113</v>
      </c>
      <c r="B46" s="1" t="s">
        <v>313</v>
      </c>
      <c r="C46" s="1" t="s">
        <v>312</v>
      </c>
      <c r="D46" s="1" t="s">
        <v>73</v>
      </c>
      <c r="F46" s="1" t="s">
        <v>74</v>
      </c>
      <c r="G46" s="3">
        <v>46216</v>
      </c>
      <c r="H46" s="3">
        <v>46216</v>
      </c>
      <c r="I46" s="1">
        <v>112</v>
      </c>
      <c r="J46" s="11">
        <v>0</v>
      </c>
      <c r="L46" s="1" t="s">
        <v>80</v>
      </c>
      <c r="M46" s="1" t="s">
        <v>47</v>
      </c>
      <c r="N46" s="1" t="s">
        <v>289</v>
      </c>
      <c r="O46" s="1" t="s">
        <v>314</v>
      </c>
      <c r="P46" s="2">
        <v>46178</v>
      </c>
      <c r="Q46" s="1" t="s">
        <v>38</v>
      </c>
      <c r="R46" s="1">
        <v>114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hidden="1" x14ac:dyDescent="0.25">
      <c r="A47" s="1">
        <v>114</v>
      </c>
      <c r="B47" s="1" t="s">
        <v>315</v>
      </c>
      <c r="C47" s="1" t="s">
        <v>312</v>
      </c>
      <c r="D47" s="1" t="s">
        <v>78</v>
      </c>
      <c r="F47" s="1" t="s">
        <v>69</v>
      </c>
      <c r="G47" s="3">
        <v>46217</v>
      </c>
      <c r="H47" s="3">
        <v>46218</v>
      </c>
      <c r="I47" s="1">
        <v>113</v>
      </c>
      <c r="J47" s="11">
        <v>0</v>
      </c>
      <c r="L47" s="1" t="s">
        <v>80</v>
      </c>
      <c r="M47" s="1" t="s">
        <v>47</v>
      </c>
      <c r="N47" s="1" t="s">
        <v>289</v>
      </c>
      <c r="O47" s="1" t="s">
        <v>97</v>
      </c>
      <c r="P47" s="2">
        <v>46182</v>
      </c>
      <c r="Q47" s="1" t="s">
        <v>38</v>
      </c>
      <c r="R47" s="1">
        <v>115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hidden="1" x14ac:dyDescent="0.25">
      <c r="A48" s="1">
        <v>115</v>
      </c>
      <c r="B48" s="1" t="s">
        <v>316</v>
      </c>
      <c r="C48" s="1" t="s">
        <v>312</v>
      </c>
      <c r="D48" s="1" t="s">
        <v>84</v>
      </c>
      <c r="F48" s="1" t="s">
        <v>74</v>
      </c>
      <c r="G48" s="3">
        <v>46219</v>
      </c>
      <c r="H48" s="3">
        <v>46219</v>
      </c>
      <c r="I48" s="1">
        <v>114</v>
      </c>
      <c r="J48" s="11">
        <v>0</v>
      </c>
      <c r="L48" s="1" t="s">
        <v>80</v>
      </c>
      <c r="M48" s="1" t="s">
        <v>47</v>
      </c>
      <c r="N48" s="1" t="s">
        <v>289</v>
      </c>
      <c r="O48" s="1" t="s">
        <v>317</v>
      </c>
      <c r="P48" s="2">
        <v>46183</v>
      </c>
      <c r="Q48" s="1" t="s">
        <v>38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 spans="1:32" hidden="1" x14ac:dyDescent="0.25">
      <c r="A49" s="1">
        <v>117</v>
      </c>
      <c r="B49" s="1" t="s">
        <v>323</v>
      </c>
      <c r="C49" s="1" t="s">
        <v>324</v>
      </c>
      <c r="D49" s="1" t="s">
        <v>325</v>
      </c>
      <c r="E49" s="1" t="s">
        <v>180</v>
      </c>
      <c r="F49" s="1" t="s">
        <v>126</v>
      </c>
      <c r="G49" s="3">
        <v>46210</v>
      </c>
      <c r="H49" s="3">
        <v>46220</v>
      </c>
      <c r="J49" s="11">
        <v>0.21</v>
      </c>
      <c r="L49" s="1" t="s">
        <v>64</v>
      </c>
      <c r="M49" s="1" t="s">
        <v>47</v>
      </c>
      <c r="N49" s="1" t="s">
        <v>321</v>
      </c>
      <c r="O49" s="1" t="s">
        <v>182</v>
      </c>
      <c r="P49" s="2">
        <v>46192</v>
      </c>
      <c r="Q49" s="1" t="s">
        <v>38</v>
      </c>
      <c r="U49" s="1">
        <v>0.21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 spans="1:32" x14ac:dyDescent="0.25">
      <c r="A50" s="1">
        <v>118</v>
      </c>
      <c r="B50" s="1" t="s">
        <v>326</v>
      </c>
      <c r="C50" s="1" t="s">
        <v>327</v>
      </c>
      <c r="D50" s="1" t="s">
        <v>68</v>
      </c>
      <c r="F50" s="1" t="s">
        <v>93</v>
      </c>
      <c r="G50" s="3">
        <v>46210</v>
      </c>
      <c r="H50" s="3">
        <v>46216</v>
      </c>
      <c r="I50" s="1" t="s">
        <v>233</v>
      </c>
      <c r="J50" s="11">
        <v>0.5</v>
      </c>
      <c r="L50" s="1" t="s">
        <v>64</v>
      </c>
      <c r="M50" s="1" t="s">
        <v>35</v>
      </c>
      <c r="N50" s="1" t="s">
        <v>321</v>
      </c>
      <c r="O50" s="1" t="s">
        <v>182</v>
      </c>
      <c r="P50" s="2">
        <v>46188</v>
      </c>
      <c r="Q50" s="1" t="s">
        <v>38</v>
      </c>
      <c r="R50" s="1" t="s">
        <v>328</v>
      </c>
      <c r="U50" s="1">
        <v>0.5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hidden="1" x14ac:dyDescent="0.25">
      <c r="A51" s="1">
        <v>119</v>
      </c>
      <c r="B51" s="1" t="s">
        <v>329</v>
      </c>
      <c r="C51" s="1" t="s">
        <v>327</v>
      </c>
      <c r="D51" s="1" t="s">
        <v>73</v>
      </c>
      <c r="F51" s="1" t="s">
        <v>74</v>
      </c>
      <c r="G51" s="3">
        <v>46217</v>
      </c>
      <c r="H51" s="3">
        <v>46217</v>
      </c>
      <c r="I51" s="1">
        <v>118</v>
      </c>
      <c r="J51" s="11">
        <v>0</v>
      </c>
      <c r="L51" s="1" t="s">
        <v>80</v>
      </c>
      <c r="M51" s="1" t="s">
        <v>47</v>
      </c>
      <c r="N51" s="1" t="s">
        <v>321</v>
      </c>
      <c r="O51" s="1" t="s">
        <v>131</v>
      </c>
      <c r="P51" s="2">
        <v>46189</v>
      </c>
      <c r="Q51" s="1" t="s">
        <v>38</v>
      </c>
      <c r="R51" s="1">
        <v>120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hidden="1" x14ac:dyDescent="0.25">
      <c r="A52" s="1">
        <v>120</v>
      </c>
      <c r="B52" s="1" t="s">
        <v>330</v>
      </c>
      <c r="C52" s="1" t="s">
        <v>327</v>
      </c>
      <c r="D52" s="1" t="s">
        <v>78</v>
      </c>
      <c r="F52" s="1" t="s">
        <v>69</v>
      </c>
      <c r="G52" s="3">
        <v>46218</v>
      </c>
      <c r="H52" s="3">
        <v>46219</v>
      </c>
      <c r="I52" s="1">
        <v>119</v>
      </c>
      <c r="J52" s="11">
        <v>0</v>
      </c>
      <c r="L52" s="1" t="s">
        <v>80</v>
      </c>
      <c r="M52" s="1" t="s">
        <v>47</v>
      </c>
      <c r="N52" s="1" t="s">
        <v>321</v>
      </c>
      <c r="O52" s="1" t="s">
        <v>133</v>
      </c>
      <c r="P52" s="2">
        <v>46191</v>
      </c>
      <c r="Q52" s="1" t="s">
        <v>38</v>
      </c>
      <c r="R52" s="1">
        <v>121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hidden="1" x14ac:dyDescent="0.25">
      <c r="A53" s="1">
        <v>121</v>
      </c>
      <c r="B53" s="1" t="s">
        <v>331</v>
      </c>
      <c r="C53" s="1" t="s">
        <v>327</v>
      </c>
      <c r="D53" s="1" t="s">
        <v>84</v>
      </c>
      <c r="F53" s="1" t="s">
        <v>74</v>
      </c>
      <c r="G53" s="3">
        <v>46220</v>
      </c>
      <c r="H53" s="3">
        <v>46220</v>
      </c>
      <c r="I53" s="1">
        <v>120</v>
      </c>
      <c r="J53" s="11">
        <v>0</v>
      </c>
      <c r="L53" s="1" t="s">
        <v>80</v>
      </c>
      <c r="M53" s="1" t="s">
        <v>47</v>
      </c>
      <c r="N53" s="1" t="s">
        <v>321</v>
      </c>
      <c r="O53" s="1" t="s">
        <v>135</v>
      </c>
      <c r="P53" s="2">
        <v>46192</v>
      </c>
      <c r="Q53" s="1" t="s">
        <v>38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hidden="1" x14ac:dyDescent="0.25">
      <c r="A54" s="1">
        <v>127</v>
      </c>
      <c r="B54" s="1" t="s">
        <v>340</v>
      </c>
      <c r="C54" s="1" t="s">
        <v>324</v>
      </c>
      <c r="D54" s="1" t="s">
        <v>341</v>
      </c>
      <c r="E54" s="1" t="s">
        <v>240</v>
      </c>
      <c r="F54" s="1" t="s">
        <v>126</v>
      </c>
      <c r="G54" s="3">
        <v>46209</v>
      </c>
      <c r="H54" s="3">
        <v>46219</v>
      </c>
      <c r="J54" s="11">
        <v>0</v>
      </c>
      <c r="L54" s="1" t="s">
        <v>34</v>
      </c>
      <c r="M54" s="1" t="s">
        <v>47</v>
      </c>
      <c r="N54" s="1" t="s">
        <v>321</v>
      </c>
      <c r="O54" s="1" t="s">
        <v>133</v>
      </c>
      <c r="P54" s="2">
        <v>46198</v>
      </c>
      <c r="Q54" s="1" t="s">
        <v>38</v>
      </c>
      <c r="S54" s="1" t="s">
        <v>65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25">
      <c r="A55" s="1">
        <v>128</v>
      </c>
      <c r="B55" s="1" t="s">
        <v>342</v>
      </c>
      <c r="C55" s="1" t="s">
        <v>343</v>
      </c>
      <c r="D55" s="1" t="s">
        <v>68</v>
      </c>
      <c r="F55" s="1" t="s">
        <v>93</v>
      </c>
      <c r="G55" s="3">
        <v>46209</v>
      </c>
      <c r="H55" s="3">
        <v>46211</v>
      </c>
      <c r="J55" s="11">
        <v>0</v>
      </c>
      <c r="L55" s="1" t="s">
        <v>34</v>
      </c>
      <c r="M55" s="1" t="s">
        <v>47</v>
      </c>
      <c r="N55" s="1" t="s">
        <v>321</v>
      </c>
      <c r="O55" s="1" t="s">
        <v>133</v>
      </c>
      <c r="P55" s="2">
        <v>46192</v>
      </c>
      <c r="Q55" s="1" t="s">
        <v>38</v>
      </c>
      <c r="R55" s="1">
        <v>129</v>
      </c>
      <c r="U55" s="1">
        <v>0</v>
      </c>
      <c r="V55" s="1">
        <v>1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hidden="1" x14ac:dyDescent="0.25">
      <c r="A56" s="1">
        <v>129</v>
      </c>
      <c r="B56" s="1" t="s">
        <v>344</v>
      </c>
      <c r="C56" s="1" t="s">
        <v>343</v>
      </c>
      <c r="D56" s="1" t="s">
        <v>73</v>
      </c>
      <c r="F56" s="1" t="s">
        <v>74</v>
      </c>
      <c r="G56" s="3">
        <v>46216</v>
      </c>
      <c r="H56" s="3">
        <v>46216</v>
      </c>
      <c r="I56" s="1">
        <v>128</v>
      </c>
      <c r="J56" s="11">
        <v>0</v>
      </c>
      <c r="L56" s="1" t="s">
        <v>80</v>
      </c>
      <c r="M56" s="1" t="s">
        <v>47</v>
      </c>
      <c r="N56" s="1" t="s">
        <v>321</v>
      </c>
      <c r="O56" s="1" t="s">
        <v>198</v>
      </c>
      <c r="P56" s="2">
        <v>46195</v>
      </c>
      <c r="Q56" s="1" t="s">
        <v>38</v>
      </c>
      <c r="R56" s="1">
        <v>130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hidden="1" x14ac:dyDescent="0.25">
      <c r="A57" s="1">
        <v>130</v>
      </c>
      <c r="B57" s="1" t="s">
        <v>345</v>
      </c>
      <c r="C57" s="1" t="s">
        <v>343</v>
      </c>
      <c r="D57" s="1" t="s">
        <v>78</v>
      </c>
      <c r="F57" s="1" t="s">
        <v>69</v>
      </c>
      <c r="G57" s="3">
        <v>46217</v>
      </c>
      <c r="H57" s="3">
        <v>46218</v>
      </c>
      <c r="I57" s="1">
        <v>129</v>
      </c>
      <c r="J57" s="11">
        <v>0</v>
      </c>
      <c r="L57" s="1" t="s">
        <v>80</v>
      </c>
      <c r="M57" s="1" t="s">
        <v>47</v>
      </c>
      <c r="N57" s="1" t="s">
        <v>321</v>
      </c>
      <c r="O57" s="1" t="s">
        <v>101</v>
      </c>
      <c r="P57" s="2">
        <v>46197</v>
      </c>
      <c r="Q57" s="1" t="s">
        <v>38</v>
      </c>
      <c r="R57" s="1">
        <v>131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hidden="1" x14ac:dyDescent="0.25">
      <c r="A58" s="1">
        <v>131</v>
      </c>
      <c r="B58" s="1" t="s">
        <v>346</v>
      </c>
      <c r="C58" s="1" t="s">
        <v>343</v>
      </c>
      <c r="D58" s="1" t="s">
        <v>84</v>
      </c>
      <c r="F58" s="1" t="s">
        <v>74</v>
      </c>
      <c r="G58" s="3">
        <v>46219</v>
      </c>
      <c r="H58" s="3">
        <v>46219</v>
      </c>
      <c r="I58" s="1">
        <v>130</v>
      </c>
      <c r="J58" s="11">
        <v>0</v>
      </c>
      <c r="L58" s="1" t="s">
        <v>80</v>
      </c>
      <c r="M58" s="1" t="s">
        <v>47</v>
      </c>
      <c r="N58" s="1" t="s">
        <v>321</v>
      </c>
      <c r="O58" s="1" t="s">
        <v>201</v>
      </c>
      <c r="P58" s="2">
        <v>46198</v>
      </c>
      <c r="Q58" s="1" t="s">
        <v>38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 spans="1:32" hidden="1" x14ac:dyDescent="0.25">
      <c r="A59" s="1">
        <v>133</v>
      </c>
      <c r="B59" s="1" t="s">
        <v>351</v>
      </c>
      <c r="C59" s="1" t="s">
        <v>352</v>
      </c>
      <c r="D59" s="1" t="s">
        <v>353</v>
      </c>
      <c r="E59" s="1" t="s">
        <v>180</v>
      </c>
      <c r="F59" s="1" t="s">
        <v>181</v>
      </c>
      <c r="G59" s="3">
        <v>46181</v>
      </c>
      <c r="H59" s="3">
        <v>46191</v>
      </c>
      <c r="J59" s="11">
        <v>0.8</v>
      </c>
      <c r="L59" s="1" t="s">
        <v>34</v>
      </c>
      <c r="M59" s="1" t="s">
        <v>47</v>
      </c>
      <c r="N59" s="1" t="s">
        <v>350</v>
      </c>
      <c r="O59" s="1" t="s">
        <v>182</v>
      </c>
      <c r="P59" s="2">
        <v>46192</v>
      </c>
      <c r="Q59" s="1" t="s">
        <v>38</v>
      </c>
      <c r="R59" s="1" t="s">
        <v>354</v>
      </c>
      <c r="U59" s="1">
        <v>0.8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 spans="1:32" hidden="1" x14ac:dyDescent="0.25">
      <c r="A60" s="1">
        <v>136</v>
      </c>
      <c r="B60" s="1" t="s">
        <v>358</v>
      </c>
      <c r="C60" s="1" t="s">
        <v>356</v>
      </c>
      <c r="D60" s="1" t="s">
        <v>78</v>
      </c>
      <c r="F60" s="1" t="s">
        <v>69</v>
      </c>
      <c r="G60" s="3">
        <v>46189</v>
      </c>
      <c r="H60" s="3">
        <v>46190</v>
      </c>
      <c r="I60" s="1">
        <v>135</v>
      </c>
      <c r="J60" s="11">
        <v>0.5</v>
      </c>
      <c r="L60" s="1" t="s">
        <v>34</v>
      </c>
      <c r="M60" s="1" t="s">
        <v>47</v>
      </c>
      <c r="N60" s="1" t="s">
        <v>350</v>
      </c>
      <c r="O60" s="1" t="s">
        <v>133</v>
      </c>
      <c r="P60" s="2">
        <v>46191</v>
      </c>
      <c r="Q60" s="1" t="s">
        <v>38</v>
      </c>
      <c r="R60" s="1">
        <v>137</v>
      </c>
      <c r="U60" s="1">
        <v>0.5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</row>
    <row r="61" spans="1:32" hidden="1" x14ac:dyDescent="0.25">
      <c r="A61" s="1">
        <v>137</v>
      </c>
      <c r="B61" s="1" t="s">
        <v>359</v>
      </c>
      <c r="C61" s="1" t="s">
        <v>356</v>
      </c>
      <c r="D61" s="1" t="s">
        <v>84</v>
      </c>
      <c r="F61" s="1" t="s">
        <v>74</v>
      </c>
      <c r="G61" s="3">
        <v>46191</v>
      </c>
      <c r="H61" s="3">
        <v>46191</v>
      </c>
      <c r="I61" s="1">
        <v>136</v>
      </c>
      <c r="J61" s="11">
        <v>0</v>
      </c>
      <c r="L61" s="1" t="s">
        <v>34</v>
      </c>
      <c r="M61" s="1" t="s">
        <v>47</v>
      </c>
      <c r="N61" s="1" t="s">
        <v>350</v>
      </c>
      <c r="O61" s="1" t="s">
        <v>135</v>
      </c>
      <c r="P61" s="2">
        <v>46192</v>
      </c>
      <c r="Q61" s="1" t="s">
        <v>38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</row>
    <row r="62" spans="1:32" hidden="1" x14ac:dyDescent="0.25">
      <c r="A62" s="1">
        <v>143</v>
      </c>
      <c r="B62" s="1" t="s">
        <v>370</v>
      </c>
      <c r="C62" s="1" t="s">
        <v>352</v>
      </c>
      <c r="D62" s="1" t="s">
        <v>371</v>
      </c>
      <c r="E62" s="1" t="s">
        <v>240</v>
      </c>
      <c r="F62" s="1" t="s">
        <v>126</v>
      </c>
      <c r="G62" s="3">
        <v>46209</v>
      </c>
      <c r="H62" s="3">
        <v>46219</v>
      </c>
      <c r="J62" s="11">
        <v>0</v>
      </c>
      <c r="L62" s="1" t="s">
        <v>34</v>
      </c>
      <c r="M62" s="1" t="s">
        <v>47</v>
      </c>
      <c r="N62" s="1" t="s">
        <v>350</v>
      </c>
      <c r="O62" s="1" t="s">
        <v>322</v>
      </c>
      <c r="P62" s="2">
        <v>46202</v>
      </c>
      <c r="Q62" s="1" t="s">
        <v>38</v>
      </c>
      <c r="S62" s="1" t="s">
        <v>65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25">
      <c r="A63" s="1">
        <v>144</v>
      </c>
      <c r="B63" s="1" t="s">
        <v>372</v>
      </c>
      <c r="C63" s="1" t="s">
        <v>373</v>
      </c>
      <c r="D63" s="1" t="s">
        <v>68</v>
      </c>
      <c r="F63" s="1" t="s">
        <v>93</v>
      </c>
      <c r="G63" s="3">
        <v>46209</v>
      </c>
      <c r="H63" s="3">
        <v>46211</v>
      </c>
      <c r="J63" s="11">
        <v>0</v>
      </c>
      <c r="L63" s="1" t="s">
        <v>34</v>
      </c>
      <c r="M63" s="1" t="s">
        <v>47</v>
      </c>
      <c r="N63" s="1" t="s">
        <v>350</v>
      </c>
      <c r="O63" s="1" t="s">
        <v>322</v>
      </c>
      <c r="P63" s="2">
        <v>46196</v>
      </c>
      <c r="Q63" s="1" t="s">
        <v>38</v>
      </c>
      <c r="R63" s="1">
        <v>145</v>
      </c>
      <c r="U63" s="1">
        <v>0</v>
      </c>
      <c r="V63" s="1">
        <v>1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hidden="1" x14ac:dyDescent="0.25">
      <c r="A64" s="1">
        <v>145</v>
      </c>
      <c r="B64" s="1" t="s">
        <v>374</v>
      </c>
      <c r="C64" s="1" t="s">
        <v>373</v>
      </c>
      <c r="D64" s="1" t="s">
        <v>73</v>
      </c>
      <c r="F64" s="1" t="s">
        <v>74</v>
      </c>
      <c r="G64" s="3">
        <v>46216</v>
      </c>
      <c r="H64" s="3">
        <v>46216</v>
      </c>
      <c r="I64" s="1">
        <v>144</v>
      </c>
      <c r="J64" s="11">
        <v>0</v>
      </c>
      <c r="L64" s="1" t="s">
        <v>80</v>
      </c>
      <c r="M64" s="1" t="s">
        <v>47</v>
      </c>
      <c r="N64" s="1" t="s">
        <v>350</v>
      </c>
      <c r="O64" s="1" t="s">
        <v>103</v>
      </c>
      <c r="P64" s="2">
        <v>46197</v>
      </c>
      <c r="Q64" s="1" t="s">
        <v>38</v>
      </c>
      <c r="R64" s="1">
        <v>146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hidden="1" x14ac:dyDescent="0.25">
      <c r="A65" s="1">
        <v>146</v>
      </c>
      <c r="B65" s="1" t="s">
        <v>375</v>
      </c>
      <c r="C65" s="1" t="s">
        <v>373</v>
      </c>
      <c r="D65" s="1" t="s">
        <v>78</v>
      </c>
      <c r="F65" s="1" t="s">
        <v>69</v>
      </c>
      <c r="G65" s="3">
        <v>46217</v>
      </c>
      <c r="H65" s="3">
        <v>46218</v>
      </c>
      <c r="I65" s="1">
        <v>145</v>
      </c>
      <c r="J65" s="11">
        <v>0</v>
      </c>
      <c r="L65" s="1" t="s">
        <v>80</v>
      </c>
      <c r="M65" s="1" t="s">
        <v>47</v>
      </c>
      <c r="N65" s="1" t="s">
        <v>350</v>
      </c>
      <c r="O65" s="1" t="s">
        <v>201</v>
      </c>
      <c r="P65" s="2">
        <v>46199</v>
      </c>
      <c r="Q65" s="1" t="s">
        <v>38</v>
      </c>
      <c r="R65" s="1">
        <v>147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hidden="1" x14ac:dyDescent="0.25">
      <c r="A66" s="1">
        <v>147</v>
      </c>
      <c r="B66" s="1" t="s">
        <v>376</v>
      </c>
      <c r="C66" s="1" t="s">
        <v>373</v>
      </c>
      <c r="D66" s="1" t="s">
        <v>84</v>
      </c>
      <c r="F66" s="1" t="s">
        <v>74</v>
      </c>
      <c r="G66" s="3">
        <v>46219</v>
      </c>
      <c r="H66" s="3">
        <v>46219</v>
      </c>
      <c r="I66" s="1">
        <v>146</v>
      </c>
      <c r="J66" s="11">
        <v>0</v>
      </c>
      <c r="L66" s="1" t="s">
        <v>80</v>
      </c>
      <c r="M66" s="1" t="s">
        <v>47</v>
      </c>
      <c r="N66" s="1" t="s">
        <v>350</v>
      </c>
      <c r="O66" s="1" t="s">
        <v>369</v>
      </c>
      <c r="P66" s="2">
        <v>46202</v>
      </c>
      <c r="Q66" s="1" t="s">
        <v>38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hidden="1" x14ac:dyDescent="0.25">
      <c r="A67" s="1">
        <v>149</v>
      </c>
      <c r="B67" s="1" t="s">
        <v>381</v>
      </c>
      <c r="C67" s="1" t="s">
        <v>382</v>
      </c>
      <c r="D67" s="1" t="s">
        <v>383</v>
      </c>
      <c r="E67" s="1" t="s">
        <v>180</v>
      </c>
      <c r="F67" s="1" t="s">
        <v>139</v>
      </c>
      <c r="G67" s="3">
        <v>46170</v>
      </c>
      <c r="H67" s="3">
        <v>46176</v>
      </c>
      <c r="J67" s="11">
        <v>0.5</v>
      </c>
      <c r="L67" s="1" t="s">
        <v>34</v>
      </c>
      <c r="M67" s="1" t="s">
        <v>47</v>
      </c>
      <c r="N67" s="1" t="s">
        <v>380</v>
      </c>
      <c r="O67" s="1" t="s">
        <v>182</v>
      </c>
      <c r="P67" s="2">
        <v>46192</v>
      </c>
      <c r="Q67" s="1" t="s">
        <v>38</v>
      </c>
      <c r="U67" s="1">
        <v>0.5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hidden="1" x14ac:dyDescent="0.25">
      <c r="A68" s="1">
        <v>152</v>
      </c>
      <c r="B68" s="1" t="s">
        <v>388</v>
      </c>
      <c r="C68" s="1" t="s">
        <v>385</v>
      </c>
      <c r="D68" s="1" t="s">
        <v>78</v>
      </c>
      <c r="F68" s="1" t="s">
        <v>69</v>
      </c>
      <c r="G68" s="3">
        <v>46174</v>
      </c>
      <c r="H68" s="3">
        <v>46175</v>
      </c>
      <c r="I68" s="1">
        <v>151</v>
      </c>
      <c r="J68" s="11">
        <v>0.5</v>
      </c>
      <c r="L68" s="1" t="s">
        <v>34</v>
      </c>
      <c r="M68" s="1" t="s">
        <v>47</v>
      </c>
      <c r="N68" s="1" t="s">
        <v>380</v>
      </c>
      <c r="O68" s="1" t="s">
        <v>133</v>
      </c>
      <c r="P68" s="2">
        <v>46191</v>
      </c>
      <c r="Q68" s="1" t="s">
        <v>38</v>
      </c>
      <c r="R68" s="1">
        <v>153</v>
      </c>
      <c r="U68" s="1">
        <v>0.5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0</v>
      </c>
    </row>
    <row r="69" spans="1:32" hidden="1" x14ac:dyDescent="0.25">
      <c r="A69" s="1">
        <v>153</v>
      </c>
      <c r="B69" s="1" t="s">
        <v>389</v>
      </c>
      <c r="C69" s="1" t="s">
        <v>385</v>
      </c>
      <c r="D69" s="1" t="s">
        <v>84</v>
      </c>
      <c r="F69" s="1" t="s">
        <v>74</v>
      </c>
      <c r="G69" s="3">
        <v>46176</v>
      </c>
      <c r="H69" s="3">
        <v>46176</v>
      </c>
      <c r="I69" s="1">
        <v>152</v>
      </c>
      <c r="J69" s="11">
        <v>0</v>
      </c>
      <c r="L69" s="1" t="s">
        <v>34</v>
      </c>
      <c r="M69" s="1" t="s">
        <v>47</v>
      </c>
      <c r="N69" s="1" t="s">
        <v>380</v>
      </c>
      <c r="O69" s="1" t="s">
        <v>135</v>
      </c>
      <c r="P69" s="2">
        <v>46192</v>
      </c>
      <c r="Q69" s="1" t="s">
        <v>38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0</v>
      </c>
    </row>
    <row r="70" spans="1:32" hidden="1" x14ac:dyDescent="0.25">
      <c r="A70" s="1">
        <v>154</v>
      </c>
      <c r="B70" s="1" t="s">
        <v>390</v>
      </c>
      <c r="C70" s="1" t="s">
        <v>382</v>
      </c>
      <c r="D70" s="1" t="s">
        <v>391</v>
      </c>
      <c r="E70" s="1" t="s">
        <v>180</v>
      </c>
      <c r="F70" s="1" t="s">
        <v>139</v>
      </c>
      <c r="G70" s="3">
        <v>46170</v>
      </c>
      <c r="H70" s="3">
        <v>46176</v>
      </c>
      <c r="J70" s="11">
        <v>0.5</v>
      </c>
      <c r="L70" s="1" t="s">
        <v>34</v>
      </c>
      <c r="M70" s="1" t="s">
        <v>47</v>
      </c>
      <c r="N70" s="1" t="s">
        <v>380</v>
      </c>
      <c r="O70" s="1" t="s">
        <v>182</v>
      </c>
      <c r="P70" s="2">
        <v>46192</v>
      </c>
      <c r="Q70" s="1" t="s">
        <v>38</v>
      </c>
      <c r="S70" s="1" t="s">
        <v>65</v>
      </c>
      <c r="U70" s="1">
        <v>0.5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 hidden="1" x14ac:dyDescent="0.25">
      <c r="A71" s="1">
        <v>157</v>
      </c>
      <c r="B71" s="1" t="s">
        <v>396</v>
      </c>
      <c r="C71" s="1" t="s">
        <v>393</v>
      </c>
      <c r="D71" s="1" t="s">
        <v>78</v>
      </c>
      <c r="F71" s="1" t="s">
        <v>69</v>
      </c>
      <c r="G71" s="3">
        <v>46174</v>
      </c>
      <c r="H71" s="3">
        <v>46175</v>
      </c>
      <c r="I71" s="1">
        <v>156</v>
      </c>
      <c r="J71" s="11">
        <v>0.5</v>
      </c>
      <c r="L71" s="1" t="s">
        <v>34</v>
      </c>
      <c r="M71" s="1" t="s">
        <v>47</v>
      </c>
      <c r="N71" s="1" t="s">
        <v>380</v>
      </c>
      <c r="O71" s="1" t="s">
        <v>133</v>
      </c>
      <c r="P71" s="2">
        <v>46191</v>
      </c>
      <c r="Q71" s="1" t="s">
        <v>38</v>
      </c>
      <c r="R71" s="1">
        <v>158</v>
      </c>
      <c r="U71" s="1">
        <v>0.5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</row>
    <row r="72" spans="1:32" hidden="1" x14ac:dyDescent="0.25">
      <c r="A72" s="1">
        <v>158</v>
      </c>
      <c r="B72" s="1" t="s">
        <v>397</v>
      </c>
      <c r="C72" s="1" t="s">
        <v>393</v>
      </c>
      <c r="D72" s="1" t="s">
        <v>84</v>
      </c>
      <c r="F72" s="1" t="s">
        <v>74</v>
      </c>
      <c r="G72" s="3">
        <v>46176</v>
      </c>
      <c r="H72" s="3">
        <v>46176</v>
      </c>
      <c r="I72" s="1">
        <v>157</v>
      </c>
      <c r="J72" s="11">
        <v>0</v>
      </c>
      <c r="L72" s="1" t="s">
        <v>34</v>
      </c>
      <c r="M72" s="1" t="s">
        <v>47</v>
      </c>
      <c r="N72" s="1" t="s">
        <v>380</v>
      </c>
      <c r="O72" s="1" t="s">
        <v>135</v>
      </c>
      <c r="P72" s="2">
        <v>46192</v>
      </c>
      <c r="Q72" s="1" t="s">
        <v>38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1</v>
      </c>
      <c r="AF72" s="1">
        <v>0</v>
      </c>
    </row>
    <row r="73" spans="1:32" hidden="1" x14ac:dyDescent="0.25">
      <c r="A73" s="1">
        <v>164</v>
      </c>
      <c r="B73" s="1" t="s">
        <v>409</v>
      </c>
      <c r="C73" s="1" t="s">
        <v>382</v>
      </c>
      <c r="D73" s="1" t="s">
        <v>410</v>
      </c>
      <c r="E73" s="1" t="s">
        <v>193</v>
      </c>
      <c r="F73" s="1" t="s">
        <v>126</v>
      </c>
      <c r="G73" s="3">
        <v>46209</v>
      </c>
      <c r="H73" s="3">
        <v>46219</v>
      </c>
      <c r="J73" s="11">
        <v>0</v>
      </c>
      <c r="L73" s="1" t="s">
        <v>34</v>
      </c>
      <c r="M73" s="1" t="s">
        <v>47</v>
      </c>
      <c r="N73" s="1" t="s">
        <v>380</v>
      </c>
      <c r="O73" s="1" t="s">
        <v>400</v>
      </c>
      <c r="P73" s="2">
        <v>46174</v>
      </c>
      <c r="Q73" s="1" t="s">
        <v>38</v>
      </c>
      <c r="S73" s="1" t="s">
        <v>65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25">
      <c r="A74" s="1">
        <v>165</v>
      </c>
      <c r="B74" s="1" t="s">
        <v>411</v>
      </c>
      <c r="C74" s="1" t="s">
        <v>412</v>
      </c>
      <c r="D74" s="1" t="s">
        <v>68</v>
      </c>
      <c r="F74" s="1" t="s">
        <v>93</v>
      </c>
      <c r="G74" s="3">
        <v>46209</v>
      </c>
      <c r="H74" s="3">
        <v>46211</v>
      </c>
      <c r="J74" s="11">
        <v>0</v>
      </c>
      <c r="L74" s="1" t="s">
        <v>34</v>
      </c>
      <c r="M74" s="1" t="s">
        <v>47</v>
      </c>
      <c r="N74" s="1" t="s">
        <v>380</v>
      </c>
      <c r="O74" s="1" t="s">
        <v>400</v>
      </c>
      <c r="P74" s="2">
        <v>46168</v>
      </c>
      <c r="Q74" s="1" t="s">
        <v>38</v>
      </c>
      <c r="R74" s="1">
        <v>166</v>
      </c>
      <c r="U74" s="1">
        <v>0</v>
      </c>
      <c r="V74" s="1">
        <v>1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hidden="1" x14ac:dyDescent="0.25">
      <c r="A75" s="1">
        <v>166</v>
      </c>
      <c r="B75" s="1" t="s">
        <v>413</v>
      </c>
      <c r="C75" s="1" t="s">
        <v>412</v>
      </c>
      <c r="D75" s="1" t="s">
        <v>73</v>
      </c>
      <c r="F75" s="1" t="s">
        <v>74</v>
      </c>
      <c r="G75" s="3">
        <v>46216</v>
      </c>
      <c r="H75" s="3">
        <v>46216</v>
      </c>
      <c r="I75" s="1">
        <v>165</v>
      </c>
      <c r="J75" s="11">
        <v>0</v>
      </c>
      <c r="L75" s="1" t="s">
        <v>80</v>
      </c>
      <c r="M75" s="1" t="s">
        <v>47</v>
      </c>
      <c r="N75" s="1" t="s">
        <v>380</v>
      </c>
      <c r="O75" s="1" t="s">
        <v>405</v>
      </c>
      <c r="P75" s="2">
        <v>46169</v>
      </c>
      <c r="Q75" s="1" t="s">
        <v>38</v>
      </c>
      <c r="R75" s="1">
        <v>167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hidden="1" x14ac:dyDescent="0.25">
      <c r="A76" s="1">
        <v>167</v>
      </c>
      <c r="B76" s="1" t="s">
        <v>414</v>
      </c>
      <c r="C76" s="1" t="s">
        <v>412</v>
      </c>
      <c r="D76" s="1" t="s">
        <v>78</v>
      </c>
      <c r="F76" s="1" t="s">
        <v>69</v>
      </c>
      <c r="G76" s="3">
        <v>46217</v>
      </c>
      <c r="H76" s="3">
        <v>46218</v>
      </c>
      <c r="I76" s="1">
        <v>166</v>
      </c>
      <c r="J76" s="11">
        <v>0</v>
      </c>
      <c r="L76" s="1" t="s">
        <v>80</v>
      </c>
      <c r="M76" s="1" t="s">
        <v>47</v>
      </c>
      <c r="N76" s="1" t="s">
        <v>380</v>
      </c>
      <c r="O76" s="1" t="s">
        <v>246</v>
      </c>
      <c r="P76" s="2">
        <v>46171</v>
      </c>
      <c r="Q76" s="1" t="s">
        <v>38</v>
      </c>
      <c r="R76" s="1">
        <v>168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hidden="1" x14ac:dyDescent="0.25">
      <c r="A77" s="1">
        <v>168</v>
      </c>
      <c r="B77" s="1" t="s">
        <v>415</v>
      </c>
      <c r="C77" s="1" t="s">
        <v>412</v>
      </c>
      <c r="D77" s="1" t="s">
        <v>84</v>
      </c>
      <c r="F77" s="1" t="s">
        <v>74</v>
      </c>
      <c r="G77" s="3">
        <v>46219</v>
      </c>
      <c r="H77" s="3">
        <v>46219</v>
      </c>
      <c r="I77" s="1">
        <v>167</v>
      </c>
      <c r="J77" s="11">
        <v>0</v>
      </c>
      <c r="L77" s="1" t="s">
        <v>80</v>
      </c>
      <c r="M77" s="1" t="s">
        <v>47</v>
      </c>
      <c r="N77" s="1" t="s">
        <v>380</v>
      </c>
      <c r="O77" s="1" t="s">
        <v>408</v>
      </c>
      <c r="P77" s="2">
        <v>46174</v>
      </c>
      <c r="Q77" s="1" t="s">
        <v>38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hidden="1" x14ac:dyDescent="0.25">
      <c r="A78" s="1">
        <v>169</v>
      </c>
      <c r="B78" s="1" t="s">
        <v>416</v>
      </c>
      <c r="C78" s="1" t="s">
        <v>382</v>
      </c>
      <c r="D78" s="1" t="s">
        <v>417</v>
      </c>
      <c r="E78" s="1" t="s">
        <v>193</v>
      </c>
      <c r="F78" s="1" t="s">
        <v>126</v>
      </c>
      <c r="G78" s="3">
        <v>46205</v>
      </c>
      <c r="H78" s="3">
        <v>46217</v>
      </c>
      <c r="J78" s="11">
        <v>0.43</v>
      </c>
      <c r="L78" s="1" t="s">
        <v>34</v>
      </c>
      <c r="M78" s="1" t="s">
        <v>47</v>
      </c>
      <c r="N78" s="1" t="s">
        <v>380</v>
      </c>
      <c r="O78" s="1" t="s">
        <v>400</v>
      </c>
      <c r="P78" s="2">
        <v>46174</v>
      </c>
      <c r="Q78" s="1" t="s">
        <v>38</v>
      </c>
      <c r="S78" s="1" t="s">
        <v>65</v>
      </c>
      <c r="U78" s="1">
        <v>0.43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hidden="1" x14ac:dyDescent="0.25">
      <c r="A79" s="1">
        <v>171</v>
      </c>
      <c r="B79" s="1" t="s">
        <v>420</v>
      </c>
      <c r="C79" s="1" t="s">
        <v>419</v>
      </c>
      <c r="D79" s="1" t="s">
        <v>73</v>
      </c>
      <c r="F79" s="1" t="s">
        <v>74</v>
      </c>
      <c r="G79" s="3">
        <v>46210</v>
      </c>
      <c r="H79" s="3">
        <v>46210</v>
      </c>
      <c r="I79" s="1">
        <v>170</v>
      </c>
      <c r="J79" s="11">
        <v>0</v>
      </c>
      <c r="L79" s="1" t="s">
        <v>34</v>
      </c>
      <c r="M79" s="1" t="s">
        <v>47</v>
      </c>
      <c r="N79" s="1" t="s">
        <v>380</v>
      </c>
      <c r="O79" s="1" t="s">
        <v>405</v>
      </c>
      <c r="P79" s="2">
        <v>46169</v>
      </c>
      <c r="Q79" s="1" t="s">
        <v>38</v>
      </c>
      <c r="R79" s="1">
        <v>172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hidden="1" x14ac:dyDescent="0.25">
      <c r="A80" s="1">
        <v>172</v>
      </c>
      <c r="B80" s="1" t="s">
        <v>421</v>
      </c>
      <c r="C80" s="1" t="s">
        <v>419</v>
      </c>
      <c r="D80" s="1" t="s">
        <v>78</v>
      </c>
      <c r="F80" s="1" t="s">
        <v>69</v>
      </c>
      <c r="G80" s="3">
        <v>46211</v>
      </c>
      <c r="H80" s="3">
        <v>46216</v>
      </c>
      <c r="I80" s="1">
        <v>171</v>
      </c>
      <c r="J80" s="11">
        <v>0</v>
      </c>
      <c r="L80" s="1" t="s">
        <v>64</v>
      </c>
      <c r="M80" s="1" t="s">
        <v>47</v>
      </c>
      <c r="N80" s="1" t="s">
        <v>380</v>
      </c>
      <c r="O80" s="1" t="s">
        <v>246</v>
      </c>
      <c r="P80" s="2">
        <v>46171</v>
      </c>
      <c r="Q80" s="1" t="s">
        <v>38</v>
      </c>
      <c r="R80" s="1">
        <v>173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hidden="1" x14ac:dyDescent="0.25">
      <c r="A81" s="1">
        <v>173</v>
      </c>
      <c r="B81" s="1" t="s">
        <v>422</v>
      </c>
      <c r="C81" s="1" t="s">
        <v>419</v>
      </c>
      <c r="D81" s="1" t="s">
        <v>84</v>
      </c>
      <c r="F81" s="1" t="s">
        <v>74</v>
      </c>
      <c r="G81" s="3">
        <v>46217</v>
      </c>
      <c r="H81" s="3">
        <v>46217</v>
      </c>
      <c r="I81" s="1">
        <v>172</v>
      </c>
      <c r="J81" s="11">
        <v>0</v>
      </c>
      <c r="L81" s="1" t="s">
        <v>80</v>
      </c>
      <c r="M81" s="1" t="s">
        <v>47</v>
      </c>
      <c r="N81" s="1" t="s">
        <v>380</v>
      </c>
      <c r="O81" s="1" t="s">
        <v>408</v>
      </c>
      <c r="P81" s="2">
        <v>46174</v>
      </c>
      <c r="Q81" s="1" t="s">
        <v>38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2"/>
  <sheetViews>
    <sheetView workbookViewId="0">
      <selection activeCell="H99" sqref="H99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9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1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1" t="s">
        <v>9</v>
      </c>
      <c r="H1" s="1" t="s">
        <v>19</v>
      </c>
      <c r="I1" s="1" t="s">
        <v>13</v>
      </c>
      <c r="J1" s="1" t="s">
        <v>12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32</v>
      </c>
      <c r="F2" s="1" t="s">
        <v>34</v>
      </c>
      <c r="G2" s="11">
        <v>0.28999999999999998</v>
      </c>
      <c r="I2" s="1" t="s">
        <v>36</v>
      </c>
      <c r="J2" s="1" t="s">
        <v>35</v>
      </c>
    </row>
    <row r="3" spans="1:10" hidden="1" x14ac:dyDescent="0.25">
      <c r="A3" s="1" t="s">
        <v>38</v>
      </c>
      <c r="B3" s="1">
        <v>2</v>
      </c>
      <c r="C3" s="1" t="s">
        <v>39</v>
      </c>
      <c r="D3" s="1" t="s">
        <v>40</v>
      </c>
      <c r="E3" s="1" t="s">
        <v>41</v>
      </c>
      <c r="F3" s="1" t="s">
        <v>34</v>
      </c>
      <c r="G3" s="11">
        <v>0.28999999999999998</v>
      </c>
      <c r="I3" s="1" t="s">
        <v>36</v>
      </c>
      <c r="J3" s="1" t="s">
        <v>35</v>
      </c>
    </row>
    <row r="4" spans="1:10" hidden="1" x14ac:dyDescent="0.25">
      <c r="A4" s="1" t="s">
        <v>38</v>
      </c>
      <c r="B4" s="1">
        <v>6</v>
      </c>
      <c r="C4" s="1" t="s">
        <v>56</v>
      </c>
      <c r="D4" s="1" t="s">
        <v>43</v>
      </c>
      <c r="E4" s="1" t="s">
        <v>57</v>
      </c>
      <c r="F4" s="1" t="s">
        <v>34</v>
      </c>
      <c r="G4" s="11">
        <v>0.79</v>
      </c>
      <c r="I4" s="1" t="s">
        <v>59</v>
      </c>
      <c r="J4" s="1" t="s">
        <v>47</v>
      </c>
    </row>
    <row r="5" spans="1:10" hidden="1" x14ac:dyDescent="0.25">
      <c r="A5" s="1" t="s">
        <v>38</v>
      </c>
      <c r="B5" s="1">
        <v>7</v>
      </c>
      <c r="C5" s="1" t="s">
        <v>60</v>
      </c>
      <c r="D5" s="1" t="s">
        <v>61</v>
      </c>
      <c r="E5" s="1" t="s">
        <v>62</v>
      </c>
      <c r="F5" s="1" t="s">
        <v>64</v>
      </c>
      <c r="G5" s="11">
        <v>0.7</v>
      </c>
      <c r="I5" s="1" t="s">
        <v>59</v>
      </c>
      <c r="J5" s="1" t="s">
        <v>47</v>
      </c>
    </row>
    <row r="6" spans="1:10" hidden="1" x14ac:dyDescent="0.25">
      <c r="A6" s="1" t="s">
        <v>38</v>
      </c>
      <c r="B6" s="1">
        <v>12</v>
      </c>
      <c r="C6" s="1" t="s">
        <v>87</v>
      </c>
      <c r="D6" s="1" t="s">
        <v>61</v>
      </c>
      <c r="E6" s="1" t="s">
        <v>88</v>
      </c>
      <c r="F6" s="1" t="s">
        <v>34</v>
      </c>
      <c r="G6" s="11">
        <v>0.81</v>
      </c>
      <c r="I6" s="1" t="s">
        <v>59</v>
      </c>
      <c r="J6" s="1" t="s">
        <v>47</v>
      </c>
    </row>
    <row r="7" spans="1:10" hidden="1" x14ac:dyDescent="0.25">
      <c r="A7" s="1" t="s">
        <v>38</v>
      </c>
      <c r="B7" s="1">
        <v>15</v>
      </c>
      <c r="C7" s="1" t="s">
        <v>99</v>
      </c>
      <c r="D7" s="1" t="s">
        <v>92</v>
      </c>
      <c r="E7" s="1" t="s">
        <v>78</v>
      </c>
      <c r="F7" s="1" t="s">
        <v>34</v>
      </c>
      <c r="G7" s="11">
        <v>0.5</v>
      </c>
      <c r="I7" s="1" t="s">
        <v>59</v>
      </c>
      <c r="J7" s="1" t="s">
        <v>47</v>
      </c>
    </row>
    <row r="8" spans="1:10" hidden="1" x14ac:dyDescent="0.25">
      <c r="A8" s="1" t="s">
        <v>38</v>
      </c>
      <c r="B8" s="1">
        <v>16</v>
      </c>
      <c r="C8" s="1" t="s">
        <v>102</v>
      </c>
      <c r="D8" s="1" t="s">
        <v>92</v>
      </c>
      <c r="E8" s="1" t="s">
        <v>84</v>
      </c>
      <c r="F8" s="1" t="s">
        <v>34</v>
      </c>
      <c r="G8" s="11">
        <v>0</v>
      </c>
      <c r="I8" s="1" t="s">
        <v>59</v>
      </c>
      <c r="J8" s="1" t="s">
        <v>47</v>
      </c>
    </row>
    <row r="9" spans="1:10" hidden="1" x14ac:dyDescent="0.25">
      <c r="A9" s="1" t="s">
        <v>38</v>
      </c>
      <c r="B9" s="1">
        <v>17</v>
      </c>
      <c r="C9" s="1" t="s">
        <v>104</v>
      </c>
      <c r="D9" s="1" t="s">
        <v>61</v>
      </c>
      <c r="E9" s="1" t="s">
        <v>105</v>
      </c>
      <c r="F9" s="1" t="s">
        <v>34</v>
      </c>
      <c r="G9" s="11">
        <v>0.81</v>
      </c>
      <c r="I9" s="1" t="s">
        <v>59</v>
      </c>
      <c r="J9" s="1" t="s">
        <v>47</v>
      </c>
    </row>
    <row r="10" spans="1:10" hidden="1" x14ac:dyDescent="0.25">
      <c r="A10" s="1" t="s">
        <v>38</v>
      </c>
      <c r="B10" s="1">
        <v>20</v>
      </c>
      <c r="C10" s="1" t="s">
        <v>113</v>
      </c>
      <c r="D10" s="1" t="s">
        <v>108</v>
      </c>
      <c r="E10" s="1" t="s">
        <v>78</v>
      </c>
      <c r="F10" s="1" t="s">
        <v>34</v>
      </c>
      <c r="G10" s="11">
        <v>0.5</v>
      </c>
      <c r="I10" s="1" t="s">
        <v>59</v>
      </c>
      <c r="J10" s="1" t="s">
        <v>47</v>
      </c>
    </row>
    <row r="11" spans="1:10" hidden="1" x14ac:dyDescent="0.25">
      <c r="A11" s="1" t="s">
        <v>38</v>
      </c>
      <c r="B11" s="1">
        <v>21</v>
      </c>
      <c r="C11" s="1" t="s">
        <v>116</v>
      </c>
      <c r="D11" s="1" t="s">
        <v>108</v>
      </c>
      <c r="E11" s="1" t="s">
        <v>84</v>
      </c>
      <c r="F11" s="1" t="s">
        <v>34</v>
      </c>
      <c r="G11" s="11">
        <v>0</v>
      </c>
      <c r="I11" s="1" t="s">
        <v>59</v>
      </c>
      <c r="J11" s="1" t="s">
        <v>47</v>
      </c>
    </row>
    <row r="12" spans="1:10" hidden="1" x14ac:dyDescent="0.25">
      <c r="A12" s="1" t="s">
        <v>38</v>
      </c>
      <c r="B12" s="1">
        <v>22</v>
      </c>
      <c r="C12" s="1" t="s">
        <v>118</v>
      </c>
      <c r="D12" s="1" t="s">
        <v>43</v>
      </c>
      <c r="E12" s="1" t="s">
        <v>119</v>
      </c>
      <c r="F12" s="1" t="s">
        <v>34</v>
      </c>
      <c r="G12" s="11">
        <v>0.4</v>
      </c>
      <c r="I12" s="1" t="s">
        <v>121</v>
      </c>
      <c r="J12" s="1" t="s">
        <v>47</v>
      </c>
    </row>
    <row r="13" spans="1:10" hidden="1" x14ac:dyDescent="0.25">
      <c r="A13" s="1" t="s">
        <v>38</v>
      </c>
      <c r="B13" s="1">
        <v>23</v>
      </c>
      <c r="C13" s="1" t="s">
        <v>122</v>
      </c>
      <c r="D13" s="1" t="s">
        <v>123</v>
      </c>
      <c r="E13" s="1" t="s">
        <v>124</v>
      </c>
      <c r="F13" s="1" t="s">
        <v>34</v>
      </c>
      <c r="G13" s="11">
        <v>0</v>
      </c>
      <c r="I13" s="1" t="s">
        <v>121</v>
      </c>
      <c r="J13" s="1" t="s">
        <v>47</v>
      </c>
    </row>
    <row r="14" spans="1:10" x14ac:dyDescent="0.25">
      <c r="A14" s="1" t="s">
        <v>38</v>
      </c>
      <c r="B14" s="1">
        <v>24</v>
      </c>
      <c r="C14" s="1" t="s">
        <v>128</v>
      </c>
      <c r="D14" s="1" t="s">
        <v>129</v>
      </c>
      <c r="E14" s="1" t="s">
        <v>68</v>
      </c>
      <c r="F14" s="1" t="s">
        <v>34</v>
      </c>
      <c r="G14" s="11">
        <v>0</v>
      </c>
      <c r="I14" s="1" t="s">
        <v>121</v>
      </c>
      <c r="J14" s="1" t="s">
        <v>47</v>
      </c>
    </row>
    <row r="15" spans="1:10" hidden="1" x14ac:dyDescent="0.25">
      <c r="A15" s="1" t="s">
        <v>38</v>
      </c>
      <c r="B15" s="1">
        <v>25</v>
      </c>
      <c r="C15" s="1" t="s">
        <v>130</v>
      </c>
      <c r="D15" s="1" t="s">
        <v>129</v>
      </c>
      <c r="E15" s="1" t="s">
        <v>73</v>
      </c>
      <c r="F15" s="1" t="s">
        <v>34</v>
      </c>
      <c r="G15" s="11">
        <v>0</v>
      </c>
      <c r="I15" s="1" t="s">
        <v>121</v>
      </c>
      <c r="J15" s="1" t="s">
        <v>47</v>
      </c>
    </row>
    <row r="16" spans="1:10" hidden="1" x14ac:dyDescent="0.25">
      <c r="A16" s="1" t="s">
        <v>38</v>
      </c>
      <c r="B16" s="1">
        <v>26</v>
      </c>
      <c r="C16" s="1" t="s">
        <v>132</v>
      </c>
      <c r="D16" s="1" t="s">
        <v>129</v>
      </c>
      <c r="E16" s="1" t="s">
        <v>78</v>
      </c>
      <c r="F16" s="1" t="s">
        <v>34</v>
      </c>
      <c r="G16" s="11">
        <v>0</v>
      </c>
      <c r="I16" s="1" t="s">
        <v>121</v>
      </c>
      <c r="J16" s="1" t="s">
        <v>47</v>
      </c>
    </row>
    <row r="17" spans="1:10" hidden="1" x14ac:dyDescent="0.25">
      <c r="A17" s="1" t="s">
        <v>38</v>
      </c>
      <c r="B17" s="1">
        <v>27</v>
      </c>
      <c r="C17" s="1" t="s">
        <v>134</v>
      </c>
      <c r="D17" s="1" t="s">
        <v>129</v>
      </c>
      <c r="E17" s="1" t="s">
        <v>84</v>
      </c>
      <c r="F17" s="1" t="s">
        <v>34</v>
      </c>
      <c r="G17" s="11">
        <v>0</v>
      </c>
      <c r="I17" s="1" t="s">
        <v>121</v>
      </c>
      <c r="J17" s="1" t="s">
        <v>47</v>
      </c>
    </row>
    <row r="18" spans="1:10" hidden="1" x14ac:dyDescent="0.25">
      <c r="A18" s="1" t="s">
        <v>38</v>
      </c>
      <c r="B18" s="1">
        <v>28</v>
      </c>
      <c r="C18" s="1" t="s">
        <v>136</v>
      </c>
      <c r="D18" s="1" t="s">
        <v>123</v>
      </c>
      <c r="E18" s="1" t="s">
        <v>137</v>
      </c>
      <c r="F18" s="1" t="s">
        <v>34</v>
      </c>
      <c r="G18" s="11">
        <v>0</v>
      </c>
      <c r="I18" s="1" t="s">
        <v>121</v>
      </c>
      <c r="J18" s="1" t="s">
        <v>47</v>
      </c>
    </row>
    <row r="19" spans="1:10" x14ac:dyDescent="0.25">
      <c r="B19" s="1">
        <v>29</v>
      </c>
      <c r="C19" s="1" t="s">
        <v>141</v>
      </c>
      <c r="D19" s="1" t="s">
        <v>142</v>
      </c>
      <c r="E19" s="1" t="s">
        <v>68</v>
      </c>
      <c r="F19" s="1" t="s">
        <v>34</v>
      </c>
      <c r="G19" s="11">
        <v>0</v>
      </c>
      <c r="I19" s="1" t="s">
        <v>121</v>
      </c>
      <c r="J19" s="1" t="s">
        <v>47</v>
      </c>
    </row>
    <row r="20" spans="1:10" hidden="1" x14ac:dyDescent="0.25">
      <c r="B20" s="1">
        <v>30</v>
      </c>
      <c r="C20" s="1" t="s">
        <v>143</v>
      </c>
      <c r="D20" s="1" t="s">
        <v>142</v>
      </c>
      <c r="E20" s="1" t="s">
        <v>73</v>
      </c>
      <c r="F20" s="1" t="s">
        <v>34</v>
      </c>
      <c r="G20" s="11">
        <v>0</v>
      </c>
      <c r="I20" s="1" t="s">
        <v>121</v>
      </c>
      <c r="J20" s="1" t="s">
        <v>47</v>
      </c>
    </row>
    <row r="21" spans="1:10" hidden="1" x14ac:dyDescent="0.25">
      <c r="B21" s="1">
        <v>31</v>
      </c>
      <c r="C21" s="1" t="s">
        <v>145</v>
      </c>
      <c r="D21" s="1" t="s">
        <v>142</v>
      </c>
      <c r="E21" s="1" t="s">
        <v>78</v>
      </c>
      <c r="F21" s="1" t="s">
        <v>34</v>
      </c>
      <c r="G21" s="11">
        <v>0</v>
      </c>
      <c r="I21" s="1" t="s">
        <v>121</v>
      </c>
      <c r="J21" s="1" t="s">
        <v>47</v>
      </c>
    </row>
    <row r="22" spans="1:10" hidden="1" x14ac:dyDescent="0.25">
      <c r="B22" s="1">
        <v>32</v>
      </c>
      <c r="C22" s="1" t="s">
        <v>147</v>
      </c>
      <c r="D22" s="1" t="s">
        <v>142</v>
      </c>
      <c r="E22" s="1" t="s">
        <v>84</v>
      </c>
      <c r="F22" s="1" t="s">
        <v>34</v>
      </c>
      <c r="G22" s="11">
        <v>0</v>
      </c>
      <c r="I22" s="1" t="s">
        <v>121</v>
      </c>
      <c r="J22" s="1" t="s">
        <v>47</v>
      </c>
    </row>
    <row r="23" spans="1:10" hidden="1" x14ac:dyDescent="0.25">
      <c r="A23" s="1" t="s">
        <v>38</v>
      </c>
      <c r="B23" s="1">
        <v>33</v>
      </c>
      <c r="C23" s="1" t="s">
        <v>149</v>
      </c>
      <c r="D23" s="1" t="s">
        <v>123</v>
      </c>
      <c r="E23" s="1" t="s">
        <v>150</v>
      </c>
      <c r="F23" s="1" t="s">
        <v>34</v>
      </c>
      <c r="G23" s="11">
        <v>0.71</v>
      </c>
      <c r="I23" s="1" t="s">
        <v>121</v>
      </c>
      <c r="J23" s="1" t="s">
        <v>47</v>
      </c>
    </row>
    <row r="24" spans="1:10" hidden="1" x14ac:dyDescent="0.25">
      <c r="A24" s="1" t="s">
        <v>38</v>
      </c>
      <c r="B24" s="1">
        <v>36</v>
      </c>
      <c r="C24" s="1" t="s">
        <v>158</v>
      </c>
      <c r="D24" s="1" t="s">
        <v>154</v>
      </c>
      <c r="E24" s="1" t="s">
        <v>78</v>
      </c>
      <c r="F24" s="1" t="s">
        <v>34</v>
      </c>
      <c r="G24" s="11">
        <v>0.5</v>
      </c>
      <c r="I24" s="1" t="s">
        <v>121</v>
      </c>
      <c r="J24" s="1" t="s">
        <v>47</v>
      </c>
    </row>
    <row r="25" spans="1:10" hidden="1" x14ac:dyDescent="0.25">
      <c r="A25" s="1" t="s">
        <v>38</v>
      </c>
      <c r="B25" s="1">
        <v>37</v>
      </c>
      <c r="C25" s="1" t="s">
        <v>160</v>
      </c>
      <c r="D25" s="1" t="s">
        <v>154</v>
      </c>
      <c r="E25" s="1" t="s">
        <v>84</v>
      </c>
      <c r="F25" s="1" t="s">
        <v>34</v>
      </c>
      <c r="G25" s="11">
        <v>0</v>
      </c>
      <c r="I25" s="1" t="s">
        <v>121</v>
      </c>
      <c r="J25" s="1" t="s">
        <v>47</v>
      </c>
    </row>
    <row r="26" spans="1:10" hidden="1" x14ac:dyDescent="0.25">
      <c r="A26" s="1" t="s">
        <v>38</v>
      </c>
      <c r="B26" s="1">
        <v>38</v>
      </c>
      <c r="C26" s="1" t="s">
        <v>162</v>
      </c>
      <c r="D26" s="1" t="s">
        <v>123</v>
      </c>
      <c r="E26" s="1" t="s">
        <v>163</v>
      </c>
      <c r="F26" s="1" t="s">
        <v>64</v>
      </c>
      <c r="G26" s="11">
        <v>0.71</v>
      </c>
      <c r="I26" s="1" t="s">
        <v>121</v>
      </c>
      <c r="J26" s="1" t="s">
        <v>47</v>
      </c>
    </row>
    <row r="27" spans="1:10" hidden="1" x14ac:dyDescent="0.25">
      <c r="A27" s="1" t="s">
        <v>38</v>
      </c>
      <c r="B27" s="1">
        <v>41</v>
      </c>
      <c r="C27" s="1" t="s">
        <v>169</v>
      </c>
      <c r="D27" s="1" t="s">
        <v>166</v>
      </c>
      <c r="E27" s="1" t="s">
        <v>78</v>
      </c>
      <c r="F27" s="1" t="s">
        <v>80</v>
      </c>
      <c r="G27" s="11">
        <v>0.5</v>
      </c>
      <c r="I27" s="1" t="s">
        <v>121</v>
      </c>
      <c r="J27" s="1" t="s">
        <v>47</v>
      </c>
    </row>
    <row r="28" spans="1:10" hidden="1" x14ac:dyDescent="0.25">
      <c r="A28" s="1" t="s">
        <v>38</v>
      </c>
      <c r="B28" s="1">
        <v>42</v>
      </c>
      <c r="C28" s="1" t="s">
        <v>172</v>
      </c>
      <c r="D28" s="1" t="s">
        <v>166</v>
      </c>
      <c r="E28" s="1" t="s">
        <v>84</v>
      </c>
      <c r="F28" s="1" t="s">
        <v>80</v>
      </c>
      <c r="G28" s="11">
        <v>0</v>
      </c>
      <c r="I28" s="1" t="s">
        <v>121</v>
      </c>
      <c r="J28" s="1" t="s">
        <v>47</v>
      </c>
    </row>
    <row r="29" spans="1:10" hidden="1" x14ac:dyDescent="0.25">
      <c r="A29" s="1" t="s">
        <v>38</v>
      </c>
      <c r="B29" s="1">
        <v>43</v>
      </c>
      <c r="C29" s="1" t="s">
        <v>173</v>
      </c>
      <c r="D29" s="1" t="s">
        <v>43</v>
      </c>
      <c r="E29" s="1" t="s">
        <v>174</v>
      </c>
      <c r="F29" s="1" t="s">
        <v>34</v>
      </c>
      <c r="G29" s="11">
        <v>0.31</v>
      </c>
      <c r="I29" s="1" t="s">
        <v>176</v>
      </c>
      <c r="J29" s="1" t="s">
        <v>47</v>
      </c>
    </row>
    <row r="30" spans="1:10" hidden="1" x14ac:dyDescent="0.25">
      <c r="A30" s="1" t="s">
        <v>38</v>
      </c>
      <c r="B30" s="1">
        <v>44</v>
      </c>
      <c r="C30" s="1" t="s">
        <v>177</v>
      </c>
      <c r="D30" s="1" t="s">
        <v>178</v>
      </c>
      <c r="E30" s="1" t="s">
        <v>179</v>
      </c>
      <c r="F30" s="1" t="s">
        <v>34</v>
      </c>
      <c r="G30" s="11">
        <v>0.28000000000000003</v>
      </c>
      <c r="I30" s="1" t="s">
        <v>176</v>
      </c>
      <c r="J30" s="1" t="s">
        <v>47</v>
      </c>
    </row>
    <row r="31" spans="1:10" x14ac:dyDescent="0.25">
      <c r="A31" s="1" t="s">
        <v>38</v>
      </c>
      <c r="B31" s="1">
        <v>45</v>
      </c>
      <c r="C31" s="1" t="s">
        <v>183</v>
      </c>
      <c r="D31" s="1" t="s">
        <v>184</v>
      </c>
      <c r="E31" s="1" t="s">
        <v>68</v>
      </c>
      <c r="F31" s="1" t="s">
        <v>34</v>
      </c>
      <c r="G31" s="11">
        <v>0.5</v>
      </c>
      <c r="I31" s="1" t="s">
        <v>176</v>
      </c>
      <c r="J31" s="1" t="s">
        <v>47</v>
      </c>
    </row>
    <row r="32" spans="1:10" hidden="1" x14ac:dyDescent="0.25">
      <c r="A32" s="1" t="s">
        <v>38</v>
      </c>
      <c r="B32" s="1">
        <v>46</v>
      </c>
      <c r="C32" s="1" t="s">
        <v>188</v>
      </c>
      <c r="D32" s="1" t="s">
        <v>184</v>
      </c>
      <c r="E32" s="1" t="s">
        <v>73</v>
      </c>
      <c r="F32" s="1" t="s">
        <v>34</v>
      </c>
      <c r="G32" s="11">
        <v>0</v>
      </c>
      <c r="I32" s="1" t="s">
        <v>176</v>
      </c>
      <c r="J32" s="1" t="s">
        <v>47</v>
      </c>
    </row>
    <row r="33" spans="1:10" hidden="1" x14ac:dyDescent="0.25">
      <c r="A33" s="1" t="s">
        <v>38</v>
      </c>
      <c r="B33" s="1">
        <v>47</v>
      </c>
      <c r="C33" s="1" t="s">
        <v>189</v>
      </c>
      <c r="D33" s="1" t="s">
        <v>184</v>
      </c>
      <c r="E33" s="1" t="s">
        <v>78</v>
      </c>
      <c r="F33" s="1" t="s">
        <v>34</v>
      </c>
      <c r="G33" s="11">
        <v>0</v>
      </c>
      <c r="I33" s="1" t="s">
        <v>176</v>
      </c>
      <c r="J33" s="1" t="s">
        <v>47</v>
      </c>
    </row>
    <row r="34" spans="1:10" hidden="1" x14ac:dyDescent="0.25">
      <c r="A34" s="1" t="s">
        <v>38</v>
      </c>
      <c r="B34" s="1">
        <v>48</v>
      </c>
      <c r="C34" s="1" t="s">
        <v>190</v>
      </c>
      <c r="D34" s="1" t="s">
        <v>184</v>
      </c>
      <c r="E34" s="1" t="s">
        <v>84</v>
      </c>
      <c r="F34" s="1" t="s">
        <v>34</v>
      </c>
      <c r="G34" s="11">
        <v>0</v>
      </c>
      <c r="I34" s="1" t="s">
        <v>176</v>
      </c>
      <c r="J34" s="1" t="s">
        <v>47</v>
      </c>
    </row>
    <row r="35" spans="1:10" hidden="1" x14ac:dyDescent="0.25">
      <c r="A35" s="1" t="s">
        <v>38</v>
      </c>
      <c r="B35" s="1">
        <v>54</v>
      </c>
      <c r="C35" s="1" t="s">
        <v>202</v>
      </c>
      <c r="D35" s="1" t="s">
        <v>178</v>
      </c>
      <c r="E35" s="1" t="s">
        <v>203</v>
      </c>
      <c r="F35" s="1" t="s">
        <v>34</v>
      </c>
      <c r="G35" s="11">
        <v>0.63</v>
      </c>
      <c r="I35" s="1" t="s">
        <v>176</v>
      </c>
      <c r="J35" s="1" t="s">
        <v>47</v>
      </c>
    </row>
    <row r="36" spans="1:10" hidden="1" x14ac:dyDescent="0.25">
      <c r="A36" s="1" t="s">
        <v>38</v>
      </c>
      <c r="B36" s="1">
        <v>57</v>
      </c>
      <c r="C36" s="1" t="s">
        <v>210</v>
      </c>
      <c r="D36" s="1" t="s">
        <v>206</v>
      </c>
      <c r="E36" s="1" t="s">
        <v>78</v>
      </c>
      <c r="F36" s="1" t="s">
        <v>34</v>
      </c>
      <c r="G36" s="11">
        <v>0.75</v>
      </c>
      <c r="I36" s="1" t="s">
        <v>176</v>
      </c>
      <c r="J36" s="1" t="s">
        <v>47</v>
      </c>
    </row>
    <row r="37" spans="1:10" hidden="1" x14ac:dyDescent="0.25">
      <c r="A37" s="1" t="s">
        <v>38</v>
      </c>
      <c r="B37" s="1">
        <v>58</v>
      </c>
      <c r="C37" s="1" t="s">
        <v>212</v>
      </c>
      <c r="D37" s="1" t="s">
        <v>206</v>
      </c>
      <c r="E37" s="1" t="s">
        <v>84</v>
      </c>
      <c r="F37" s="1" t="s">
        <v>34</v>
      </c>
      <c r="G37" s="11">
        <v>0</v>
      </c>
      <c r="I37" s="1" t="s">
        <v>176</v>
      </c>
      <c r="J37" s="1" t="s">
        <v>47</v>
      </c>
    </row>
    <row r="38" spans="1:10" hidden="1" x14ac:dyDescent="0.25">
      <c r="A38" s="1" t="s">
        <v>38</v>
      </c>
      <c r="B38" s="1">
        <v>59</v>
      </c>
      <c r="C38" s="1" t="s">
        <v>214</v>
      </c>
      <c r="D38" s="1" t="s">
        <v>178</v>
      </c>
      <c r="E38" s="1" t="s">
        <v>215</v>
      </c>
      <c r="F38" s="1" t="s">
        <v>34</v>
      </c>
      <c r="G38" s="11">
        <v>0.63</v>
      </c>
      <c r="I38" s="1" t="s">
        <v>176</v>
      </c>
      <c r="J38" s="1" t="s">
        <v>47</v>
      </c>
    </row>
    <row r="39" spans="1:10" hidden="1" x14ac:dyDescent="0.25">
      <c r="A39" s="1" t="s">
        <v>38</v>
      </c>
      <c r="B39" s="1">
        <v>62</v>
      </c>
      <c r="C39" s="1" t="s">
        <v>221</v>
      </c>
      <c r="D39" s="1" t="s">
        <v>219</v>
      </c>
      <c r="E39" s="1" t="s">
        <v>78</v>
      </c>
      <c r="F39" s="1" t="s">
        <v>34</v>
      </c>
      <c r="G39" s="11">
        <v>0.75</v>
      </c>
      <c r="I39" s="1" t="s">
        <v>176</v>
      </c>
      <c r="J39" s="1" t="s">
        <v>47</v>
      </c>
    </row>
    <row r="40" spans="1:10" hidden="1" x14ac:dyDescent="0.25">
      <c r="A40" s="1" t="s">
        <v>38</v>
      </c>
      <c r="B40" s="1">
        <v>63</v>
      </c>
      <c r="C40" s="1" t="s">
        <v>222</v>
      </c>
      <c r="D40" s="1" t="s">
        <v>219</v>
      </c>
      <c r="E40" s="1" t="s">
        <v>84</v>
      </c>
      <c r="F40" s="1" t="s">
        <v>34</v>
      </c>
      <c r="G40" s="11">
        <v>0</v>
      </c>
      <c r="I40" s="1" t="s">
        <v>176</v>
      </c>
      <c r="J40" s="1" t="s">
        <v>47</v>
      </c>
    </row>
    <row r="41" spans="1:10" hidden="1" x14ac:dyDescent="0.25">
      <c r="A41" s="1" t="s">
        <v>38</v>
      </c>
      <c r="B41" s="1">
        <v>64</v>
      </c>
      <c r="C41" s="1" t="s">
        <v>223</v>
      </c>
      <c r="D41" s="1" t="s">
        <v>43</v>
      </c>
      <c r="E41" s="1" t="s">
        <v>224</v>
      </c>
      <c r="F41" s="1" t="s">
        <v>34</v>
      </c>
      <c r="G41" s="11">
        <v>0.09</v>
      </c>
      <c r="I41" s="1" t="s">
        <v>226</v>
      </c>
      <c r="J41" s="1" t="s">
        <v>47</v>
      </c>
    </row>
    <row r="42" spans="1:10" hidden="1" x14ac:dyDescent="0.25">
      <c r="A42" s="1" t="s">
        <v>38</v>
      </c>
      <c r="B42" s="1">
        <v>65</v>
      </c>
      <c r="C42" s="1" t="s">
        <v>227</v>
      </c>
      <c r="D42" s="1" t="s">
        <v>228</v>
      </c>
      <c r="E42" s="1" t="s">
        <v>229</v>
      </c>
      <c r="F42" s="1" t="s">
        <v>34</v>
      </c>
      <c r="G42" s="11">
        <v>0.67</v>
      </c>
      <c r="I42" s="1" t="s">
        <v>226</v>
      </c>
      <c r="J42" s="1" t="s">
        <v>47</v>
      </c>
    </row>
    <row r="43" spans="1:10" hidden="1" x14ac:dyDescent="0.25">
      <c r="A43" s="1" t="s">
        <v>38</v>
      </c>
      <c r="B43" s="1">
        <v>68</v>
      </c>
      <c r="C43" s="1" t="s">
        <v>236</v>
      </c>
      <c r="D43" s="1" t="s">
        <v>232</v>
      </c>
      <c r="E43" s="1" t="s">
        <v>78</v>
      </c>
      <c r="F43" s="1" t="s">
        <v>34</v>
      </c>
      <c r="G43" s="11">
        <v>0.5</v>
      </c>
      <c r="I43" s="1" t="s">
        <v>226</v>
      </c>
      <c r="J43" s="1" t="s">
        <v>47</v>
      </c>
    </row>
    <row r="44" spans="1:10" hidden="1" x14ac:dyDescent="0.25">
      <c r="A44" s="1" t="s">
        <v>38</v>
      </c>
      <c r="B44" s="1">
        <v>69</v>
      </c>
      <c r="C44" s="1" t="s">
        <v>237</v>
      </c>
      <c r="D44" s="1" t="s">
        <v>232</v>
      </c>
      <c r="E44" s="1" t="s">
        <v>84</v>
      </c>
      <c r="F44" s="1" t="s">
        <v>34</v>
      </c>
      <c r="G44" s="11">
        <v>0</v>
      </c>
      <c r="I44" s="1" t="s">
        <v>226</v>
      </c>
      <c r="J44" s="1" t="s">
        <v>47</v>
      </c>
    </row>
    <row r="45" spans="1:10" hidden="1" x14ac:dyDescent="0.25">
      <c r="A45" s="1" t="s">
        <v>38</v>
      </c>
      <c r="B45" s="1">
        <v>95</v>
      </c>
      <c r="C45" s="1" t="s">
        <v>279</v>
      </c>
      <c r="D45" s="1" t="s">
        <v>228</v>
      </c>
      <c r="E45" s="1" t="s">
        <v>280</v>
      </c>
      <c r="F45" s="1" t="s">
        <v>34</v>
      </c>
      <c r="G45" s="11">
        <v>0</v>
      </c>
      <c r="I45" s="1" t="s">
        <v>226</v>
      </c>
      <c r="J45" s="1" t="s">
        <v>47</v>
      </c>
    </row>
    <row r="46" spans="1:10" x14ac:dyDescent="0.25">
      <c r="A46" s="1" t="s">
        <v>38</v>
      </c>
      <c r="B46" s="1">
        <v>96</v>
      </c>
      <c r="C46" s="1" t="s">
        <v>281</v>
      </c>
      <c r="D46" s="1" t="s">
        <v>282</v>
      </c>
      <c r="E46" s="1" t="s">
        <v>68</v>
      </c>
      <c r="F46" s="1" t="s">
        <v>34</v>
      </c>
      <c r="G46" s="11">
        <v>0</v>
      </c>
      <c r="I46" s="1" t="s">
        <v>226</v>
      </c>
      <c r="J46" s="1" t="s">
        <v>47</v>
      </c>
    </row>
    <row r="47" spans="1:10" hidden="1" x14ac:dyDescent="0.25">
      <c r="A47" s="1" t="s">
        <v>38</v>
      </c>
      <c r="B47" s="1">
        <v>97</v>
      </c>
      <c r="C47" s="1" t="s">
        <v>283</v>
      </c>
      <c r="D47" s="1" t="s">
        <v>282</v>
      </c>
      <c r="E47" s="1" t="s">
        <v>73</v>
      </c>
      <c r="F47" s="1" t="s">
        <v>80</v>
      </c>
      <c r="G47" s="11">
        <v>0</v>
      </c>
      <c r="I47" s="1" t="s">
        <v>226</v>
      </c>
      <c r="J47" s="1" t="s">
        <v>47</v>
      </c>
    </row>
    <row r="48" spans="1:10" hidden="1" x14ac:dyDescent="0.25">
      <c r="A48" s="1" t="s">
        <v>38</v>
      </c>
      <c r="B48" s="1">
        <v>98</v>
      </c>
      <c r="C48" s="1" t="s">
        <v>284</v>
      </c>
      <c r="D48" s="1" t="s">
        <v>282</v>
      </c>
      <c r="E48" s="1" t="s">
        <v>78</v>
      </c>
      <c r="F48" s="1" t="s">
        <v>80</v>
      </c>
      <c r="G48" s="11">
        <v>0</v>
      </c>
      <c r="I48" s="1" t="s">
        <v>226</v>
      </c>
      <c r="J48" s="1" t="s">
        <v>47</v>
      </c>
    </row>
    <row r="49" spans="1:10" hidden="1" x14ac:dyDescent="0.25">
      <c r="A49" s="1" t="s">
        <v>38</v>
      </c>
      <c r="B49" s="1">
        <v>99</v>
      </c>
      <c r="C49" s="1" t="s">
        <v>285</v>
      </c>
      <c r="D49" s="1" t="s">
        <v>282</v>
      </c>
      <c r="E49" s="1" t="s">
        <v>84</v>
      </c>
      <c r="F49" s="1" t="s">
        <v>80</v>
      </c>
      <c r="G49" s="11">
        <v>0</v>
      </c>
      <c r="I49" s="1" t="s">
        <v>226</v>
      </c>
      <c r="J49" s="1" t="s">
        <v>47</v>
      </c>
    </row>
    <row r="50" spans="1:10" hidden="1" x14ac:dyDescent="0.25">
      <c r="A50" s="1" t="s">
        <v>38</v>
      </c>
      <c r="B50" s="1">
        <v>100</v>
      </c>
      <c r="C50" s="1" t="s">
        <v>286</v>
      </c>
      <c r="D50" s="1" t="s">
        <v>43</v>
      </c>
      <c r="E50" s="1" t="s">
        <v>287</v>
      </c>
      <c r="F50" s="1" t="s">
        <v>34</v>
      </c>
      <c r="G50" s="11">
        <v>0.39</v>
      </c>
      <c r="I50" s="1" t="s">
        <v>289</v>
      </c>
      <c r="J50" s="1" t="s">
        <v>47</v>
      </c>
    </row>
    <row r="51" spans="1:10" hidden="1" x14ac:dyDescent="0.25">
      <c r="A51" s="1" t="s">
        <v>38</v>
      </c>
      <c r="B51" s="1">
        <v>111</v>
      </c>
      <c r="C51" s="1" t="s">
        <v>309</v>
      </c>
      <c r="D51" s="1" t="s">
        <v>291</v>
      </c>
      <c r="E51" s="1" t="s">
        <v>310</v>
      </c>
      <c r="F51" s="1" t="s">
        <v>34</v>
      </c>
      <c r="G51" s="11">
        <v>0</v>
      </c>
      <c r="I51" s="1" t="s">
        <v>289</v>
      </c>
      <c r="J51" s="1" t="s">
        <v>47</v>
      </c>
    </row>
    <row r="52" spans="1:10" x14ac:dyDescent="0.25">
      <c r="A52" s="1" t="s">
        <v>38</v>
      </c>
      <c r="B52" s="1">
        <v>112</v>
      </c>
      <c r="C52" s="1" t="s">
        <v>311</v>
      </c>
      <c r="D52" s="1" t="s">
        <v>312</v>
      </c>
      <c r="E52" s="1" t="s">
        <v>68</v>
      </c>
      <c r="F52" s="1" t="s">
        <v>34</v>
      </c>
      <c r="G52" s="11">
        <v>0</v>
      </c>
      <c r="I52" s="1" t="s">
        <v>289</v>
      </c>
      <c r="J52" s="1" t="s">
        <v>47</v>
      </c>
    </row>
    <row r="53" spans="1:10" hidden="1" x14ac:dyDescent="0.25">
      <c r="A53" s="1" t="s">
        <v>38</v>
      </c>
      <c r="B53" s="1">
        <v>113</v>
      </c>
      <c r="C53" s="1" t="s">
        <v>313</v>
      </c>
      <c r="D53" s="1" t="s">
        <v>312</v>
      </c>
      <c r="E53" s="1" t="s">
        <v>73</v>
      </c>
      <c r="F53" s="1" t="s">
        <v>80</v>
      </c>
      <c r="G53" s="11">
        <v>0</v>
      </c>
      <c r="I53" s="1" t="s">
        <v>289</v>
      </c>
      <c r="J53" s="1" t="s">
        <v>47</v>
      </c>
    </row>
    <row r="54" spans="1:10" hidden="1" x14ac:dyDescent="0.25">
      <c r="A54" s="1" t="s">
        <v>38</v>
      </c>
      <c r="B54" s="1">
        <v>114</v>
      </c>
      <c r="C54" s="1" t="s">
        <v>315</v>
      </c>
      <c r="D54" s="1" t="s">
        <v>312</v>
      </c>
      <c r="E54" s="1" t="s">
        <v>78</v>
      </c>
      <c r="F54" s="1" t="s">
        <v>80</v>
      </c>
      <c r="G54" s="11">
        <v>0</v>
      </c>
      <c r="I54" s="1" t="s">
        <v>289</v>
      </c>
      <c r="J54" s="1" t="s">
        <v>47</v>
      </c>
    </row>
    <row r="55" spans="1:10" hidden="1" x14ac:dyDescent="0.25">
      <c r="A55" s="1" t="s">
        <v>38</v>
      </c>
      <c r="B55" s="1">
        <v>115</v>
      </c>
      <c r="C55" s="1" t="s">
        <v>316</v>
      </c>
      <c r="D55" s="1" t="s">
        <v>312</v>
      </c>
      <c r="E55" s="1" t="s">
        <v>84</v>
      </c>
      <c r="F55" s="1" t="s">
        <v>80</v>
      </c>
      <c r="G55" s="11">
        <v>0</v>
      </c>
      <c r="I55" s="1" t="s">
        <v>289</v>
      </c>
      <c r="J55" s="1" t="s">
        <v>47</v>
      </c>
    </row>
    <row r="56" spans="1:10" hidden="1" x14ac:dyDescent="0.25">
      <c r="A56" s="1" t="s">
        <v>38</v>
      </c>
      <c r="B56" s="1">
        <v>116</v>
      </c>
      <c r="C56" s="1" t="s">
        <v>318</v>
      </c>
      <c r="D56" s="1" t="s">
        <v>43</v>
      </c>
      <c r="E56" s="1" t="s">
        <v>319</v>
      </c>
      <c r="F56" s="1" t="s">
        <v>34</v>
      </c>
      <c r="G56" s="11">
        <v>7.0000000000000007E-2</v>
      </c>
      <c r="I56" s="1" t="s">
        <v>321</v>
      </c>
      <c r="J56" s="1" t="s">
        <v>35</v>
      </c>
    </row>
    <row r="57" spans="1:10" hidden="1" x14ac:dyDescent="0.25">
      <c r="A57" s="1" t="s">
        <v>38</v>
      </c>
      <c r="B57" s="1">
        <v>117</v>
      </c>
      <c r="C57" s="1" t="s">
        <v>323</v>
      </c>
      <c r="D57" s="1" t="s">
        <v>324</v>
      </c>
      <c r="E57" s="1" t="s">
        <v>325</v>
      </c>
      <c r="F57" s="1" t="s">
        <v>64</v>
      </c>
      <c r="G57" s="11">
        <v>0.21</v>
      </c>
      <c r="I57" s="1" t="s">
        <v>321</v>
      </c>
      <c r="J57" s="1" t="s">
        <v>47</v>
      </c>
    </row>
    <row r="58" spans="1:10" x14ac:dyDescent="0.25">
      <c r="A58" s="1" t="s">
        <v>38</v>
      </c>
      <c r="B58" s="1">
        <v>118</v>
      </c>
      <c r="C58" s="1" t="s">
        <v>326</v>
      </c>
      <c r="D58" s="1" t="s">
        <v>327</v>
      </c>
      <c r="E58" s="1" t="s">
        <v>68</v>
      </c>
      <c r="F58" s="1" t="s">
        <v>64</v>
      </c>
      <c r="G58" s="11">
        <v>0.5</v>
      </c>
      <c r="I58" s="1" t="s">
        <v>321</v>
      </c>
      <c r="J58" s="1" t="s">
        <v>35</v>
      </c>
    </row>
    <row r="59" spans="1:10" hidden="1" x14ac:dyDescent="0.25">
      <c r="A59" s="1" t="s">
        <v>38</v>
      </c>
      <c r="B59" s="1">
        <v>119</v>
      </c>
      <c r="C59" s="1" t="s">
        <v>329</v>
      </c>
      <c r="D59" s="1" t="s">
        <v>327</v>
      </c>
      <c r="E59" s="1" t="s">
        <v>73</v>
      </c>
      <c r="F59" s="1" t="s">
        <v>80</v>
      </c>
      <c r="G59" s="11">
        <v>0</v>
      </c>
      <c r="I59" s="1" t="s">
        <v>321</v>
      </c>
      <c r="J59" s="1" t="s">
        <v>47</v>
      </c>
    </row>
    <row r="60" spans="1:10" hidden="1" x14ac:dyDescent="0.25">
      <c r="A60" s="1" t="s">
        <v>38</v>
      </c>
      <c r="B60" s="1">
        <v>120</v>
      </c>
      <c r="C60" s="1" t="s">
        <v>330</v>
      </c>
      <c r="D60" s="1" t="s">
        <v>327</v>
      </c>
      <c r="E60" s="1" t="s">
        <v>78</v>
      </c>
      <c r="F60" s="1" t="s">
        <v>80</v>
      </c>
      <c r="G60" s="11">
        <v>0</v>
      </c>
      <c r="I60" s="1" t="s">
        <v>321</v>
      </c>
      <c r="J60" s="1" t="s">
        <v>47</v>
      </c>
    </row>
    <row r="61" spans="1:10" hidden="1" x14ac:dyDescent="0.25">
      <c r="A61" s="1" t="s">
        <v>38</v>
      </c>
      <c r="B61" s="1">
        <v>121</v>
      </c>
      <c r="C61" s="1" t="s">
        <v>331</v>
      </c>
      <c r="D61" s="1" t="s">
        <v>327</v>
      </c>
      <c r="E61" s="1" t="s">
        <v>84</v>
      </c>
      <c r="F61" s="1" t="s">
        <v>80</v>
      </c>
      <c r="G61" s="11">
        <v>0</v>
      </c>
      <c r="I61" s="1" t="s">
        <v>321</v>
      </c>
      <c r="J61" s="1" t="s">
        <v>47</v>
      </c>
    </row>
    <row r="62" spans="1:10" hidden="1" x14ac:dyDescent="0.25">
      <c r="A62" s="1" t="s">
        <v>38</v>
      </c>
      <c r="B62" s="1">
        <v>127</v>
      </c>
      <c r="C62" s="1" t="s">
        <v>340</v>
      </c>
      <c r="D62" s="1" t="s">
        <v>324</v>
      </c>
      <c r="E62" s="1" t="s">
        <v>341</v>
      </c>
      <c r="F62" s="1" t="s">
        <v>34</v>
      </c>
      <c r="G62" s="11">
        <v>0</v>
      </c>
      <c r="I62" s="1" t="s">
        <v>321</v>
      </c>
      <c r="J62" s="1" t="s">
        <v>47</v>
      </c>
    </row>
    <row r="63" spans="1:10" x14ac:dyDescent="0.25">
      <c r="A63" s="1" t="s">
        <v>38</v>
      </c>
      <c r="B63" s="1">
        <v>128</v>
      </c>
      <c r="C63" s="1" t="s">
        <v>342</v>
      </c>
      <c r="D63" s="1" t="s">
        <v>343</v>
      </c>
      <c r="E63" s="1" t="s">
        <v>68</v>
      </c>
      <c r="F63" s="1" t="s">
        <v>34</v>
      </c>
      <c r="G63" s="11">
        <v>0</v>
      </c>
      <c r="I63" s="1" t="s">
        <v>321</v>
      </c>
      <c r="J63" s="1" t="s">
        <v>47</v>
      </c>
    </row>
    <row r="64" spans="1:10" hidden="1" x14ac:dyDescent="0.25">
      <c r="A64" s="1" t="s">
        <v>38</v>
      </c>
      <c r="B64" s="1">
        <v>129</v>
      </c>
      <c r="C64" s="1" t="s">
        <v>344</v>
      </c>
      <c r="D64" s="1" t="s">
        <v>343</v>
      </c>
      <c r="E64" s="1" t="s">
        <v>73</v>
      </c>
      <c r="F64" s="1" t="s">
        <v>80</v>
      </c>
      <c r="G64" s="11">
        <v>0</v>
      </c>
      <c r="I64" s="1" t="s">
        <v>321</v>
      </c>
      <c r="J64" s="1" t="s">
        <v>47</v>
      </c>
    </row>
    <row r="65" spans="1:10" hidden="1" x14ac:dyDescent="0.25">
      <c r="A65" s="1" t="s">
        <v>38</v>
      </c>
      <c r="B65" s="1">
        <v>130</v>
      </c>
      <c r="C65" s="1" t="s">
        <v>345</v>
      </c>
      <c r="D65" s="1" t="s">
        <v>343</v>
      </c>
      <c r="E65" s="1" t="s">
        <v>78</v>
      </c>
      <c r="F65" s="1" t="s">
        <v>80</v>
      </c>
      <c r="G65" s="11">
        <v>0</v>
      </c>
      <c r="I65" s="1" t="s">
        <v>321</v>
      </c>
      <c r="J65" s="1" t="s">
        <v>47</v>
      </c>
    </row>
    <row r="66" spans="1:10" hidden="1" x14ac:dyDescent="0.25">
      <c r="A66" s="1" t="s">
        <v>38</v>
      </c>
      <c r="B66" s="1">
        <v>131</v>
      </c>
      <c r="C66" s="1" t="s">
        <v>346</v>
      </c>
      <c r="D66" s="1" t="s">
        <v>343</v>
      </c>
      <c r="E66" s="1" t="s">
        <v>84</v>
      </c>
      <c r="F66" s="1" t="s">
        <v>80</v>
      </c>
      <c r="G66" s="11">
        <v>0</v>
      </c>
      <c r="I66" s="1" t="s">
        <v>321</v>
      </c>
      <c r="J66" s="1" t="s">
        <v>47</v>
      </c>
    </row>
    <row r="67" spans="1:10" hidden="1" x14ac:dyDescent="0.25">
      <c r="A67" s="1" t="s">
        <v>38</v>
      </c>
      <c r="B67" s="1">
        <v>132</v>
      </c>
      <c r="C67" s="1" t="s">
        <v>347</v>
      </c>
      <c r="D67" s="1" t="s">
        <v>43</v>
      </c>
      <c r="E67" s="1" t="s">
        <v>348</v>
      </c>
      <c r="F67" s="1" t="s">
        <v>34</v>
      </c>
      <c r="G67" s="11">
        <v>0.28999999999999998</v>
      </c>
      <c r="I67" s="1" t="s">
        <v>350</v>
      </c>
      <c r="J67" s="1" t="s">
        <v>47</v>
      </c>
    </row>
    <row r="68" spans="1:10" hidden="1" x14ac:dyDescent="0.25">
      <c r="A68" s="1" t="s">
        <v>38</v>
      </c>
      <c r="B68" s="1">
        <v>133</v>
      </c>
      <c r="C68" s="1" t="s">
        <v>351</v>
      </c>
      <c r="D68" s="1" t="s">
        <v>352</v>
      </c>
      <c r="E68" s="1" t="s">
        <v>353</v>
      </c>
      <c r="F68" s="1" t="s">
        <v>34</v>
      </c>
      <c r="G68" s="11">
        <v>0.8</v>
      </c>
      <c r="I68" s="1" t="s">
        <v>350</v>
      </c>
      <c r="J68" s="1" t="s">
        <v>47</v>
      </c>
    </row>
    <row r="69" spans="1:10" hidden="1" x14ac:dyDescent="0.25">
      <c r="A69" s="1" t="s">
        <v>38</v>
      </c>
      <c r="B69" s="1">
        <v>136</v>
      </c>
      <c r="C69" s="1" t="s">
        <v>358</v>
      </c>
      <c r="D69" s="1" t="s">
        <v>356</v>
      </c>
      <c r="E69" s="1" t="s">
        <v>78</v>
      </c>
      <c r="F69" s="1" t="s">
        <v>34</v>
      </c>
      <c r="G69" s="11">
        <v>0.5</v>
      </c>
      <c r="I69" s="1" t="s">
        <v>350</v>
      </c>
      <c r="J69" s="1" t="s">
        <v>47</v>
      </c>
    </row>
    <row r="70" spans="1:10" hidden="1" x14ac:dyDescent="0.25">
      <c r="A70" s="1" t="s">
        <v>38</v>
      </c>
      <c r="B70" s="1">
        <v>137</v>
      </c>
      <c r="C70" s="1" t="s">
        <v>359</v>
      </c>
      <c r="D70" s="1" t="s">
        <v>356</v>
      </c>
      <c r="E70" s="1" t="s">
        <v>84</v>
      </c>
      <c r="F70" s="1" t="s">
        <v>34</v>
      </c>
      <c r="G70" s="11">
        <v>0</v>
      </c>
      <c r="I70" s="1" t="s">
        <v>350</v>
      </c>
      <c r="J70" s="1" t="s">
        <v>47</v>
      </c>
    </row>
    <row r="71" spans="1:10" hidden="1" x14ac:dyDescent="0.25">
      <c r="A71" s="1" t="s">
        <v>38</v>
      </c>
      <c r="B71" s="1">
        <v>143</v>
      </c>
      <c r="C71" s="1" t="s">
        <v>370</v>
      </c>
      <c r="D71" s="1" t="s">
        <v>352</v>
      </c>
      <c r="E71" s="1" t="s">
        <v>371</v>
      </c>
      <c r="F71" s="1" t="s">
        <v>34</v>
      </c>
      <c r="G71" s="11">
        <v>0</v>
      </c>
      <c r="I71" s="1" t="s">
        <v>350</v>
      </c>
      <c r="J71" s="1" t="s">
        <v>47</v>
      </c>
    </row>
    <row r="72" spans="1:10" x14ac:dyDescent="0.25">
      <c r="A72" s="1" t="s">
        <v>38</v>
      </c>
      <c r="B72" s="1">
        <v>144</v>
      </c>
      <c r="C72" s="1" t="s">
        <v>372</v>
      </c>
      <c r="D72" s="1" t="s">
        <v>373</v>
      </c>
      <c r="E72" s="1" t="s">
        <v>68</v>
      </c>
      <c r="F72" s="1" t="s">
        <v>34</v>
      </c>
      <c r="G72" s="11">
        <v>0</v>
      </c>
      <c r="I72" s="1" t="s">
        <v>350</v>
      </c>
      <c r="J72" s="1" t="s">
        <v>47</v>
      </c>
    </row>
    <row r="73" spans="1:10" hidden="1" x14ac:dyDescent="0.25">
      <c r="A73" s="1" t="s">
        <v>38</v>
      </c>
      <c r="B73" s="1">
        <v>145</v>
      </c>
      <c r="C73" s="1" t="s">
        <v>374</v>
      </c>
      <c r="D73" s="1" t="s">
        <v>373</v>
      </c>
      <c r="E73" s="1" t="s">
        <v>73</v>
      </c>
      <c r="F73" s="1" t="s">
        <v>80</v>
      </c>
      <c r="G73" s="11">
        <v>0</v>
      </c>
      <c r="I73" s="1" t="s">
        <v>350</v>
      </c>
      <c r="J73" s="1" t="s">
        <v>47</v>
      </c>
    </row>
    <row r="74" spans="1:10" hidden="1" x14ac:dyDescent="0.25">
      <c r="A74" s="1" t="s">
        <v>38</v>
      </c>
      <c r="B74" s="1">
        <v>146</v>
      </c>
      <c r="C74" s="1" t="s">
        <v>375</v>
      </c>
      <c r="D74" s="1" t="s">
        <v>373</v>
      </c>
      <c r="E74" s="1" t="s">
        <v>78</v>
      </c>
      <c r="F74" s="1" t="s">
        <v>80</v>
      </c>
      <c r="G74" s="11">
        <v>0</v>
      </c>
      <c r="I74" s="1" t="s">
        <v>350</v>
      </c>
      <c r="J74" s="1" t="s">
        <v>47</v>
      </c>
    </row>
    <row r="75" spans="1:10" hidden="1" x14ac:dyDescent="0.25">
      <c r="A75" s="1" t="s">
        <v>38</v>
      </c>
      <c r="B75" s="1">
        <v>147</v>
      </c>
      <c r="C75" s="1" t="s">
        <v>376</v>
      </c>
      <c r="D75" s="1" t="s">
        <v>373</v>
      </c>
      <c r="E75" s="1" t="s">
        <v>84</v>
      </c>
      <c r="F75" s="1" t="s">
        <v>80</v>
      </c>
      <c r="G75" s="11">
        <v>0</v>
      </c>
      <c r="I75" s="1" t="s">
        <v>350</v>
      </c>
      <c r="J75" s="1" t="s">
        <v>47</v>
      </c>
    </row>
    <row r="76" spans="1:10" hidden="1" x14ac:dyDescent="0.25">
      <c r="A76" s="1" t="s">
        <v>38</v>
      </c>
      <c r="B76" s="1">
        <v>148</v>
      </c>
      <c r="C76" s="1" t="s">
        <v>377</v>
      </c>
      <c r="D76" s="1" t="s">
        <v>43</v>
      </c>
      <c r="E76" s="1" t="s">
        <v>378</v>
      </c>
      <c r="F76" s="1" t="s">
        <v>34</v>
      </c>
      <c r="G76" s="11">
        <v>0.24</v>
      </c>
      <c r="I76" s="1" t="s">
        <v>380</v>
      </c>
      <c r="J76" s="1" t="s">
        <v>47</v>
      </c>
    </row>
    <row r="77" spans="1:10" hidden="1" x14ac:dyDescent="0.25">
      <c r="A77" s="1" t="s">
        <v>38</v>
      </c>
      <c r="B77" s="1">
        <v>149</v>
      </c>
      <c r="C77" s="1" t="s">
        <v>381</v>
      </c>
      <c r="D77" s="1" t="s">
        <v>382</v>
      </c>
      <c r="E77" s="1" t="s">
        <v>383</v>
      </c>
      <c r="F77" s="1" t="s">
        <v>34</v>
      </c>
      <c r="G77" s="11">
        <v>0.5</v>
      </c>
      <c r="I77" s="1" t="s">
        <v>380</v>
      </c>
      <c r="J77" s="1" t="s">
        <v>47</v>
      </c>
    </row>
    <row r="78" spans="1:10" hidden="1" x14ac:dyDescent="0.25">
      <c r="A78" s="1" t="s">
        <v>38</v>
      </c>
      <c r="B78" s="1">
        <v>152</v>
      </c>
      <c r="C78" s="1" t="s">
        <v>388</v>
      </c>
      <c r="D78" s="1" t="s">
        <v>385</v>
      </c>
      <c r="E78" s="1" t="s">
        <v>78</v>
      </c>
      <c r="F78" s="1" t="s">
        <v>34</v>
      </c>
      <c r="G78" s="11">
        <v>0.5</v>
      </c>
      <c r="I78" s="1" t="s">
        <v>380</v>
      </c>
      <c r="J78" s="1" t="s">
        <v>47</v>
      </c>
    </row>
    <row r="79" spans="1:10" hidden="1" x14ac:dyDescent="0.25">
      <c r="A79" s="1" t="s">
        <v>38</v>
      </c>
      <c r="B79" s="1">
        <v>153</v>
      </c>
      <c r="C79" s="1" t="s">
        <v>389</v>
      </c>
      <c r="D79" s="1" t="s">
        <v>385</v>
      </c>
      <c r="E79" s="1" t="s">
        <v>84</v>
      </c>
      <c r="F79" s="1" t="s">
        <v>34</v>
      </c>
      <c r="G79" s="11">
        <v>0</v>
      </c>
      <c r="I79" s="1" t="s">
        <v>380</v>
      </c>
      <c r="J79" s="1" t="s">
        <v>47</v>
      </c>
    </row>
    <row r="80" spans="1:10" hidden="1" x14ac:dyDescent="0.25">
      <c r="A80" s="1" t="s">
        <v>38</v>
      </c>
      <c r="B80" s="1">
        <v>154</v>
      </c>
      <c r="C80" s="1" t="s">
        <v>390</v>
      </c>
      <c r="D80" s="1" t="s">
        <v>382</v>
      </c>
      <c r="E80" s="1" t="s">
        <v>391</v>
      </c>
      <c r="F80" s="1" t="s">
        <v>34</v>
      </c>
      <c r="G80" s="11">
        <v>0.5</v>
      </c>
      <c r="I80" s="1" t="s">
        <v>380</v>
      </c>
      <c r="J80" s="1" t="s">
        <v>47</v>
      </c>
    </row>
    <row r="81" spans="1:10" hidden="1" x14ac:dyDescent="0.25">
      <c r="A81" s="1" t="s">
        <v>38</v>
      </c>
      <c r="B81" s="1">
        <v>157</v>
      </c>
      <c r="C81" s="1" t="s">
        <v>396</v>
      </c>
      <c r="D81" s="1" t="s">
        <v>393</v>
      </c>
      <c r="E81" s="1" t="s">
        <v>78</v>
      </c>
      <c r="F81" s="1" t="s">
        <v>34</v>
      </c>
      <c r="G81" s="11">
        <v>0.5</v>
      </c>
      <c r="I81" s="1" t="s">
        <v>380</v>
      </c>
      <c r="J81" s="1" t="s">
        <v>47</v>
      </c>
    </row>
    <row r="82" spans="1:10" hidden="1" x14ac:dyDescent="0.25">
      <c r="A82" s="1" t="s">
        <v>38</v>
      </c>
      <c r="B82" s="1">
        <v>158</v>
      </c>
      <c r="C82" s="1" t="s">
        <v>397</v>
      </c>
      <c r="D82" s="1" t="s">
        <v>393</v>
      </c>
      <c r="E82" s="1" t="s">
        <v>84</v>
      </c>
      <c r="F82" s="1" t="s">
        <v>34</v>
      </c>
      <c r="G82" s="11">
        <v>0</v>
      </c>
      <c r="I82" s="1" t="s">
        <v>380</v>
      </c>
      <c r="J82" s="1" t="s">
        <v>47</v>
      </c>
    </row>
    <row r="83" spans="1:10" hidden="1" x14ac:dyDescent="0.25">
      <c r="A83" s="1" t="s">
        <v>38</v>
      </c>
      <c r="B83" s="1">
        <v>164</v>
      </c>
      <c r="C83" s="1" t="s">
        <v>409</v>
      </c>
      <c r="D83" s="1" t="s">
        <v>382</v>
      </c>
      <c r="E83" s="1" t="s">
        <v>410</v>
      </c>
      <c r="F83" s="1" t="s">
        <v>34</v>
      </c>
      <c r="G83" s="11">
        <v>0</v>
      </c>
      <c r="I83" s="1" t="s">
        <v>380</v>
      </c>
      <c r="J83" s="1" t="s">
        <v>47</v>
      </c>
    </row>
    <row r="84" spans="1:10" x14ac:dyDescent="0.25">
      <c r="A84" s="1" t="s">
        <v>38</v>
      </c>
      <c r="B84" s="1">
        <v>165</v>
      </c>
      <c r="C84" s="1" t="s">
        <v>411</v>
      </c>
      <c r="D84" s="1" t="s">
        <v>412</v>
      </c>
      <c r="E84" s="1" t="s">
        <v>68</v>
      </c>
      <c r="F84" s="1" t="s">
        <v>34</v>
      </c>
      <c r="G84" s="11">
        <v>0</v>
      </c>
      <c r="I84" s="1" t="s">
        <v>380</v>
      </c>
      <c r="J84" s="1" t="s">
        <v>47</v>
      </c>
    </row>
    <row r="85" spans="1:10" hidden="1" x14ac:dyDescent="0.25">
      <c r="A85" s="1" t="s">
        <v>38</v>
      </c>
      <c r="B85" s="1">
        <v>166</v>
      </c>
      <c r="C85" s="1" t="s">
        <v>413</v>
      </c>
      <c r="D85" s="1" t="s">
        <v>412</v>
      </c>
      <c r="E85" s="1" t="s">
        <v>73</v>
      </c>
      <c r="F85" s="1" t="s">
        <v>80</v>
      </c>
      <c r="G85" s="11">
        <v>0</v>
      </c>
      <c r="I85" s="1" t="s">
        <v>380</v>
      </c>
      <c r="J85" s="1" t="s">
        <v>47</v>
      </c>
    </row>
    <row r="86" spans="1:10" hidden="1" x14ac:dyDescent="0.25">
      <c r="A86" s="1" t="s">
        <v>38</v>
      </c>
      <c r="B86" s="1">
        <v>167</v>
      </c>
      <c r="C86" s="1" t="s">
        <v>414</v>
      </c>
      <c r="D86" s="1" t="s">
        <v>412</v>
      </c>
      <c r="E86" s="1" t="s">
        <v>78</v>
      </c>
      <c r="F86" s="1" t="s">
        <v>80</v>
      </c>
      <c r="G86" s="11">
        <v>0</v>
      </c>
      <c r="I86" s="1" t="s">
        <v>380</v>
      </c>
      <c r="J86" s="1" t="s">
        <v>47</v>
      </c>
    </row>
    <row r="87" spans="1:10" hidden="1" x14ac:dyDescent="0.25">
      <c r="A87" s="1" t="s">
        <v>38</v>
      </c>
      <c r="B87" s="1">
        <v>168</v>
      </c>
      <c r="C87" s="1" t="s">
        <v>415</v>
      </c>
      <c r="D87" s="1" t="s">
        <v>412</v>
      </c>
      <c r="E87" s="1" t="s">
        <v>84</v>
      </c>
      <c r="F87" s="1" t="s">
        <v>80</v>
      </c>
      <c r="G87" s="11">
        <v>0</v>
      </c>
      <c r="I87" s="1" t="s">
        <v>380</v>
      </c>
      <c r="J87" s="1" t="s">
        <v>47</v>
      </c>
    </row>
    <row r="88" spans="1:10" hidden="1" x14ac:dyDescent="0.25">
      <c r="A88" s="1" t="s">
        <v>38</v>
      </c>
      <c r="B88" s="1">
        <v>169</v>
      </c>
      <c r="C88" s="1" t="s">
        <v>416</v>
      </c>
      <c r="D88" s="1" t="s">
        <v>382</v>
      </c>
      <c r="E88" s="1" t="s">
        <v>417</v>
      </c>
      <c r="F88" s="1" t="s">
        <v>34</v>
      </c>
      <c r="G88" s="11">
        <v>0.43</v>
      </c>
      <c r="I88" s="1" t="s">
        <v>380</v>
      </c>
      <c r="J88" s="1" t="s">
        <v>47</v>
      </c>
    </row>
    <row r="89" spans="1:10" hidden="1" x14ac:dyDescent="0.25">
      <c r="A89" s="1" t="s">
        <v>38</v>
      </c>
      <c r="B89" s="1">
        <v>171</v>
      </c>
      <c r="C89" s="1" t="s">
        <v>420</v>
      </c>
      <c r="D89" s="1" t="s">
        <v>419</v>
      </c>
      <c r="E89" s="1" t="s">
        <v>73</v>
      </c>
      <c r="F89" s="1" t="s">
        <v>34</v>
      </c>
      <c r="G89" s="11">
        <v>0</v>
      </c>
      <c r="I89" s="1" t="s">
        <v>380</v>
      </c>
      <c r="J89" s="1" t="s">
        <v>47</v>
      </c>
    </row>
    <row r="90" spans="1:10" hidden="1" x14ac:dyDescent="0.25">
      <c r="A90" s="1" t="s">
        <v>38</v>
      </c>
      <c r="B90" s="1">
        <v>172</v>
      </c>
      <c r="C90" s="1" t="s">
        <v>421</v>
      </c>
      <c r="D90" s="1" t="s">
        <v>419</v>
      </c>
      <c r="E90" s="1" t="s">
        <v>78</v>
      </c>
      <c r="F90" s="1" t="s">
        <v>64</v>
      </c>
      <c r="G90" s="11">
        <v>0</v>
      </c>
      <c r="I90" s="1" t="s">
        <v>380</v>
      </c>
      <c r="J90" s="1" t="s">
        <v>47</v>
      </c>
    </row>
    <row r="91" spans="1:10" hidden="1" x14ac:dyDescent="0.25">
      <c r="A91" s="1" t="s">
        <v>38</v>
      </c>
      <c r="B91" s="1">
        <v>173</v>
      </c>
      <c r="C91" s="1" t="s">
        <v>422</v>
      </c>
      <c r="D91" s="1" t="s">
        <v>419</v>
      </c>
      <c r="E91" s="1" t="s">
        <v>84</v>
      </c>
      <c r="F91" s="1" t="s">
        <v>80</v>
      </c>
      <c r="G91" s="11">
        <v>0</v>
      </c>
      <c r="I91" s="1" t="s">
        <v>380</v>
      </c>
      <c r="J91" s="1" t="s">
        <v>47</v>
      </c>
    </row>
    <row r="92" spans="1:10" hidden="1" x14ac:dyDescent="0.25">
      <c r="A92" s="1" t="s">
        <v>38</v>
      </c>
      <c r="B92" s="1">
        <v>7</v>
      </c>
      <c r="C92" s="1" t="s">
        <v>60</v>
      </c>
      <c r="D92" s="1" t="s">
        <v>61</v>
      </c>
      <c r="E92" s="1" t="s">
        <v>440</v>
      </c>
      <c r="F92" s="1" t="s">
        <v>80</v>
      </c>
      <c r="G92" s="11">
        <v>0</v>
      </c>
      <c r="I92" s="1" t="s">
        <v>442</v>
      </c>
      <c r="J92" s="1" t="s">
        <v>35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{730B1D4F-5EEE-404E-90CE-4E01E020AF33}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0B1D4F-5EEE-404E-90CE-4E01E020AF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E6" sqref="E6"/>
    </sheetView>
  </sheetViews>
  <sheetFormatPr defaultRowHeight="15" x14ac:dyDescent="0.25"/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9</v>
      </c>
      <c r="H1" t="s">
        <v>19</v>
      </c>
      <c r="I1" t="s">
        <v>13</v>
      </c>
      <c r="J1" t="s">
        <v>12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8D2EEB-AB90-4499-8353-FFD29DD613E4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75B7C4F4-61BA-49E6-AF40-8D6526BFF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B7892D-6A69-4E63-AF0C-05FF2F47F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2026-07-08T22:31:05Z</dcterms:created>
  <dcterms:modified xsi:type="dcterms:W3CDTF">2026-07-08T22:39:20Z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2026-07-08T22:33:47Z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fe0ae862-9c54-4690-8162-907f9e4cb864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