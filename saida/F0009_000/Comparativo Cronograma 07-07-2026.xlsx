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000/"/>
    </mc:Choice>
  </mc:AlternateContent>
  <xr:revisionPtr revIDLastSave="76" documentId="11_007A6A65FE3C53CA3EA3407FC89BECF8CCA5077D" xr6:coauthVersionLast="47" xr6:coauthVersionMax="47" xr10:uidLastSave="{CF2E4EEF-9853-4825-BA48-00755F2FEC18}"/>
  <bookViews>
    <workbookView xWindow="28680" yWindow="-120" windowWidth="29040" windowHeight="15720" activeTab="5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" l="1"/>
  <c r="C17" i="2"/>
  <c r="E17" i="2"/>
  <c r="F17" i="2"/>
  <c r="G17" i="2"/>
  <c r="B36" i="2"/>
  <c r="C36" i="2"/>
  <c r="D36" i="2"/>
  <c r="E36" i="2"/>
</calcChain>
</file>

<file path=xl/sharedStrings.xml><?xml version="1.0" encoding="utf-8"?>
<sst xmlns="http://schemas.openxmlformats.org/spreadsheetml/2006/main" count="3300" uniqueCount="471">
  <si>
    <t>Id</t>
  </si>
  <si>
    <t>EDT</t>
  </si>
  <si>
    <t>Nome do Resumo da Tarefa</t>
  </si>
  <si>
    <t>Nome da Tarefa</t>
  </si>
  <si>
    <t>Título</t>
  </si>
  <si>
    <t>Duração</t>
  </si>
  <si>
    <t>Início</t>
  </si>
  <si>
    <t>Término</t>
  </si>
  <si>
    <t>Predecessoras</t>
  </si>
  <si>
    <t>% concluída</t>
  </si>
  <si>
    <t>Término real</t>
  </si>
  <si>
    <t>Status</t>
  </si>
  <si>
    <t>Crítica</t>
  </si>
  <si>
    <t>Disciplina</t>
  </si>
  <si>
    <t>Inicio_LB_R0</t>
  </si>
  <si>
    <t>Término_LB_R0</t>
  </si>
  <si>
    <t>Sprint</t>
  </si>
  <si>
    <t>Sucessoras</t>
  </si>
  <si>
    <t>Comparação</t>
  </si>
  <si>
    <t>Nomes dos recursos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</si>
  <si>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</si>
  <si>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</si>
  <si>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</si>
  <si>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</si>
  <si>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</si>
  <si>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</si>
  <si>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</si>
  <si>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</si>
  <si>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</si>
  <si>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</si>
  <si>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</si>
  <si>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</si>
  <si>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</si>
  <si>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157,5 dias</t>
  </si>
  <si>
    <t>Atrasada</t>
  </si>
  <si>
    <t>Sim</t>
  </si>
  <si>
    <t>GERAL</t>
  </si>
  <si>
    <t>Seg 27/04/26</t>
  </si>
  <si>
    <t>Nenhum Sprint</t>
  </si>
  <si>
    <t>1.1</t>
  </si>
  <si>
    <t>F0009 - Programa Marabá</t>
  </si>
  <si>
    <t>área 0000 -documento geral</t>
  </si>
  <si>
    <t>1.1.1</t>
  </si>
  <si>
    <t>Área 0000 -Documento geral</t>
  </si>
  <si>
    <t>kom - início de projeto</t>
  </si>
  <si>
    <t>0 dias</t>
  </si>
  <si>
    <t>Concluída</t>
  </si>
  <si>
    <t>Não</t>
  </si>
  <si>
    <t>8TI+10 dias;5;34TI+45 dias;39TI+10 dias</t>
  </si>
  <si>
    <t>1.1.2</t>
  </si>
  <si>
    <t>pendências</t>
  </si>
  <si>
    <t>PENDÊNCIAS</t>
  </si>
  <si>
    <t>Qua 29/04/26</t>
  </si>
  <si>
    <t>1.1.2.1</t>
  </si>
  <si>
    <t>Pendências</t>
  </si>
  <si>
    <t>recebimento de dados de entrada</t>
  </si>
  <si>
    <t>1.1.3</t>
  </si>
  <si>
    <t>planejamento</t>
  </si>
  <si>
    <t>147,5 dias</t>
  </si>
  <si>
    <t>PLANEJAMENTO</t>
  </si>
  <si>
    <t>1.1.3.1</t>
  </si>
  <si>
    <t>Planejamento</t>
  </si>
  <si>
    <t>ld-f0009-0000-mb-g-00001</t>
  </si>
  <si>
    <t>Lista de documentos</t>
  </si>
  <si>
    <t>No Prazo</t>
  </si>
  <si>
    <t>Tarefa Incluída</t>
  </si>
  <si>
    <t>1.1.3.1.1</t>
  </si>
  <si>
    <t>LD-F0009-0000-MB-G-00001</t>
  </si>
  <si>
    <t>emissão inicial</t>
  </si>
  <si>
    <t>2 dias</t>
  </si>
  <si>
    <t>3TI+10 dias</t>
  </si>
  <si>
    <t>9;18;13</t>
  </si>
  <si>
    <t>1.1.3.1.2</t>
  </si>
  <si>
    <t>análise tecnored</t>
  </si>
  <si>
    <t>1 dia</t>
  </si>
  <si>
    <t>Qui 30/04/26</t>
  </si>
  <si>
    <t>10TI+140 dias</t>
  </si>
  <si>
    <t>1.1.3.1.3</t>
  </si>
  <si>
    <t>atendimento de comentários</t>
  </si>
  <si>
    <t>9TI+140 dias</t>
  </si>
  <si>
    <t>Tarefa futura</t>
  </si>
  <si>
    <t>Qua 06/05/26</t>
  </si>
  <si>
    <t>11TI+3 dias</t>
  </si>
  <si>
    <t>1.1.3.1.4</t>
  </si>
  <si>
    <t>aprovação</t>
  </si>
  <si>
    <t>10TI+3 dias</t>
  </si>
  <si>
    <t>Ter 19/05/26</t>
  </si>
  <si>
    <t>1.1.3.2</t>
  </si>
  <si>
    <t>ea-f0009-0000-mb-g-00001</t>
  </si>
  <si>
    <t>EAP</t>
  </si>
  <si>
    <t>16 dias</t>
  </si>
  <si>
    <t>1.1.3.2.1</t>
  </si>
  <si>
    <t>EA-F0009-0000-MB-G-00001</t>
  </si>
  <si>
    <t>3 dias</t>
  </si>
  <si>
    <t>Qua 03/06/26</t>
  </si>
  <si>
    <t>14;45</t>
  </si>
  <si>
    <t>1.1.3.2.2</t>
  </si>
  <si>
    <t>Seg 08/06/26</t>
  </si>
  <si>
    <t>15TI+8 dias</t>
  </si>
  <si>
    <t>1.1.3.2.3</t>
  </si>
  <si>
    <t>14TI+8 dias</t>
  </si>
  <si>
    <t>Ter 23/06/26</t>
  </si>
  <si>
    <t>1.1.3.2.4</t>
  </si>
  <si>
    <t>Qua 24/06/26</t>
  </si>
  <si>
    <t>1.1.3.3</t>
  </si>
  <si>
    <t>cr-f0009-0000-mb-f-00001</t>
  </si>
  <si>
    <t>Cronograma</t>
  </si>
  <si>
    <t>1.1.3.3.1</t>
  </si>
  <si>
    <t>CR-F0009-0000-MB-F-00001</t>
  </si>
  <si>
    <t>19;45</t>
  </si>
  <si>
    <t>1.1.3.3.2</t>
  </si>
  <si>
    <t>Ter 05/05/26</t>
  </si>
  <si>
    <t>20TI+8 dias</t>
  </si>
  <si>
    <t>1.1.3.3.3</t>
  </si>
  <si>
    <t>19TI+8 dias</t>
  </si>
  <si>
    <t>Qua 13/05/26</t>
  </si>
  <si>
    <t>1.1.3.3.4</t>
  </si>
  <si>
    <t>Seg 18/05/26</t>
  </si>
  <si>
    <t>1.1.4</t>
  </si>
  <si>
    <t>coordenação</t>
  </si>
  <si>
    <t>36 dias</t>
  </si>
  <si>
    <t>COORDENAÇÃO</t>
  </si>
  <si>
    <t>1.1.4.1</t>
  </si>
  <si>
    <t>Coordenação</t>
  </si>
  <si>
    <t>rm-f0009-0000-mb-g-00002</t>
  </si>
  <si>
    <t>Relatorio Mensal</t>
  </si>
  <si>
    <t>7 dias</t>
  </si>
  <si>
    <t>Qui 11/06/26</t>
  </si>
  <si>
    <t>1.1.4.1.1</t>
  </si>
  <si>
    <t>RM-F0009-0000-MB-G-00002</t>
  </si>
  <si>
    <t>1.1.4.1.2</t>
  </si>
  <si>
    <t>Ter 16/06/26</t>
  </si>
  <si>
    <t>1.1.4.1.3</t>
  </si>
  <si>
    <t>Qua 17/06/26</t>
  </si>
  <si>
    <t>1.1.4.1.4</t>
  </si>
  <si>
    <t>Sex 19/06/26</t>
  </si>
  <si>
    <t>1.1.4.2</t>
  </si>
  <si>
    <t>rl-f0009-0000-mb-g-00001</t>
  </si>
  <si>
    <t>Ultimo Relatorio</t>
  </si>
  <si>
    <t>4 dias</t>
  </si>
  <si>
    <t>Ter 30/06/26</t>
  </si>
  <si>
    <t>1.1.4.2.1</t>
  </si>
  <si>
    <t>RL-F0009-0000-MB-G-00001</t>
  </si>
  <si>
    <t>1.1.4.2.2</t>
  </si>
  <si>
    <t>Sex 03/07/26</t>
  </si>
  <si>
    <t>1.1.4.2.3</t>
  </si>
  <si>
    <t>Seg 06/07/26</t>
  </si>
  <si>
    <t>1.1.4.2.4</t>
  </si>
  <si>
    <t>Qua 08/07/26</t>
  </si>
  <si>
    <t>1.1.4.3</t>
  </si>
  <si>
    <t>lf-f0009-0000-mb-f-00001</t>
  </si>
  <si>
    <t>Vendor List</t>
  </si>
  <si>
    <t>Seg 20/07/26</t>
  </si>
  <si>
    <t>1.1.4.3.1</t>
  </si>
  <si>
    <t>LF-F0009-0000-MB-F-00001</t>
  </si>
  <si>
    <t>3TI+45 dias</t>
  </si>
  <si>
    <t>1.1.4.3.2</t>
  </si>
  <si>
    <t>Qui 23/07/26</t>
  </si>
  <si>
    <t>1.1.4.3.3</t>
  </si>
  <si>
    <t>Sex 24/07/26</t>
  </si>
  <si>
    <t>1.1.4.3.4</t>
  </si>
  <si>
    <t>Ter 28/07/26</t>
  </si>
  <si>
    <t>1.1.4.4</t>
  </si>
  <si>
    <t>lp-f0009-0000-mb-g-00001</t>
  </si>
  <si>
    <t>Lista de pendências</t>
  </si>
  <si>
    <t>1.1.4.4.1</t>
  </si>
  <si>
    <t>LP-F0009-0000-MB-G-00001</t>
  </si>
  <si>
    <t>1.1.4.4.2</t>
  </si>
  <si>
    <t>41TI+30 dias</t>
  </si>
  <si>
    <t>1.1.4.4.3</t>
  </si>
  <si>
    <t>40TI+30 dias</t>
  </si>
  <si>
    <t>Sex 12/06/26</t>
  </si>
  <si>
    <t>1.1.4.4.4</t>
  </si>
  <si>
    <t>1.1.5</t>
  </si>
  <si>
    <t>processo</t>
  </si>
  <si>
    <t>139 dias</t>
  </si>
  <si>
    <t>PROCESSOS</t>
  </si>
  <si>
    <t>1.1.5.1</t>
  </si>
  <si>
    <t>Processo</t>
  </si>
  <si>
    <t>cp-f0009-0000-mb-p-00001</t>
  </si>
  <si>
    <t>Critério de Projetos</t>
  </si>
  <si>
    <t>9 dias</t>
  </si>
  <si>
    <t>Ter 09/06/26</t>
  </si>
  <si>
    <t>1.1.5.1.1</t>
  </si>
  <si>
    <t>CP-F0009-0000-MB-P-00001</t>
  </si>
  <si>
    <t>5 dias</t>
  </si>
  <si>
    <t>18;13</t>
  </si>
  <si>
    <t>46;55TI+8 dias;60TI+8 dias;50TI+120 dias;66TT;102TT;118TT;134TT;155TT;150TT;176TI+60 dias</t>
  </si>
  <si>
    <t>1.1.5.1.2</t>
  </si>
  <si>
    <t>1.1.5.1.3</t>
  </si>
  <si>
    <t>1.1.5.1.4</t>
  </si>
  <si>
    <t>1.1.5.2</t>
  </si>
  <si>
    <t>md-f0009-0000-mb-p-00001</t>
  </si>
  <si>
    <t>Memorial descritivo</t>
  </si>
  <si>
    <t>1.1.5.2.1</t>
  </si>
  <si>
    <t>MD-F0009-0000-MB-P-00001</t>
  </si>
  <si>
    <t>45TI+120 dias</t>
  </si>
  <si>
    <t>1.1.5.2.2</t>
  </si>
  <si>
    <t>Seg 22/06/26</t>
  </si>
  <si>
    <t>1.1.5.2.3</t>
  </si>
  <si>
    <t>1.1.5.2.4</t>
  </si>
  <si>
    <t>Qui 25/06/26</t>
  </si>
  <si>
    <t>1.1.5.3</t>
  </si>
  <si>
    <t>fg-f0009-0000-mb-p-00001</t>
  </si>
  <si>
    <t>Diagrama de blocos de processo</t>
  </si>
  <si>
    <t>1.1.5.3.1</t>
  </si>
  <si>
    <t>FG-F0009-0000-MB-P-00001</t>
  </si>
  <si>
    <t>45TI+8 dias</t>
  </si>
  <si>
    <t>1.1.5.3.2</t>
  </si>
  <si>
    <t>Qua 20/05/26</t>
  </si>
  <si>
    <t>1.1.5.3.3</t>
  </si>
  <si>
    <t>Qui 21/05/26</t>
  </si>
  <si>
    <t>1.1.5.3.4</t>
  </si>
  <si>
    <t>Seg 25/05/26</t>
  </si>
  <si>
    <t>1.1.5.4</t>
  </si>
  <si>
    <t>fg-f0009-0000-mb-p-00002</t>
  </si>
  <si>
    <t>Fluxograma geral de processo</t>
  </si>
  <si>
    <t>25 dias</t>
  </si>
  <si>
    <t>1.1.5.4.1</t>
  </si>
  <si>
    <t>FG-F0009-0000-MB-P-00002</t>
  </si>
  <si>
    <t>1.1.5.4.2</t>
  </si>
  <si>
    <t>1.1.5.4.3</t>
  </si>
  <si>
    <t>1.1.5.4.4</t>
  </si>
  <si>
    <t>1.1.6</t>
  </si>
  <si>
    <t>mecânica</t>
  </si>
  <si>
    <t>128 dias</t>
  </si>
  <si>
    <t>MECÂNICA</t>
  </si>
  <si>
    <t>1.1.6.1</t>
  </si>
  <si>
    <t>Mecânica</t>
  </si>
  <si>
    <t>cp-f0009-0000-mb-m-00001</t>
  </si>
  <si>
    <t>6 dias</t>
  </si>
  <si>
    <t>1.1.6.1.1</t>
  </si>
  <si>
    <t>CP-F0009-0000-MB-M-00001</t>
  </si>
  <si>
    <t>45TT</t>
  </si>
  <si>
    <t>67;86TI+120 dias;91TI+120 dias;81TI+120 dias;76TI+120 dias;71TI+120 dias</t>
  </si>
  <si>
    <t>1.1.6.1.2</t>
  </si>
  <si>
    <t>1.1.6.1.3</t>
  </si>
  <si>
    <t>1.1.6.1.4</t>
  </si>
  <si>
    <t>1.1.6.2</t>
  </si>
  <si>
    <t>ag-f0009-0000-mb-l-00001</t>
  </si>
  <si>
    <t>Especificação Técnica</t>
  </si>
  <si>
    <t>Ter 26/05/26</t>
  </si>
  <si>
    <t>1.1.6.2.1</t>
  </si>
  <si>
    <t>AG-F0009-0000-MB-L-00001</t>
  </si>
  <si>
    <t>66TI+120 dias</t>
  </si>
  <si>
    <t>1.1.6.2.2</t>
  </si>
  <si>
    <t>Qui 28/05/26</t>
  </si>
  <si>
    <t>1.1.6.2.3</t>
  </si>
  <si>
    <t>Sex 29/05/26</t>
  </si>
  <si>
    <t>1.1.6.2.4</t>
  </si>
  <si>
    <t>Ter 02/06/26</t>
  </si>
  <si>
    <t>1.1.6.3</t>
  </si>
  <si>
    <t>ag-f0009-0000-mb-l-00002</t>
  </si>
  <si>
    <t>1.1.6.3.1</t>
  </si>
  <si>
    <t>AG-F0009-0000-MB-L-00002</t>
  </si>
  <si>
    <t>1.1.6.3.2</t>
  </si>
  <si>
    <t>1.1.6.3.3</t>
  </si>
  <si>
    <t>1.1.6.3.4</t>
  </si>
  <si>
    <t>1.1.6.4</t>
  </si>
  <si>
    <t>ag-f0009-0000-mb-l-00003</t>
  </si>
  <si>
    <t>1.1.6.4.1</t>
  </si>
  <si>
    <t>AG-F0009-0000-MB-L-00003</t>
  </si>
  <si>
    <t>1.1.6.4.2</t>
  </si>
  <si>
    <t>1.1.6.4.3</t>
  </si>
  <si>
    <t>1.1.6.4.4</t>
  </si>
  <si>
    <t>1.1.6.5</t>
  </si>
  <si>
    <t>ag-f0009-0000-mb-l-00004</t>
  </si>
  <si>
    <t>1.1.6.5.1</t>
  </si>
  <si>
    <t>AG-F0009-0000-MB-L-00004</t>
  </si>
  <si>
    <t>1.1.6.5.2</t>
  </si>
  <si>
    <t>1.1.6.5.3</t>
  </si>
  <si>
    <t>1.1.6.5.4</t>
  </si>
  <si>
    <t>1.1.6.6</t>
  </si>
  <si>
    <t>md-f0009-0000-mb-m-00001</t>
  </si>
  <si>
    <t>1.1.6.6.1</t>
  </si>
  <si>
    <t>MD-F0009-0000-MB-M-00001</t>
  </si>
  <si>
    <t>1.1.6.6.2</t>
  </si>
  <si>
    <t>1.1.6.6.3</t>
  </si>
  <si>
    <t>1.1.6.6.4</t>
  </si>
  <si>
    <t>1.1.6.7</t>
  </si>
  <si>
    <t>et-f0009-0000-mb-m-00001</t>
  </si>
  <si>
    <t>1.1.6.7.1</t>
  </si>
  <si>
    <t>ET-F0009-0000-MB-M-00001</t>
  </si>
  <si>
    <t>1.1.6.7.2</t>
  </si>
  <si>
    <t>1.1.6.7.3</t>
  </si>
  <si>
    <t>1.1.6.7.4</t>
  </si>
  <si>
    <t>1.1.7</t>
  </si>
  <si>
    <t>tubulação/utilidades</t>
  </si>
  <si>
    <t>132 dias</t>
  </si>
  <si>
    <t>TUBULAÇÃO / UTILIDADES</t>
  </si>
  <si>
    <t>1.1.7.1</t>
  </si>
  <si>
    <t>Tubulação/Utilidades</t>
  </si>
  <si>
    <t>cp-f0009-0000-mb-t-00001</t>
  </si>
  <si>
    <t>1.1.7.1.1</t>
  </si>
  <si>
    <t>CP-F0009-0000-MB-T-00001</t>
  </si>
  <si>
    <t>103;107TI+120 dias</t>
  </si>
  <si>
    <t>1.1.7.1.2</t>
  </si>
  <si>
    <t>1.1.7.1.3</t>
  </si>
  <si>
    <t>1.1.7.1.4</t>
  </si>
  <si>
    <t>1.1.7.2</t>
  </si>
  <si>
    <t>md-f0009-0000-mb-u-00001</t>
  </si>
  <si>
    <t>Qui 18/06/26</t>
  </si>
  <si>
    <t>1.1.7.2.1</t>
  </si>
  <si>
    <t>MD-F0009-0000-MB-U-00001</t>
  </si>
  <si>
    <t>102TI+120 dias</t>
  </si>
  <si>
    <t>1.1.7.2.2</t>
  </si>
  <si>
    <t>1.1.7.2.3</t>
  </si>
  <si>
    <t>1.1.7.2.4</t>
  </si>
  <si>
    <t>Sex 26/06/26</t>
  </si>
  <si>
    <t>1.1.7.3</t>
  </si>
  <si>
    <t>et-f0009-0000-mb-t-00001</t>
  </si>
  <si>
    <t>1.1.7.3.1</t>
  </si>
  <si>
    <t>ET-F0009-0000-MB-T-00001</t>
  </si>
  <si>
    <t>1.1.7.3.2</t>
  </si>
  <si>
    <t>Sex 05/06/26</t>
  </si>
  <si>
    <t>1.1.7.3.3</t>
  </si>
  <si>
    <t>1.1.7.3.4</t>
  </si>
  <si>
    <t>Qua 10/06/26</t>
  </si>
  <si>
    <t>1.1.8</t>
  </si>
  <si>
    <t>estrutura metálica</t>
  </si>
  <si>
    <t>130 dias</t>
  </si>
  <si>
    <t>ESTRUTURA METÁLICA</t>
  </si>
  <si>
    <t>Seg 15/06/26</t>
  </si>
  <si>
    <t>1.1.8.1</t>
  </si>
  <si>
    <t>Estrutura metálica</t>
  </si>
  <si>
    <t>cp-f0009-0000-mb-s-00001</t>
  </si>
  <si>
    <t>1.1.8.1.1</t>
  </si>
  <si>
    <t>CP-F0009-0000-MB-S-00001</t>
  </si>
  <si>
    <t>119;123TI+120 dias</t>
  </si>
  <si>
    <t>1.1.8.1.2</t>
  </si>
  <si>
    <t>1.1.8.1.3</t>
  </si>
  <si>
    <t>1.1.8.1.4</t>
  </si>
  <si>
    <t>1.1.8.2</t>
  </si>
  <si>
    <t>md-f0009-0000-mb-s-00001</t>
  </si>
  <si>
    <t>1.1.8.2.1</t>
  </si>
  <si>
    <t>MD-F0009-0000-MB-S-00001</t>
  </si>
  <si>
    <t>118TI+120 dias</t>
  </si>
  <si>
    <t>1.1.8.2.2</t>
  </si>
  <si>
    <t>1.1.8.2.3</t>
  </si>
  <si>
    <t>1.1.8.2.4</t>
  </si>
  <si>
    <t>1.1.8.3</t>
  </si>
  <si>
    <t>et-f0009-0000-mb-s-00001</t>
  </si>
  <si>
    <t>1.1.8.3.1</t>
  </si>
  <si>
    <t>ET-F0009-0000-MB-S-00001</t>
  </si>
  <si>
    <t>1.1.8.3.2</t>
  </si>
  <si>
    <t>1.1.8.3.3</t>
  </si>
  <si>
    <t>1.1.8.3.4</t>
  </si>
  <si>
    <t>1.1.9</t>
  </si>
  <si>
    <t>elétrica</t>
  </si>
  <si>
    <t>140 dias</t>
  </si>
  <si>
    <t>ELÉTRICA</t>
  </si>
  <si>
    <t>1.1.9.1</t>
  </si>
  <si>
    <t>Elétrica</t>
  </si>
  <si>
    <t>cp-f0009-0000-mb-e-00001</t>
  </si>
  <si>
    <t>139TI+120 dias</t>
  </si>
  <si>
    <t>1.1.9.1.1</t>
  </si>
  <si>
    <t>CP-F0009-0000-MB-E-00001</t>
  </si>
  <si>
    <t>1.1.9.1.2</t>
  </si>
  <si>
    <t>1.1.9.1.3</t>
  </si>
  <si>
    <t>1.1.9.1.4</t>
  </si>
  <si>
    <t>1.1.9.2</t>
  </si>
  <si>
    <t>md-f0009-0000-mb-e-00001</t>
  </si>
  <si>
    <t>11 dias</t>
  </si>
  <si>
    <t>1.1.9.2.1</t>
  </si>
  <si>
    <t>MD-F0009-0000-MB-E-00001</t>
  </si>
  <si>
    <t>133TI+120 dias</t>
  </si>
  <si>
    <t>1.1.9.2.2</t>
  </si>
  <si>
    <t>1.1.9.2.3</t>
  </si>
  <si>
    <t>1.1.9.2.4</t>
  </si>
  <si>
    <t>Seg 29/06/26</t>
  </si>
  <si>
    <t>1.1.9.3</t>
  </si>
  <si>
    <t>et-f0009-0000-mb-e-00001</t>
  </si>
  <si>
    <t>1.1.9.3.1</t>
  </si>
  <si>
    <t>ET-F0009-0000-MB-E-00001</t>
  </si>
  <si>
    <t>1.1.9.3.2</t>
  </si>
  <si>
    <t>1.1.9.3.3</t>
  </si>
  <si>
    <t>1.1.9.3.4</t>
  </si>
  <si>
    <t>1.1.10</t>
  </si>
  <si>
    <t>automação e instrumentação</t>
  </si>
  <si>
    <t>127 dias</t>
  </si>
  <si>
    <t>AUTOMAÇÃO E INSTRUMENTAÇÃO</t>
  </si>
  <si>
    <t>1.1.10.1</t>
  </si>
  <si>
    <t>Automação e instrumentação</t>
  </si>
  <si>
    <t>cp-f0009-0000-mb-j-00001</t>
  </si>
  <si>
    <t>1.1.10.1.1</t>
  </si>
  <si>
    <t>CP-F0009-0000-MB-J-00001</t>
  </si>
  <si>
    <t>151;160TI+120 dias</t>
  </si>
  <si>
    <t>1.1.10.1.2</t>
  </si>
  <si>
    <t>1.1.10.1.3</t>
  </si>
  <si>
    <t>1.1.10.1.4</t>
  </si>
  <si>
    <t>1.1.10.2</t>
  </si>
  <si>
    <t>cp-f0009-0000-mb-j-00002</t>
  </si>
  <si>
    <t>1.1.10.2.1</t>
  </si>
  <si>
    <t>CP-F0009-0000-MB-J-00002</t>
  </si>
  <si>
    <t>156;160TI+120 dias</t>
  </si>
  <si>
    <t>1.1.10.2.2</t>
  </si>
  <si>
    <t>1.1.10.2.3</t>
  </si>
  <si>
    <t>1.1.10.2.4</t>
  </si>
  <si>
    <t>1.1.10.3</t>
  </si>
  <si>
    <t>md-f0009-0000-mb-j-00001</t>
  </si>
  <si>
    <t>Sex 22/05/26</t>
  </si>
  <si>
    <t>1.1.10.3.1</t>
  </si>
  <si>
    <t>MD-F0009-0000-MB-J-00001</t>
  </si>
  <si>
    <t>155TI+120 dias;150TI+120 dias</t>
  </si>
  <si>
    <t>1.1.10.3.2</t>
  </si>
  <si>
    <t>Qua 27/05/26</t>
  </si>
  <si>
    <t>1.1.10.3.3</t>
  </si>
  <si>
    <t>1.1.10.3.4</t>
  </si>
  <si>
    <t>Seg 01/06/26</t>
  </si>
  <si>
    <t>1.1.10.4</t>
  </si>
  <si>
    <t>li-f0009-0000-mb-j-00001</t>
  </si>
  <si>
    <t>1.1.10.4.1</t>
  </si>
  <si>
    <t>LI-F0009-0000-MB-J-00001</t>
  </si>
  <si>
    <t>1.1.10.4.2</t>
  </si>
  <si>
    <t>1.1.10.4.3</t>
  </si>
  <si>
    <t>1.1.10.4.4</t>
  </si>
  <si>
    <t>1.1.10.5</t>
  </si>
  <si>
    <t>lw-f0009-0000-mb-j-00001</t>
  </si>
  <si>
    <t>1.1.10.5.1</t>
  </si>
  <si>
    <t>LW-F0009-0000-MB-J-00001</t>
  </si>
  <si>
    <t>1.1.10.5.2</t>
  </si>
  <si>
    <t>1.1.10.5.3</t>
  </si>
  <si>
    <t>1.1.10.5.4</t>
  </si>
  <si>
    <t>1.1.11</t>
  </si>
  <si>
    <t>civil</t>
  </si>
  <si>
    <t>CIVIL</t>
  </si>
  <si>
    <t>1.1.11.1</t>
  </si>
  <si>
    <t>Civil</t>
  </si>
  <si>
    <t>cp-f0009-0000-mb-c-00001</t>
  </si>
  <si>
    <t>Seg 07/09/26</t>
  </si>
  <si>
    <t>1.1.11.1.1</t>
  </si>
  <si>
    <t>CP-F0009-0000-MB-C-00001</t>
  </si>
  <si>
    <t>45TI+60 dias</t>
  </si>
  <si>
    <t>Qua 09/09/26</t>
  </si>
  <si>
    <t>1.1.11.1.2</t>
  </si>
  <si>
    <t>Seg 14/09/26</t>
  </si>
  <si>
    <t>1.1.11.1.3</t>
  </si>
  <si>
    <t>Ter 15/09/26</t>
  </si>
  <si>
    <t>1.1.11.1.4</t>
  </si>
  <si>
    <t>Qui 17/09/26</t>
  </si>
  <si>
    <t>ld-f0009-0000-mb-f-00001</t>
  </si>
  <si>
    <t>149 dias</t>
  </si>
  <si>
    <t xml:space="preserve">PLANEJAMENTO </t>
  </si>
  <si>
    <t>Tarefa Excluída</t>
  </si>
  <si>
    <t>ml-f0009-0000-mb-t-00001</t>
  </si>
  <si>
    <t>TUBULAÇÃO/UTILIDADES</t>
  </si>
  <si>
    <t>1.1.7.4</t>
  </si>
  <si>
    <t>lk-f0009-0000-mb-t-00001</t>
  </si>
  <si>
    <t>avaliações gerais</t>
  </si>
  <si>
    <t>30TI+60 dias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</si>
  <si>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</si>
  <si>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</si>
  <si>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</si>
  <si>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</si>
  <si>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</si>
  <si>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</si>
  <si>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</si>
  <si>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</si>
  <si>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</si>
  <si>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</si>
  <si>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</si>
  <si>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</si>
  <si>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</si>
  <si>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</si>
  <si>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</si>
  <si>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</si>
  <si>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</si>
  <si>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</si>
  <si>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</si>
  <si>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Coluna1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</si>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</sst>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0" fillId="2" borderId="0" xfId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</cellXfs>
  <cellStyles count="2">
    <cellStyle name="Normal" xfId="0" builtinId="0"/>
    <cellStyle name="Porcentagem" xfId="1" builtinId="5"/>
  </cellStyles>
  <dxfs count="16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PLANEJAMENTO 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5</c:v>
                </c:pt>
                <c:pt idx="1">
                  <c:v>1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7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5-46F5-A7D7-911D292D4701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PLANEJAMENTO 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B5-46F5-A7D7-911D292D4701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PLANEJAMENTO 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Resumo!$D$4:$D$15</c:f>
              <c:numCache>
                <c:formatCode>0.0%</c:formatCode>
                <c:ptCount val="12"/>
                <c:pt idx="0">
                  <c:v>0.4</c:v>
                </c:pt>
                <c:pt idx="1">
                  <c:v>0</c:v>
                </c:pt>
                <c:pt idx="2">
                  <c:v>0.5</c:v>
                </c:pt>
                <c:pt idx="3">
                  <c:v>0.33333333333333331</c:v>
                </c:pt>
                <c:pt idx="4">
                  <c:v>0</c:v>
                </c:pt>
                <c:pt idx="5">
                  <c:v>0</c:v>
                </c:pt>
                <c:pt idx="6">
                  <c:v>0.14285714285714279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0.5</c:v>
                </c:pt>
                <c:pt idx="11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B5-46F5-A7D7-911D292D4701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PLANEJAMENTO 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B5-46F5-A7D7-911D292D4701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PLANEJAMENTO 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B5-46F5-A7D7-911D292D4701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PLANEJAMENTO 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B5-46F5-A7D7-911D292D4701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PLANEJAMENTO 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Resumo!$H$4:$H$15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B5-46F5-A7D7-911D292D4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Resumo!$B$22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Resumo!$A$23:$A$35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PLANEJAMENTO 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TUBULAÇÃO/UTILIDADES</c:v>
                </c:pt>
              </c:strCache>
            </c:strRef>
          </c:cat>
          <c:val>
            <c:numRef>
              <c:f>Resumo!$B$23:$B$35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BC41-4F28-B48B-A8B994A54288}"/>
            </c:ext>
          </c:extLst>
        </c:ser>
        <c:ser>
          <c:idx val="1"/>
          <c:order val="1"/>
          <c:tx>
            <c:strRef>
              <c:f>Resumo!$C$22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Resumo!$A$23:$A$35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PLANEJAMENTO 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TUBULAÇÃO/UTILIDADES</c:v>
                </c:pt>
              </c:strCache>
            </c:strRef>
          </c:cat>
          <c:val>
            <c:numRef>
              <c:f>Resumo!$C$23:$C$35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BC41-4F28-B48B-A8B994A54288}"/>
            </c:ext>
          </c:extLst>
        </c:ser>
        <c:ser>
          <c:idx val="2"/>
          <c:order val="2"/>
          <c:tx>
            <c:strRef>
              <c:f>Resumo!$D$22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Resumo!$A$23:$A$35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PLANEJAMENTO 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TUBULAÇÃO/UTILIDADES</c:v>
                </c:pt>
              </c:strCache>
            </c:strRef>
          </c:cat>
          <c:val>
            <c:numRef>
              <c:f>Resumo!$D$23:$D$35</c:f>
              <c:numCache>
                <c:formatCode>General</c:formatCode>
                <c:ptCount val="13"/>
                <c:pt idx="0">
                  <c:v>2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BC41-4F28-B48B-A8B994A54288}"/>
            </c:ext>
          </c:extLst>
        </c:ser>
        <c:ser>
          <c:idx val="3"/>
          <c:order val="3"/>
          <c:tx>
            <c:strRef>
              <c:f>Resumo!$E$22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Resumo!$A$23:$A$35</c:f>
              <c:strCache>
                <c:ptCount val="13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</c:v>
                </c:pt>
                <c:pt idx="9">
                  <c:v>PLANEJAMENTO </c:v>
                </c:pt>
                <c:pt idx="10">
                  <c:v>PROCESSOS</c:v>
                </c:pt>
                <c:pt idx="11">
                  <c:v>TUBULAÇÃO / UTILIDADES</c:v>
                </c:pt>
                <c:pt idx="12">
                  <c:v>TUBULAÇÃO/UTILIDADES</c:v>
                </c:pt>
              </c:strCache>
            </c:strRef>
          </c:cat>
          <c:val>
            <c:numRef>
              <c:f>Resumo!$E$23:$E$35</c:f>
              <c:numCache>
                <c:formatCode>General</c:formatCode>
                <c:ptCount val="13"/>
                <c:pt idx="0">
                  <c:v>2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BC41-4F28-B48B-A8B994A54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06/07/2026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'[1]Curva S'!$A$2:$A$120</c:f>
              <c:numCache>
                <c:formatCode>General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'[1]Curva S'!$B$2:$B$120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2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7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1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6</c:v>
                </c:pt>
                <c:pt idx="89">
                  <c:v>0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6</c:v>
                </c:pt>
                <c:pt idx="96">
                  <c:v>0</c:v>
                </c:pt>
                <c:pt idx="97">
                  <c:v>2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3</c:v>
                </c:pt>
                <c:pt idx="102">
                  <c:v>3</c:v>
                </c:pt>
                <c:pt idx="103">
                  <c:v>22</c:v>
                </c:pt>
                <c:pt idx="104">
                  <c:v>22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3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F-4F7C-8BA0-2E37ACC440CB}"/>
            </c:ext>
          </c:extLst>
        </c:ser>
        <c:ser>
          <c:idx val="2"/>
          <c:order val="2"/>
          <c:tx>
            <c:strRef>
              <c:f>'[1]Curva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'[1]Curva S'!$A$2:$A$120</c:f>
              <c:numCache>
                <c:formatCode>General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'[1]Curva S'!$D$2:$D$120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</c:v>
                </c:pt>
                <c:pt idx="89">
                  <c:v>0</c:v>
                </c:pt>
                <c:pt idx="90">
                  <c:v>1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11</c:v>
                </c:pt>
                <c:pt idx="96">
                  <c:v>9</c:v>
                </c:pt>
                <c:pt idx="97">
                  <c:v>1</c:v>
                </c:pt>
                <c:pt idx="98">
                  <c:v>4</c:v>
                </c:pt>
                <c:pt idx="99">
                  <c:v>0</c:v>
                </c:pt>
                <c:pt idx="100">
                  <c:v>0</c:v>
                </c:pt>
                <c:pt idx="101">
                  <c:v>4</c:v>
                </c:pt>
                <c:pt idx="102">
                  <c:v>0</c:v>
                </c:pt>
                <c:pt idx="103">
                  <c:v>6</c:v>
                </c:pt>
                <c:pt idx="104">
                  <c:v>1</c:v>
                </c:pt>
                <c:pt idx="105">
                  <c:v>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BF-4F7C-8BA0-2E37ACC44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'[1]Curva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'[1]Curva S'!$A$2:$A$120</c:f>
              <c:numCache>
                <c:formatCode>General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'[1]Curva S'!$C$2:$C$120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12</c:v>
                </c:pt>
                <c:pt idx="68">
                  <c:v>13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23</c:v>
                </c:pt>
                <c:pt idx="77">
                  <c:v>23</c:v>
                </c:pt>
                <c:pt idx="78">
                  <c:v>23</c:v>
                </c:pt>
                <c:pt idx="79">
                  <c:v>23</c:v>
                </c:pt>
                <c:pt idx="80">
                  <c:v>23</c:v>
                </c:pt>
                <c:pt idx="81">
                  <c:v>31</c:v>
                </c:pt>
                <c:pt idx="82">
                  <c:v>31</c:v>
                </c:pt>
                <c:pt idx="83">
                  <c:v>32</c:v>
                </c:pt>
                <c:pt idx="84">
                  <c:v>34</c:v>
                </c:pt>
                <c:pt idx="85">
                  <c:v>34</c:v>
                </c:pt>
                <c:pt idx="86">
                  <c:v>34</c:v>
                </c:pt>
                <c:pt idx="87">
                  <c:v>34</c:v>
                </c:pt>
                <c:pt idx="88">
                  <c:v>40</c:v>
                </c:pt>
                <c:pt idx="89">
                  <c:v>40</c:v>
                </c:pt>
                <c:pt idx="90">
                  <c:v>40</c:v>
                </c:pt>
                <c:pt idx="91">
                  <c:v>42</c:v>
                </c:pt>
                <c:pt idx="92">
                  <c:v>42</c:v>
                </c:pt>
                <c:pt idx="93">
                  <c:v>42</c:v>
                </c:pt>
                <c:pt idx="94">
                  <c:v>43</c:v>
                </c:pt>
                <c:pt idx="95">
                  <c:v>49</c:v>
                </c:pt>
                <c:pt idx="96">
                  <c:v>49</c:v>
                </c:pt>
                <c:pt idx="97">
                  <c:v>51</c:v>
                </c:pt>
                <c:pt idx="98">
                  <c:v>51</c:v>
                </c:pt>
                <c:pt idx="99">
                  <c:v>51</c:v>
                </c:pt>
                <c:pt idx="100">
                  <c:v>51</c:v>
                </c:pt>
                <c:pt idx="101">
                  <c:v>54</c:v>
                </c:pt>
                <c:pt idx="102">
                  <c:v>57</c:v>
                </c:pt>
                <c:pt idx="103">
                  <c:v>79</c:v>
                </c:pt>
                <c:pt idx="104">
                  <c:v>101</c:v>
                </c:pt>
                <c:pt idx="105">
                  <c:v>102</c:v>
                </c:pt>
                <c:pt idx="106">
                  <c:v>102</c:v>
                </c:pt>
                <c:pt idx="107">
                  <c:v>102</c:v>
                </c:pt>
                <c:pt idx="108">
                  <c:v>102</c:v>
                </c:pt>
                <c:pt idx="109">
                  <c:v>102</c:v>
                </c:pt>
                <c:pt idx="110">
                  <c:v>105</c:v>
                </c:pt>
                <c:pt idx="111">
                  <c:v>105</c:v>
                </c:pt>
                <c:pt idx="112">
                  <c:v>105</c:v>
                </c:pt>
                <c:pt idx="113">
                  <c:v>105</c:v>
                </c:pt>
                <c:pt idx="114">
                  <c:v>105</c:v>
                </c:pt>
                <c:pt idx="115">
                  <c:v>105</c:v>
                </c:pt>
                <c:pt idx="116">
                  <c:v>105</c:v>
                </c:pt>
                <c:pt idx="117">
                  <c:v>105</c:v>
                </c:pt>
                <c:pt idx="118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BF-4F7C-8BA0-2E37ACC440CB}"/>
            </c:ext>
          </c:extLst>
        </c:ser>
        <c:ser>
          <c:idx val="3"/>
          <c:order val="3"/>
          <c:tx>
            <c:strRef>
              <c:f>'[1]Curva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'[1]Curva S'!$A$2:$A$120</c:f>
              <c:numCache>
                <c:formatCode>General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'[1]Curva S'!$E$2:$E$120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5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15</c:v>
                </c:pt>
                <c:pt idx="89">
                  <c:v>15</c:v>
                </c:pt>
                <c:pt idx="90">
                  <c:v>16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30</c:v>
                </c:pt>
                <c:pt idx="96">
                  <c:v>39</c:v>
                </c:pt>
                <c:pt idx="97">
                  <c:v>40</c:v>
                </c:pt>
                <c:pt idx="98">
                  <c:v>44</c:v>
                </c:pt>
                <c:pt idx="99">
                  <c:v>44</c:v>
                </c:pt>
                <c:pt idx="100">
                  <c:v>44</c:v>
                </c:pt>
                <c:pt idx="101">
                  <c:v>48</c:v>
                </c:pt>
                <c:pt idx="102">
                  <c:v>48</c:v>
                </c:pt>
                <c:pt idx="103">
                  <c:v>54</c:v>
                </c:pt>
                <c:pt idx="104">
                  <c:v>55</c:v>
                </c:pt>
                <c:pt idx="105">
                  <c:v>61</c:v>
                </c:pt>
                <c:pt idx="106">
                  <c:v>61</c:v>
                </c:pt>
                <c:pt idx="107">
                  <c:v>61</c:v>
                </c:pt>
                <c:pt idx="108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BF-4F7C-8BA0-2E37ACC44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catAx>
        <c:axId val="17374325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Algn val="ctr"/>
        <c:lblOffset val="100"/>
        <c:noMultiLvlLbl val="1"/>
      </c:cat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catAx>
        <c:axId val="17374397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37437807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06/07/2026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'[1]Curva S'!$A$2:$A$120</c:f>
              <c:numCache>
                <c:formatCode>General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'[1]Curva S'!$B$2:$B$120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2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7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8</c:v>
                </c:pt>
                <c:pt idx="82">
                  <c:v>0</c:v>
                </c:pt>
                <c:pt idx="83">
                  <c:v>1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6</c:v>
                </c:pt>
                <c:pt idx="89">
                  <c:v>0</c:v>
                </c:pt>
                <c:pt idx="90">
                  <c:v>0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6</c:v>
                </c:pt>
                <c:pt idx="96">
                  <c:v>0</c:v>
                </c:pt>
                <c:pt idx="97">
                  <c:v>2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3</c:v>
                </c:pt>
                <c:pt idx="102">
                  <c:v>3</c:v>
                </c:pt>
                <c:pt idx="103">
                  <c:v>22</c:v>
                </c:pt>
                <c:pt idx="104">
                  <c:v>22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3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9-418F-B91B-C03BDB87A9B1}"/>
            </c:ext>
          </c:extLst>
        </c:ser>
        <c:ser>
          <c:idx val="2"/>
          <c:order val="2"/>
          <c:tx>
            <c:strRef>
              <c:f>'[1]Curva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'[1]Curva S'!$A$2:$A$120</c:f>
              <c:numCache>
                <c:formatCode>General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'[1]Curva S'!$D$2:$D$120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</c:v>
                </c:pt>
                <c:pt idx="89">
                  <c:v>0</c:v>
                </c:pt>
                <c:pt idx="90">
                  <c:v>1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11</c:v>
                </c:pt>
                <c:pt idx="96">
                  <c:v>9</c:v>
                </c:pt>
                <c:pt idx="97">
                  <c:v>1</c:v>
                </c:pt>
                <c:pt idx="98">
                  <c:v>4</c:v>
                </c:pt>
                <c:pt idx="99">
                  <c:v>0</c:v>
                </c:pt>
                <c:pt idx="100">
                  <c:v>0</c:v>
                </c:pt>
                <c:pt idx="101">
                  <c:v>4</c:v>
                </c:pt>
                <c:pt idx="102">
                  <c:v>0</c:v>
                </c:pt>
                <c:pt idx="103">
                  <c:v>6</c:v>
                </c:pt>
                <c:pt idx="104">
                  <c:v>1</c:v>
                </c:pt>
                <c:pt idx="105">
                  <c:v>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C9-418F-B91B-C03BDB87A9B1}"/>
            </c:ext>
          </c:extLst>
        </c:ser>
        <c:ser>
          <c:idx val="4"/>
          <c:order val="4"/>
          <c:tx>
            <c:strRef>
              <c:f>'[1]Curva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'[1]Curva S'!$A$2:$A$120</c:f>
              <c:numCache>
                <c:formatCode>General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'[1]Curva S'!$F$2:$F$120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2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7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6</c:v>
                </c:pt>
                <c:pt idx="95">
                  <c:v>0</c:v>
                </c:pt>
                <c:pt idx="96">
                  <c:v>0</c:v>
                </c:pt>
                <c:pt idx="97">
                  <c:v>2</c:v>
                </c:pt>
                <c:pt idx="98">
                  <c:v>7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</c:v>
                </c:pt>
                <c:pt idx="104">
                  <c:v>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3</c:v>
                </c:pt>
                <c:pt idx="109">
                  <c:v>22</c:v>
                </c:pt>
                <c:pt idx="110">
                  <c:v>22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C9-418F-B91B-C03BDB87A9B1}"/>
            </c:ext>
          </c:extLst>
        </c:ser>
        <c:ser>
          <c:idx val="5"/>
          <c:order val="5"/>
          <c:tx>
            <c:strRef>
              <c:f>'[1]Curva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'[1]Curva S'!$A$2:$A$120</c:f>
              <c:numCache>
                <c:formatCode>General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'[1]Curva S'!$G$2:$G$120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C9-418F-B91B-C03BDB87A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'[1]Curva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'[1]Curva S'!$A$2:$A$120</c:f>
              <c:numCache>
                <c:formatCode>General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'[1]Curva S'!$C$2:$C$120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10</c:v>
                </c:pt>
                <c:pt idx="67">
                  <c:v>12</c:v>
                </c:pt>
                <c:pt idx="68">
                  <c:v>13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23</c:v>
                </c:pt>
                <c:pt idx="77">
                  <c:v>23</c:v>
                </c:pt>
                <c:pt idx="78">
                  <c:v>23</c:v>
                </c:pt>
                <c:pt idx="79">
                  <c:v>23</c:v>
                </c:pt>
                <c:pt idx="80">
                  <c:v>23</c:v>
                </c:pt>
                <c:pt idx="81">
                  <c:v>31</c:v>
                </c:pt>
                <c:pt idx="82">
                  <c:v>31</c:v>
                </c:pt>
                <c:pt idx="83">
                  <c:v>32</c:v>
                </c:pt>
                <c:pt idx="84">
                  <c:v>34</c:v>
                </c:pt>
                <c:pt idx="85">
                  <c:v>34</c:v>
                </c:pt>
                <c:pt idx="86">
                  <c:v>34</c:v>
                </c:pt>
                <c:pt idx="87">
                  <c:v>34</c:v>
                </c:pt>
                <c:pt idx="88">
                  <c:v>40</c:v>
                </c:pt>
                <c:pt idx="89">
                  <c:v>40</c:v>
                </c:pt>
                <c:pt idx="90">
                  <c:v>40</c:v>
                </c:pt>
                <c:pt idx="91">
                  <c:v>42</c:v>
                </c:pt>
                <c:pt idx="92">
                  <c:v>42</c:v>
                </c:pt>
                <c:pt idx="93">
                  <c:v>42</c:v>
                </c:pt>
                <c:pt idx="94">
                  <c:v>43</c:v>
                </c:pt>
                <c:pt idx="95">
                  <c:v>49</c:v>
                </c:pt>
                <c:pt idx="96">
                  <c:v>49</c:v>
                </c:pt>
                <c:pt idx="97">
                  <c:v>51</c:v>
                </c:pt>
                <c:pt idx="98">
                  <c:v>51</c:v>
                </c:pt>
                <c:pt idx="99">
                  <c:v>51</c:v>
                </c:pt>
                <c:pt idx="100">
                  <c:v>51</c:v>
                </c:pt>
                <c:pt idx="101">
                  <c:v>54</c:v>
                </c:pt>
                <c:pt idx="102">
                  <c:v>57</c:v>
                </c:pt>
                <c:pt idx="103">
                  <c:v>79</c:v>
                </c:pt>
                <c:pt idx="104">
                  <c:v>101</c:v>
                </c:pt>
                <c:pt idx="105">
                  <c:v>102</c:v>
                </c:pt>
                <c:pt idx="106">
                  <c:v>102</c:v>
                </c:pt>
                <c:pt idx="107">
                  <c:v>102</c:v>
                </c:pt>
                <c:pt idx="108">
                  <c:v>102</c:v>
                </c:pt>
                <c:pt idx="109">
                  <c:v>102</c:v>
                </c:pt>
                <c:pt idx="110">
                  <c:v>105</c:v>
                </c:pt>
                <c:pt idx="111">
                  <c:v>105</c:v>
                </c:pt>
                <c:pt idx="112">
                  <c:v>105</c:v>
                </c:pt>
                <c:pt idx="113">
                  <c:v>105</c:v>
                </c:pt>
                <c:pt idx="114">
                  <c:v>105</c:v>
                </c:pt>
                <c:pt idx="115">
                  <c:v>105</c:v>
                </c:pt>
                <c:pt idx="116">
                  <c:v>105</c:v>
                </c:pt>
                <c:pt idx="117">
                  <c:v>105</c:v>
                </c:pt>
                <c:pt idx="118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6C9-418F-B91B-C03BDB87A9B1}"/>
            </c:ext>
          </c:extLst>
        </c:ser>
        <c:ser>
          <c:idx val="3"/>
          <c:order val="3"/>
          <c:tx>
            <c:strRef>
              <c:f>'[1]Curva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'[1]Curva S'!$A$2:$A$120</c:f>
              <c:numCache>
                <c:formatCode>General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'[1]Curva S'!$E$2:$E$120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5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15</c:v>
                </c:pt>
                <c:pt idx="89">
                  <c:v>15</c:v>
                </c:pt>
                <c:pt idx="90">
                  <c:v>16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30</c:v>
                </c:pt>
                <c:pt idx="96">
                  <c:v>39</c:v>
                </c:pt>
                <c:pt idx="97">
                  <c:v>40</c:v>
                </c:pt>
                <c:pt idx="98">
                  <c:v>44</c:v>
                </c:pt>
                <c:pt idx="99">
                  <c:v>44</c:v>
                </c:pt>
                <c:pt idx="100">
                  <c:v>44</c:v>
                </c:pt>
                <c:pt idx="101">
                  <c:v>48</c:v>
                </c:pt>
                <c:pt idx="102">
                  <c:v>48</c:v>
                </c:pt>
                <c:pt idx="103">
                  <c:v>54</c:v>
                </c:pt>
                <c:pt idx="104">
                  <c:v>55</c:v>
                </c:pt>
                <c:pt idx="105">
                  <c:v>61</c:v>
                </c:pt>
                <c:pt idx="106">
                  <c:v>61</c:v>
                </c:pt>
                <c:pt idx="107">
                  <c:v>61</c:v>
                </c:pt>
                <c:pt idx="108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6C9-418F-B91B-C03BDB87A9B1}"/>
            </c:ext>
          </c:extLst>
        </c:ser>
        <c:ser>
          <c:idx val="6"/>
          <c:order val="6"/>
          <c:tx>
            <c:strRef>
              <c:f>'[1]Curva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'[1]Curva S'!$A$2:$A$120</c:f>
              <c:numCache>
                <c:formatCode>General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'[1]Curva S'!$H$2:$H$120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4</c:v>
                </c:pt>
                <c:pt idx="68">
                  <c:v>8</c:v>
                </c:pt>
                <c:pt idx="69">
                  <c:v>8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10</c:v>
                </c:pt>
                <c:pt idx="74">
                  <c:v>11</c:v>
                </c:pt>
                <c:pt idx="75">
                  <c:v>13</c:v>
                </c:pt>
                <c:pt idx="76">
                  <c:v>13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22</c:v>
                </c:pt>
                <c:pt idx="86">
                  <c:v>22</c:v>
                </c:pt>
                <c:pt idx="87">
                  <c:v>30</c:v>
                </c:pt>
                <c:pt idx="88">
                  <c:v>31</c:v>
                </c:pt>
                <c:pt idx="89">
                  <c:v>32</c:v>
                </c:pt>
                <c:pt idx="90">
                  <c:v>34</c:v>
                </c:pt>
                <c:pt idx="91">
                  <c:v>34</c:v>
                </c:pt>
                <c:pt idx="92">
                  <c:v>34</c:v>
                </c:pt>
                <c:pt idx="93">
                  <c:v>34</c:v>
                </c:pt>
                <c:pt idx="94">
                  <c:v>40</c:v>
                </c:pt>
                <c:pt idx="95">
                  <c:v>40</c:v>
                </c:pt>
                <c:pt idx="96">
                  <c:v>40</c:v>
                </c:pt>
                <c:pt idx="97">
                  <c:v>42</c:v>
                </c:pt>
                <c:pt idx="98">
                  <c:v>49</c:v>
                </c:pt>
                <c:pt idx="99">
                  <c:v>49</c:v>
                </c:pt>
                <c:pt idx="100">
                  <c:v>49</c:v>
                </c:pt>
                <c:pt idx="101">
                  <c:v>49</c:v>
                </c:pt>
                <c:pt idx="102">
                  <c:v>49</c:v>
                </c:pt>
                <c:pt idx="103">
                  <c:v>51</c:v>
                </c:pt>
                <c:pt idx="104">
                  <c:v>54</c:v>
                </c:pt>
                <c:pt idx="105">
                  <c:v>54</c:v>
                </c:pt>
                <c:pt idx="106">
                  <c:v>54</c:v>
                </c:pt>
                <c:pt idx="107">
                  <c:v>54</c:v>
                </c:pt>
                <c:pt idx="108">
                  <c:v>57</c:v>
                </c:pt>
                <c:pt idx="109">
                  <c:v>79</c:v>
                </c:pt>
                <c:pt idx="110">
                  <c:v>101</c:v>
                </c:pt>
                <c:pt idx="111">
                  <c:v>101</c:v>
                </c:pt>
                <c:pt idx="112">
                  <c:v>101</c:v>
                </c:pt>
                <c:pt idx="113">
                  <c:v>101</c:v>
                </c:pt>
                <c:pt idx="114">
                  <c:v>101</c:v>
                </c:pt>
                <c:pt idx="115">
                  <c:v>102</c:v>
                </c:pt>
                <c:pt idx="116">
                  <c:v>102</c:v>
                </c:pt>
                <c:pt idx="117">
                  <c:v>102</c:v>
                </c:pt>
                <c:pt idx="118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6C9-418F-B91B-C03BDB87A9B1}"/>
            </c:ext>
          </c:extLst>
        </c:ser>
        <c:ser>
          <c:idx val="7"/>
          <c:order val="7"/>
          <c:tx>
            <c:strRef>
              <c:f>'[1]Curva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'[1]Curva S'!$A$2:$A$120</c:f>
              <c:numCache>
                <c:formatCode>General</c:formatCode>
                <c:ptCount val="11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</c:numCache>
            </c:numRef>
          </c:cat>
          <c:val>
            <c:numRef>
              <c:f>'[1]Curva S'!$I$2:$I$120</c:f>
              <c:numCache>
                <c:formatCode>General</c:formatCode>
                <c:ptCount val="1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6C9-418F-B91B-C03BDB87A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catAx>
        <c:axId val="17373864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Algn val="ctr"/>
        <c:lblOffset val="100"/>
        <c:noMultiLvlLbl val="1"/>
      </c:cat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catAx>
        <c:axId val="17374114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37410447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31696</xdr:colOff>
      <xdr:row>2</xdr:row>
      <xdr:rowOff>0</xdr:rowOff>
    </xdr:from>
    <xdr:ext cx="10800000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CA49504B-27ED-435F-A3ED-AE44DD2C7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54429</xdr:rowOff>
    </xdr:from>
    <xdr:ext cx="1080000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5D55D58-419E-4505-B8A4-A8A844657B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33</xdr:col>
      <xdr:colOff>436800</xdr:colOff>
      <xdr:row>29</xdr:row>
      <xdr:rowOff>66000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E2D349D-733E-4ACF-BB83-A167392DFB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19050</xdr:colOff>
      <xdr:row>32</xdr:row>
      <xdr:rowOff>180975</xdr:rowOff>
    </xdr:from>
    <xdr:to>
      <xdr:col>33</xdr:col>
      <xdr:colOff>455850</xdr:colOff>
      <xdr:row>61</xdr:row>
      <xdr:rowOff>56475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5A87DB4-0364-4748-B22A-DBB3A656D2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F0009_305/Comparativo%20Cronograma%2006-07-2026_R1.xlsx" TargetMode="External"/><Relationship Id="rId2" Type="http://schemas.openxmlformats.org/officeDocument/2006/relationships/externalLinkPath" Target="https://bureauveritas.sharepoint.com/teams/POP-Planejamento/Shared%20Documents/Automacoes/Comparativo_Cronograma/saida/F0009_305/Comparativo%20Cronograma%2006-07-2026_R1.xlsx" TargetMode="External"/><Relationship Id="rId1" Type="http://schemas.openxmlformats.org/officeDocument/2006/relationships/externalLinkPath" Target="/teams/POP-Planejamento/Shared%20Documents/Automacoes/Comparativo_Cronograma/saida/F0009_305/Comparativo%20Cronograma%2006-07-2026_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se"/>
      <sheetName val="Resumo"/>
      <sheetName val="Curva S"/>
      <sheetName val="Concluídas"/>
      <sheetName val="Atrasadas"/>
      <sheetName val="Sprint Atual"/>
      <sheetName val="Próximo Sprint"/>
    </sheetNames>
    <sheetDataSet>
      <sheetData sheetId="0"/>
      <sheetData sheetId="1"/>
      <sheetData sheetId="2">
        <row r="1">
          <cell r="B1" t="str">
            <v>Emissão prevista na LB</v>
          </cell>
          <cell r="C1" t="str">
            <v>Emissão prevista na LB acumulada</v>
          </cell>
          <cell r="D1" t="str">
            <v>Emissão realizada por dia</v>
          </cell>
          <cell r="E1" t="str">
            <v>Emissão realizada acumulada</v>
          </cell>
          <cell r="F1" t="str">
            <v>Aprovação prevista na LB</v>
          </cell>
          <cell r="G1" t="str">
            <v>Aprovação realizada por dia</v>
          </cell>
          <cell r="H1" t="str">
            <v>Aprovação prevista na LB acumulada</v>
          </cell>
          <cell r="I1" t="str">
            <v>Aprovação realizada acumulada</v>
          </cell>
        </row>
        <row r="2">
          <cell r="A2">
            <v>46101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</row>
        <row r="3">
          <cell r="A3">
            <v>46102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</row>
        <row r="4">
          <cell r="A4">
            <v>46103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</row>
        <row r="5">
          <cell r="A5">
            <v>46104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A6">
            <v>46105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</row>
        <row r="7">
          <cell r="A7">
            <v>46106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A8">
            <v>46107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A9">
            <v>46108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A10">
            <v>46109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A11">
            <v>46110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A12">
            <v>46111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>
            <v>46112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</row>
        <row r="14">
          <cell r="A14">
            <v>46113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A15">
            <v>46114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>
            <v>46115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>
            <v>46116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A18">
            <v>46117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A19">
            <v>46118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A20">
            <v>46119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A21">
            <v>46120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A22">
            <v>46121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>
            <v>46122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A24">
            <v>46123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A25">
            <v>46124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>
            <v>46125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>
            <v>46126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A28">
            <v>46127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>
            <v>46128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A30">
            <v>46129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A31">
            <v>46130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A32">
            <v>46131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A33">
            <v>46132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A34">
            <v>46133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A35">
            <v>46134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A36">
            <v>46135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</row>
        <row r="37">
          <cell r="A37">
            <v>46136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A38">
            <v>46137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A39">
            <v>46138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A40">
            <v>46139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>
            <v>46140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A42">
            <v>46141</v>
          </cell>
          <cell r="B42">
            <v>2</v>
          </cell>
          <cell r="C42">
            <v>2</v>
          </cell>
          <cell r="D42">
            <v>2</v>
          </cell>
          <cell r="E42">
            <v>2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A43">
            <v>46142</v>
          </cell>
          <cell r="B43">
            <v>0</v>
          </cell>
          <cell r="C43">
            <v>2</v>
          </cell>
          <cell r="D43">
            <v>0</v>
          </cell>
          <cell r="E43">
            <v>2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A44">
            <v>46143</v>
          </cell>
          <cell r="B44">
            <v>0</v>
          </cell>
          <cell r="C44">
            <v>2</v>
          </cell>
          <cell r="D44">
            <v>0</v>
          </cell>
          <cell r="E44">
            <v>2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A45">
            <v>46144</v>
          </cell>
          <cell r="B45">
            <v>0</v>
          </cell>
          <cell r="C45">
            <v>2</v>
          </cell>
          <cell r="D45">
            <v>0</v>
          </cell>
          <cell r="E45">
            <v>2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A46">
            <v>46145</v>
          </cell>
          <cell r="B46">
            <v>0</v>
          </cell>
          <cell r="C46">
            <v>2</v>
          </cell>
          <cell r="D46">
            <v>0</v>
          </cell>
          <cell r="E46">
            <v>2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A47">
            <v>46146</v>
          </cell>
          <cell r="B47">
            <v>1</v>
          </cell>
          <cell r="C47">
            <v>3</v>
          </cell>
          <cell r="D47">
            <v>1</v>
          </cell>
          <cell r="E47">
            <v>3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A48">
            <v>46147</v>
          </cell>
          <cell r="B48">
            <v>0</v>
          </cell>
          <cell r="C48">
            <v>3</v>
          </cell>
          <cell r="D48">
            <v>0</v>
          </cell>
          <cell r="E48">
            <v>3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A49">
            <v>46148</v>
          </cell>
          <cell r="B49">
            <v>0</v>
          </cell>
          <cell r="C49">
            <v>3</v>
          </cell>
          <cell r="D49">
            <v>0</v>
          </cell>
          <cell r="E49">
            <v>3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A50">
            <v>46149</v>
          </cell>
          <cell r="B50">
            <v>0</v>
          </cell>
          <cell r="C50">
            <v>3</v>
          </cell>
          <cell r="D50">
            <v>0</v>
          </cell>
          <cell r="E50">
            <v>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A51">
            <v>46150</v>
          </cell>
          <cell r="B51">
            <v>0</v>
          </cell>
          <cell r="C51">
            <v>3</v>
          </cell>
          <cell r="D51">
            <v>0</v>
          </cell>
          <cell r="E51">
            <v>3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A52">
            <v>46151</v>
          </cell>
          <cell r="B52">
            <v>0</v>
          </cell>
          <cell r="C52">
            <v>3</v>
          </cell>
          <cell r="D52">
            <v>0</v>
          </cell>
          <cell r="E52">
            <v>3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A53">
            <v>46152</v>
          </cell>
          <cell r="B53">
            <v>0</v>
          </cell>
          <cell r="C53">
            <v>3</v>
          </cell>
          <cell r="D53">
            <v>0</v>
          </cell>
          <cell r="E53">
            <v>3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A54">
            <v>46153</v>
          </cell>
          <cell r="B54">
            <v>0</v>
          </cell>
          <cell r="C54">
            <v>3</v>
          </cell>
          <cell r="D54">
            <v>0</v>
          </cell>
          <cell r="E54">
            <v>3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A55">
            <v>46154</v>
          </cell>
          <cell r="B55">
            <v>0</v>
          </cell>
          <cell r="C55">
            <v>3</v>
          </cell>
          <cell r="D55">
            <v>0</v>
          </cell>
          <cell r="E55">
            <v>3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A56">
            <v>46155</v>
          </cell>
          <cell r="B56">
            <v>0</v>
          </cell>
          <cell r="C56">
            <v>3</v>
          </cell>
          <cell r="D56">
            <v>0</v>
          </cell>
          <cell r="E56">
            <v>3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</row>
        <row r="57">
          <cell r="A57">
            <v>46156</v>
          </cell>
          <cell r="B57">
            <v>0</v>
          </cell>
          <cell r="C57">
            <v>3</v>
          </cell>
          <cell r="D57">
            <v>0</v>
          </cell>
          <cell r="E57">
            <v>3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</row>
        <row r="58">
          <cell r="A58">
            <v>46157</v>
          </cell>
          <cell r="B58">
            <v>0</v>
          </cell>
          <cell r="C58">
            <v>3</v>
          </cell>
          <cell r="D58">
            <v>0</v>
          </cell>
          <cell r="E58">
            <v>3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A59">
            <v>46158</v>
          </cell>
          <cell r="B59">
            <v>0</v>
          </cell>
          <cell r="C59">
            <v>3</v>
          </cell>
          <cell r="D59">
            <v>0</v>
          </cell>
          <cell r="E59">
            <v>3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</row>
        <row r="60">
          <cell r="A60">
            <v>46159</v>
          </cell>
          <cell r="B60">
            <v>0</v>
          </cell>
          <cell r="C60">
            <v>3</v>
          </cell>
          <cell r="D60">
            <v>0</v>
          </cell>
          <cell r="E60">
            <v>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A61">
            <v>46160</v>
          </cell>
          <cell r="B61">
            <v>0</v>
          </cell>
          <cell r="C61">
            <v>3</v>
          </cell>
          <cell r="D61">
            <v>0</v>
          </cell>
          <cell r="E61">
            <v>3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A62">
            <v>46161</v>
          </cell>
          <cell r="B62">
            <v>1</v>
          </cell>
          <cell r="C62">
            <v>4</v>
          </cell>
          <cell r="D62">
            <v>0</v>
          </cell>
          <cell r="E62">
            <v>3</v>
          </cell>
          <cell r="F62">
            <v>2</v>
          </cell>
          <cell r="G62">
            <v>0</v>
          </cell>
          <cell r="H62">
            <v>2</v>
          </cell>
          <cell r="I62">
            <v>0</v>
          </cell>
        </row>
        <row r="63">
          <cell r="A63">
            <v>46162</v>
          </cell>
          <cell r="B63">
            <v>1</v>
          </cell>
          <cell r="C63">
            <v>5</v>
          </cell>
          <cell r="D63">
            <v>0</v>
          </cell>
          <cell r="E63">
            <v>3</v>
          </cell>
          <cell r="F63">
            <v>0</v>
          </cell>
          <cell r="G63">
            <v>0</v>
          </cell>
          <cell r="H63">
            <v>2</v>
          </cell>
          <cell r="I63">
            <v>0</v>
          </cell>
        </row>
        <row r="64">
          <cell r="A64">
            <v>46163</v>
          </cell>
          <cell r="B64">
            <v>4</v>
          </cell>
          <cell r="C64">
            <v>9</v>
          </cell>
          <cell r="D64">
            <v>0</v>
          </cell>
          <cell r="E64">
            <v>3</v>
          </cell>
          <cell r="F64">
            <v>0</v>
          </cell>
          <cell r="G64">
            <v>0</v>
          </cell>
          <cell r="H64">
            <v>2</v>
          </cell>
          <cell r="I64">
            <v>0</v>
          </cell>
        </row>
        <row r="65">
          <cell r="A65">
            <v>46164</v>
          </cell>
          <cell r="B65">
            <v>0</v>
          </cell>
          <cell r="C65">
            <v>9</v>
          </cell>
          <cell r="D65">
            <v>0</v>
          </cell>
          <cell r="E65">
            <v>3</v>
          </cell>
          <cell r="F65">
            <v>0</v>
          </cell>
          <cell r="G65">
            <v>0</v>
          </cell>
          <cell r="H65">
            <v>2</v>
          </cell>
          <cell r="I65">
            <v>0</v>
          </cell>
        </row>
        <row r="66">
          <cell r="A66">
            <v>46165</v>
          </cell>
          <cell r="B66">
            <v>0</v>
          </cell>
          <cell r="C66">
            <v>9</v>
          </cell>
          <cell r="D66">
            <v>0</v>
          </cell>
          <cell r="E66">
            <v>3</v>
          </cell>
          <cell r="F66">
            <v>0</v>
          </cell>
          <cell r="G66">
            <v>0</v>
          </cell>
          <cell r="H66">
            <v>2</v>
          </cell>
          <cell r="I66">
            <v>0</v>
          </cell>
        </row>
        <row r="67">
          <cell r="A67">
            <v>46166</v>
          </cell>
          <cell r="B67">
            <v>0</v>
          </cell>
          <cell r="C67">
            <v>9</v>
          </cell>
          <cell r="D67">
            <v>0</v>
          </cell>
          <cell r="E67">
            <v>3</v>
          </cell>
          <cell r="F67">
            <v>0</v>
          </cell>
          <cell r="G67">
            <v>0</v>
          </cell>
          <cell r="H67">
            <v>2</v>
          </cell>
          <cell r="I67">
            <v>0</v>
          </cell>
        </row>
        <row r="68">
          <cell r="A68">
            <v>46167</v>
          </cell>
          <cell r="B68">
            <v>1</v>
          </cell>
          <cell r="C68">
            <v>10</v>
          </cell>
          <cell r="D68">
            <v>0</v>
          </cell>
          <cell r="E68">
            <v>3</v>
          </cell>
          <cell r="F68">
            <v>1</v>
          </cell>
          <cell r="G68">
            <v>0</v>
          </cell>
          <cell r="H68">
            <v>3</v>
          </cell>
          <cell r="I68">
            <v>0</v>
          </cell>
        </row>
        <row r="69">
          <cell r="A69">
            <v>46168</v>
          </cell>
          <cell r="B69">
            <v>2</v>
          </cell>
          <cell r="C69">
            <v>12</v>
          </cell>
          <cell r="D69">
            <v>1</v>
          </cell>
          <cell r="E69">
            <v>4</v>
          </cell>
          <cell r="F69">
            <v>1</v>
          </cell>
          <cell r="G69">
            <v>0</v>
          </cell>
          <cell r="H69">
            <v>4</v>
          </cell>
          <cell r="I69">
            <v>0</v>
          </cell>
        </row>
        <row r="70">
          <cell r="A70">
            <v>46169</v>
          </cell>
          <cell r="B70">
            <v>1</v>
          </cell>
          <cell r="C70">
            <v>13</v>
          </cell>
          <cell r="D70">
            <v>1</v>
          </cell>
          <cell r="E70">
            <v>5</v>
          </cell>
          <cell r="F70">
            <v>4</v>
          </cell>
          <cell r="G70">
            <v>0</v>
          </cell>
          <cell r="H70">
            <v>8</v>
          </cell>
          <cell r="I70">
            <v>0</v>
          </cell>
        </row>
        <row r="71">
          <cell r="A71">
            <v>46170</v>
          </cell>
          <cell r="B71">
            <v>1</v>
          </cell>
          <cell r="C71">
            <v>14</v>
          </cell>
          <cell r="D71">
            <v>0</v>
          </cell>
          <cell r="E71">
            <v>5</v>
          </cell>
          <cell r="F71">
            <v>0</v>
          </cell>
          <cell r="G71">
            <v>1</v>
          </cell>
          <cell r="H71">
            <v>8</v>
          </cell>
          <cell r="I71">
            <v>1</v>
          </cell>
        </row>
        <row r="72">
          <cell r="A72">
            <v>46171</v>
          </cell>
          <cell r="B72">
            <v>0</v>
          </cell>
          <cell r="C72">
            <v>14</v>
          </cell>
          <cell r="D72">
            <v>1</v>
          </cell>
          <cell r="E72">
            <v>6</v>
          </cell>
          <cell r="F72">
            <v>1</v>
          </cell>
          <cell r="G72">
            <v>0</v>
          </cell>
          <cell r="H72">
            <v>9</v>
          </cell>
          <cell r="I72">
            <v>1</v>
          </cell>
        </row>
        <row r="73">
          <cell r="A73">
            <v>46172</v>
          </cell>
          <cell r="B73">
            <v>0</v>
          </cell>
          <cell r="C73">
            <v>14</v>
          </cell>
          <cell r="D73">
            <v>0</v>
          </cell>
          <cell r="E73">
            <v>6</v>
          </cell>
          <cell r="F73">
            <v>0</v>
          </cell>
          <cell r="G73">
            <v>0</v>
          </cell>
          <cell r="H73">
            <v>9</v>
          </cell>
          <cell r="I73">
            <v>1</v>
          </cell>
        </row>
        <row r="74">
          <cell r="A74">
            <v>46173</v>
          </cell>
          <cell r="B74">
            <v>0</v>
          </cell>
          <cell r="C74">
            <v>14</v>
          </cell>
          <cell r="D74">
            <v>0</v>
          </cell>
          <cell r="E74">
            <v>6</v>
          </cell>
          <cell r="F74">
            <v>0</v>
          </cell>
          <cell r="G74">
            <v>0</v>
          </cell>
          <cell r="H74">
            <v>9</v>
          </cell>
          <cell r="I74">
            <v>1</v>
          </cell>
        </row>
        <row r="75">
          <cell r="A75">
            <v>46174</v>
          </cell>
          <cell r="B75">
            <v>2</v>
          </cell>
          <cell r="C75">
            <v>16</v>
          </cell>
          <cell r="D75">
            <v>0</v>
          </cell>
          <cell r="E75">
            <v>6</v>
          </cell>
          <cell r="F75">
            <v>1</v>
          </cell>
          <cell r="G75">
            <v>1</v>
          </cell>
          <cell r="H75">
            <v>10</v>
          </cell>
          <cell r="I75">
            <v>2</v>
          </cell>
        </row>
        <row r="76">
          <cell r="A76">
            <v>46175</v>
          </cell>
          <cell r="B76">
            <v>0</v>
          </cell>
          <cell r="C76">
            <v>16</v>
          </cell>
          <cell r="D76">
            <v>0</v>
          </cell>
          <cell r="E76">
            <v>6</v>
          </cell>
          <cell r="F76">
            <v>1</v>
          </cell>
          <cell r="G76">
            <v>1</v>
          </cell>
          <cell r="H76">
            <v>11</v>
          </cell>
          <cell r="I76">
            <v>3</v>
          </cell>
        </row>
        <row r="77">
          <cell r="A77">
            <v>46176</v>
          </cell>
          <cell r="B77">
            <v>0</v>
          </cell>
          <cell r="C77">
            <v>16</v>
          </cell>
          <cell r="D77">
            <v>1</v>
          </cell>
          <cell r="E77">
            <v>7</v>
          </cell>
          <cell r="F77">
            <v>2</v>
          </cell>
          <cell r="G77">
            <v>0</v>
          </cell>
          <cell r="H77">
            <v>13</v>
          </cell>
          <cell r="I77">
            <v>3</v>
          </cell>
        </row>
        <row r="78">
          <cell r="A78">
            <v>46177</v>
          </cell>
          <cell r="B78">
            <v>7</v>
          </cell>
          <cell r="C78">
            <v>23</v>
          </cell>
          <cell r="D78">
            <v>0</v>
          </cell>
          <cell r="E78">
            <v>7</v>
          </cell>
          <cell r="F78">
            <v>0</v>
          </cell>
          <cell r="G78">
            <v>0</v>
          </cell>
          <cell r="H78">
            <v>13</v>
          </cell>
          <cell r="I78">
            <v>3</v>
          </cell>
        </row>
        <row r="79">
          <cell r="A79">
            <v>46178</v>
          </cell>
          <cell r="B79">
            <v>0</v>
          </cell>
          <cell r="C79">
            <v>23</v>
          </cell>
          <cell r="D79">
            <v>0</v>
          </cell>
          <cell r="E79">
            <v>7</v>
          </cell>
          <cell r="F79">
            <v>2</v>
          </cell>
          <cell r="G79">
            <v>0</v>
          </cell>
          <cell r="H79">
            <v>15</v>
          </cell>
          <cell r="I79">
            <v>3</v>
          </cell>
        </row>
        <row r="80">
          <cell r="A80">
            <v>46179</v>
          </cell>
          <cell r="B80">
            <v>0</v>
          </cell>
          <cell r="C80">
            <v>23</v>
          </cell>
          <cell r="D80">
            <v>0</v>
          </cell>
          <cell r="E80">
            <v>7</v>
          </cell>
          <cell r="F80">
            <v>0</v>
          </cell>
          <cell r="G80">
            <v>0</v>
          </cell>
          <cell r="H80">
            <v>15</v>
          </cell>
          <cell r="I80">
            <v>3</v>
          </cell>
        </row>
        <row r="81">
          <cell r="A81">
            <v>46180</v>
          </cell>
          <cell r="B81">
            <v>0</v>
          </cell>
          <cell r="C81">
            <v>23</v>
          </cell>
          <cell r="D81">
            <v>0</v>
          </cell>
          <cell r="E81">
            <v>7</v>
          </cell>
          <cell r="F81">
            <v>0</v>
          </cell>
          <cell r="G81">
            <v>0</v>
          </cell>
          <cell r="H81">
            <v>15</v>
          </cell>
          <cell r="I81">
            <v>3</v>
          </cell>
        </row>
        <row r="82">
          <cell r="A82">
            <v>46181</v>
          </cell>
          <cell r="B82">
            <v>0</v>
          </cell>
          <cell r="C82">
            <v>23</v>
          </cell>
          <cell r="D82">
            <v>0</v>
          </cell>
          <cell r="E82">
            <v>7</v>
          </cell>
          <cell r="F82">
            <v>0</v>
          </cell>
          <cell r="G82">
            <v>0</v>
          </cell>
          <cell r="H82">
            <v>15</v>
          </cell>
          <cell r="I82">
            <v>3</v>
          </cell>
        </row>
        <row r="83">
          <cell r="A83">
            <v>46182</v>
          </cell>
          <cell r="B83">
            <v>8</v>
          </cell>
          <cell r="C83">
            <v>31</v>
          </cell>
          <cell r="D83">
            <v>0</v>
          </cell>
          <cell r="E83">
            <v>7</v>
          </cell>
          <cell r="F83">
            <v>0</v>
          </cell>
          <cell r="G83">
            <v>0</v>
          </cell>
          <cell r="H83">
            <v>15</v>
          </cell>
          <cell r="I83">
            <v>3</v>
          </cell>
        </row>
        <row r="84">
          <cell r="A84">
            <v>46183</v>
          </cell>
          <cell r="B84">
            <v>0</v>
          </cell>
          <cell r="C84">
            <v>31</v>
          </cell>
          <cell r="D84">
            <v>0</v>
          </cell>
          <cell r="E84">
            <v>7</v>
          </cell>
          <cell r="F84">
            <v>7</v>
          </cell>
          <cell r="G84">
            <v>0</v>
          </cell>
          <cell r="H84">
            <v>22</v>
          </cell>
          <cell r="I84">
            <v>3</v>
          </cell>
        </row>
        <row r="85">
          <cell r="A85">
            <v>46184</v>
          </cell>
          <cell r="B85">
            <v>1</v>
          </cell>
          <cell r="C85">
            <v>32</v>
          </cell>
          <cell r="D85">
            <v>0</v>
          </cell>
          <cell r="E85">
            <v>7</v>
          </cell>
          <cell r="F85">
            <v>0</v>
          </cell>
          <cell r="G85">
            <v>0</v>
          </cell>
          <cell r="H85">
            <v>22</v>
          </cell>
          <cell r="I85">
            <v>3</v>
          </cell>
        </row>
        <row r="86">
          <cell r="A86">
            <v>46185</v>
          </cell>
          <cell r="B86">
            <v>2</v>
          </cell>
          <cell r="C86">
            <v>34</v>
          </cell>
          <cell r="D86">
            <v>4</v>
          </cell>
          <cell r="E86">
            <v>11</v>
          </cell>
          <cell r="F86">
            <v>0</v>
          </cell>
          <cell r="G86">
            <v>0</v>
          </cell>
          <cell r="H86">
            <v>22</v>
          </cell>
          <cell r="I86">
            <v>3</v>
          </cell>
        </row>
        <row r="87">
          <cell r="A87">
            <v>46186</v>
          </cell>
          <cell r="B87">
            <v>0</v>
          </cell>
          <cell r="C87">
            <v>34</v>
          </cell>
          <cell r="D87">
            <v>0</v>
          </cell>
          <cell r="E87">
            <v>11</v>
          </cell>
          <cell r="F87">
            <v>0</v>
          </cell>
          <cell r="G87">
            <v>0</v>
          </cell>
          <cell r="H87">
            <v>22</v>
          </cell>
          <cell r="I87">
            <v>3</v>
          </cell>
        </row>
        <row r="88">
          <cell r="A88">
            <v>46187</v>
          </cell>
          <cell r="B88">
            <v>0</v>
          </cell>
          <cell r="C88">
            <v>34</v>
          </cell>
          <cell r="D88">
            <v>0</v>
          </cell>
          <cell r="E88">
            <v>11</v>
          </cell>
          <cell r="F88">
            <v>0</v>
          </cell>
          <cell r="G88">
            <v>0</v>
          </cell>
          <cell r="H88">
            <v>22</v>
          </cell>
          <cell r="I88">
            <v>3</v>
          </cell>
        </row>
        <row r="89">
          <cell r="A89">
            <v>46188</v>
          </cell>
          <cell r="B89">
            <v>0</v>
          </cell>
          <cell r="C89">
            <v>34</v>
          </cell>
          <cell r="D89">
            <v>0</v>
          </cell>
          <cell r="E89">
            <v>11</v>
          </cell>
          <cell r="F89">
            <v>8</v>
          </cell>
          <cell r="G89">
            <v>0</v>
          </cell>
          <cell r="H89">
            <v>30</v>
          </cell>
          <cell r="I89">
            <v>3</v>
          </cell>
        </row>
        <row r="90">
          <cell r="A90">
            <v>46189</v>
          </cell>
          <cell r="B90">
            <v>6</v>
          </cell>
          <cell r="C90">
            <v>40</v>
          </cell>
          <cell r="D90">
            <v>4</v>
          </cell>
          <cell r="E90">
            <v>15</v>
          </cell>
          <cell r="F90">
            <v>1</v>
          </cell>
          <cell r="G90">
            <v>0</v>
          </cell>
          <cell r="H90">
            <v>31</v>
          </cell>
          <cell r="I90">
            <v>3</v>
          </cell>
        </row>
        <row r="91">
          <cell r="A91">
            <v>46190</v>
          </cell>
          <cell r="B91">
            <v>0</v>
          </cell>
          <cell r="C91">
            <v>40</v>
          </cell>
          <cell r="D91">
            <v>0</v>
          </cell>
          <cell r="E91">
            <v>15</v>
          </cell>
          <cell r="F91">
            <v>1</v>
          </cell>
          <cell r="G91">
            <v>0</v>
          </cell>
          <cell r="H91">
            <v>32</v>
          </cell>
          <cell r="I91">
            <v>3</v>
          </cell>
        </row>
        <row r="92">
          <cell r="A92">
            <v>46191</v>
          </cell>
          <cell r="B92">
            <v>0</v>
          </cell>
          <cell r="C92">
            <v>40</v>
          </cell>
          <cell r="D92">
            <v>1</v>
          </cell>
          <cell r="E92">
            <v>16</v>
          </cell>
          <cell r="F92">
            <v>2</v>
          </cell>
          <cell r="G92">
            <v>0</v>
          </cell>
          <cell r="H92">
            <v>34</v>
          </cell>
          <cell r="I92">
            <v>3</v>
          </cell>
        </row>
        <row r="93">
          <cell r="A93">
            <v>46192</v>
          </cell>
          <cell r="B93">
            <v>2</v>
          </cell>
          <cell r="C93">
            <v>42</v>
          </cell>
          <cell r="D93">
            <v>3</v>
          </cell>
          <cell r="E93">
            <v>19</v>
          </cell>
          <cell r="F93">
            <v>0</v>
          </cell>
          <cell r="G93">
            <v>0</v>
          </cell>
          <cell r="H93">
            <v>34</v>
          </cell>
          <cell r="I93">
            <v>3</v>
          </cell>
        </row>
        <row r="94">
          <cell r="A94">
            <v>46193</v>
          </cell>
          <cell r="B94">
            <v>0</v>
          </cell>
          <cell r="C94">
            <v>42</v>
          </cell>
          <cell r="D94">
            <v>0</v>
          </cell>
          <cell r="E94">
            <v>19</v>
          </cell>
          <cell r="F94">
            <v>0</v>
          </cell>
          <cell r="G94">
            <v>0</v>
          </cell>
          <cell r="H94">
            <v>34</v>
          </cell>
          <cell r="I94">
            <v>3</v>
          </cell>
        </row>
        <row r="95">
          <cell r="A95">
            <v>46194</v>
          </cell>
          <cell r="B95">
            <v>0</v>
          </cell>
          <cell r="C95">
            <v>42</v>
          </cell>
          <cell r="D95">
            <v>0</v>
          </cell>
          <cell r="E95">
            <v>19</v>
          </cell>
          <cell r="F95">
            <v>0</v>
          </cell>
          <cell r="G95">
            <v>0</v>
          </cell>
          <cell r="H95">
            <v>34</v>
          </cell>
          <cell r="I95">
            <v>3</v>
          </cell>
        </row>
        <row r="96">
          <cell r="A96">
            <v>46195</v>
          </cell>
          <cell r="B96">
            <v>1</v>
          </cell>
          <cell r="C96">
            <v>43</v>
          </cell>
          <cell r="D96">
            <v>0</v>
          </cell>
          <cell r="E96">
            <v>19</v>
          </cell>
          <cell r="F96">
            <v>6</v>
          </cell>
          <cell r="G96">
            <v>0</v>
          </cell>
          <cell r="H96">
            <v>40</v>
          </cell>
          <cell r="I96">
            <v>3</v>
          </cell>
        </row>
        <row r="97">
          <cell r="A97">
            <v>46196</v>
          </cell>
          <cell r="B97">
            <v>6</v>
          </cell>
          <cell r="C97">
            <v>49</v>
          </cell>
          <cell r="D97">
            <v>11</v>
          </cell>
          <cell r="E97">
            <v>30</v>
          </cell>
          <cell r="F97">
            <v>0</v>
          </cell>
          <cell r="G97">
            <v>0</v>
          </cell>
          <cell r="H97">
            <v>40</v>
          </cell>
          <cell r="I97">
            <v>3</v>
          </cell>
        </row>
        <row r="98">
          <cell r="A98">
            <v>46197</v>
          </cell>
          <cell r="B98">
            <v>0</v>
          </cell>
          <cell r="C98">
            <v>49</v>
          </cell>
          <cell r="D98">
            <v>9</v>
          </cell>
          <cell r="E98">
            <v>39</v>
          </cell>
          <cell r="F98">
            <v>0</v>
          </cell>
          <cell r="G98">
            <v>0</v>
          </cell>
          <cell r="H98">
            <v>40</v>
          </cell>
          <cell r="I98">
            <v>3</v>
          </cell>
        </row>
        <row r="99">
          <cell r="A99">
            <v>46198</v>
          </cell>
          <cell r="B99">
            <v>2</v>
          </cell>
          <cell r="C99">
            <v>51</v>
          </cell>
          <cell r="D99">
            <v>1</v>
          </cell>
          <cell r="E99">
            <v>40</v>
          </cell>
          <cell r="F99">
            <v>2</v>
          </cell>
          <cell r="G99">
            <v>0</v>
          </cell>
          <cell r="H99">
            <v>42</v>
          </cell>
          <cell r="I99">
            <v>3</v>
          </cell>
        </row>
        <row r="100">
          <cell r="A100">
            <v>46199</v>
          </cell>
          <cell r="B100">
            <v>0</v>
          </cell>
          <cell r="C100">
            <v>51</v>
          </cell>
          <cell r="D100">
            <v>4</v>
          </cell>
          <cell r="E100">
            <v>44</v>
          </cell>
          <cell r="F100">
            <v>7</v>
          </cell>
          <cell r="G100">
            <v>0</v>
          </cell>
          <cell r="H100">
            <v>49</v>
          </cell>
          <cell r="I100">
            <v>3</v>
          </cell>
        </row>
        <row r="101">
          <cell r="A101">
            <v>46200</v>
          </cell>
          <cell r="B101">
            <v>0</v>
          </cell>
          <cell r="C101">
            <v>51</v>
          </cell>
          <cell r="D101">
            <v>0</v>
          </cell>
          <cell r="E101">
            <v>44</v>
          </cell>
          <cell r="F101">
            <v>0</v>
          </cell>
          <cell r="G101">
            <v>0</v>
          </cell>
          <cell r="H101">
            <v>49</v>
          </cell>
          <cell r="I101">
            <v>3</v>
          </cell>
        </row>
        <row r="102">
          <cell r="A102">
            <v>46201</v>
          </cell>
          <cell r="B102">
            <v>0</v>
          </cell>
          <cell r="C102">
            <v>51</v>
          </cell>
          <cell r="D102">
            <v>0</v>
          </cell>
          <cell r="E102">
            <v>44</v>
          </cell>
          <cell r="F102">
            <v>0</v>
          </cell>
          <cell r="G102">
            <v>0</v>
          </cell>
          <cell r="H102">
            <v>49</v>
          </cell>
          <cell r="I102">
            <v>3</v>
          </cell>
        </row>
        <row r="103">
          <cell r="A103">
            <v>46202</v>
          </cell>
          <cell r="B103">
            <v>3</v>
          </cell>
          <cell r="C103">
            <v>54</v>
          </cell>
          <cell r="D103">
            <v>4</v>
          </cell>
          <cell r="E103">
            <v>48</v>
          </cell>
          <cell r="F103">
            <v>0</v>
          </cell>
          <cell r="G103">
            <v>0</v>
          </cell>
          <cell r="H103">
            <v>49</v>
          </cell>
          <cell r="I103">
            <v>3</v>
          </cell>
        </row>
        <row r="104">
          <cell r="A104">
            <v>46203</v>
          </cell>
          <cell r="B104">
            <v>3</v>
          </cell>
          <cell r="C104">
            <v>57</v>
          </cell>
          <cell r="D104">
            <v>0</v>
          </cell>
          <cell r="E104">
            <v>48</v>
          </cell>
          <cell r="F104">
            <v>0</v>
          </cell>
          <cell r="G104">
            <v>0</v>
          </cell>
          <cell r="H104">
            <v>49</v>
          </cell>
          <cell r="I104">
            <v>3</v>
          </cell>
        </row>
        <row r="105">
          <cell r="A105">
            <v>46204</v>
          </cell>
          <cell r="B105">
            <v>22</v>
          </cell>
          <cell r="C105">
            <v>79</v>
          </cell>
          <cell r="D105">
            <v>6</v>
          </cell>
          <cell r="E105">
            <v>54</v>
          </cell>
          <cell r="F105">
            <v>2</v>
          </cell>
          <cell r="G105">
            <v>0</v>
          </cell>
          <cell r="H105">
            <v>51</v>
          </cell>
          <cell r="I105">
            <v>3</v>
          </cell>
        </row>
        <row r="106">
          <cell r="A106">
            <v>46205</v>
          </cell>
          <cell r="B106">
            <v>22</v>
          </cell>
          <cell r="C106">
            <v>101</v>
          </cell>
          <cell r="D106">
            <v>1</v>
          </cell>
          <cell r="E106">
            <v>55</v>
          </cell>
          <cell r="F106">
            <v>3</v>
          </cell>
          <cell r="G106">
            <v>0</v>
          </cell>
          <cell r="H106">
            <v>54</v>
          </cell>
          <cell r="I106">
            <v>3</v>
          </cell>
        </row>
        <row r="107">
          <cell r="A107">
            <v>46206</v>
          </cell>
          <cell r="B107">
            <v>1</v>
          </cell>
          <cell r="C107">
            <v>102</v>
          </cell>
          <cell r="D107">
            <v>6</v>
          </cell>
          <cell r="E107">
            <v>61</v>
          </cell>
          <cell r="F107">
            <v>0</v>
          </cell>
          <cell r="G107">
            <v>0</v>
          </cell>
          <cell r="H107">
            <v>54</v>
          </cell>
          <cell r="I107">
            <v>3</v>
          </cell>
        </row>
        <row r="108">
          <cell r="A108">
            <v>46207</v>
          </cell>
          <cell r="B108">
            <v>0</v>
          </cell>
          <cell r="C108">
            <v>102</v>
          </cell>
          <cell r="D108">
            <v>0</v>
          </cell>
          <cell r="E108">
            <v>61</v>
          </cell>
          <cell r="F108">
            <v>0</v>
          </cell>
          <cell r="G108">
            <v>0</v>
          </cell>
          <cell r="H108">
            <v>54</v>
          </cell>
          <cell r="I108">
            <v>3</v>
          </cell>
        </row>
        <row r="109">
          <cell r="A109">
            <v>46208</v>
          </cell>
          <cell r="B109">
            <v>0</v>
          </cell>
          <cell r="C109">
            <v>102</v>
          </cell>
          <cell r="D109">
            <v>0</v>
          </cell>
          <cell r="E109">
            <v>61</v>
          </cell>
          <cell r="F109">
            <v>0</v>
          </cell>
          <cell r="G109">
            <v>0</v>
          </cell>
          <cell r="H109">
            <v>54</v>
          </cell>
          <cell r="I109">
            <v>3</v>
          </cell>
        </row>
        <row r="110">
          <cell r="A110">
            <v>46209</v>
          </cell>
          <cell r="B110">
            <v>0</v>
          </cell>
          <cell r="C110">
            <v>102</v>
          </cell>
          <cell r="D110">
            <v>0</v>
          </cell>
          <cell r="E110">
            <v>61</v>
          </cell>
          <cell r="F110">
            <v>3</v>
          </cell>
          <cell r="G110">
            <v>0</v>
          </cell>
          <cell r="H110">
            <v>57</v>
          </cell>
          <cell r="I110">
            <v>3</v>
          </cell>
        </row>
        <row r="111">
          <cell r="A111">
            <v>46210</v>
          </cell>
          <cell r="B111">
            <v>0</v>
          </cell>
          <cell r="C111">
            <v>102</v>
          </cell>
          <cell r="D111">
            <v>0</v>
          </cell>
          <cell r="F111">
            <v>22</v>
          </cell>
          <cell r="G111">
            <v>0</v>
          </cell>
          <cell r="H111">
            <v>79</v>
          </cell>
        </row>
        <row r="112">
          <cell r="A112">
            <v>46211</v>
          </cell>
          <cell r="B112">
            <v>3</v>
          </cell>
          <cell r="C112">
            <v>105</v>
          </cell>
          <cell r="D112">
            <v>0</v>
          </cell>
          <cell r="F112">
            <v>22</v>
          </cell>
          <cell r="G112">
            <v>0</v>
          </cell>
          <cell r="H112">
            <v>101</v>
          </cell>
        </row>
        <row r="113">
          <cell r="A113">
            <v>46212</v>
          </cell>
          <cell r="B113">
            <v>0</v>
          </cell>
          <cell r="C113">
            <v>105</v>
          </cell>
          <cell r="D113">
            <v>0</v>
          </cell>
          <cell r="F113">
            <v>0</v>
          </cell>
          <cell r="G113">
            <v>0</v>
          </cell>
          <cell r="H113">
            <v>101</v>
          </cell>
        </row>
        <row r="114">
          <cell r="A114">
            <v>46213</v>
          </cell>
          <cell r="B114">
            <v>0</v>
          </cell>
          <cell r="C114">
            <v>105</v>
          </cell>
          <cell r="D114">
            <v>0</v>
          </cell>
          <cell r="F114">
            <v>0</v>
          </cell>
          <cell r="G114">
            <v>0</v>
          </cell>
          <cell r="H114">
            <v>101</v>
          </cell>
        </row>
        <row r="115">
          <cell r="A115">
            <v>46214</v>
          </cell>
          <cell r="B115">
            <v>0</v>
          </cell>
          <cell r="C115">
            <v>105</v>
          </cell>
          <cell r="D115">
            <v>0</v>
          </cell>
          <cell r="F115">
            <v>0</v>
          </cell>
          <cell r="G115">
            <v>0</v>
          </cell>
          <cell r="H115">
            <v>101</v>
          </cell>
        </row>
        <row r="116">
          <cell r="A116">
            <v>46215</v>
          </cell>
          <cell r="B116">
            <v>0</v>
          </cell>
          <cell r="C116">
            <v>105</v>
          </cell>
          <cell r="D116">
            <v>0</v>
          </cell>
          <cell r="F116">
            <v>0</v>
          </cell>
          <cell r="G116">
            <v>0</v>
          </cell>
          <cell r="H116">
            <v>101</v>
          </cell>
        </row>
        <row r="117">
          <cell r="A117">
            <v>46216</v>
          </cell>
          <cell r="B117">
            <v>0</v>
          </cell>
          <cell r="C117">
            <v>105</v>
          </cell>
          <cell r="D117">
            <v>0</v>
          </cell>
          <cell r="F117">
            <v>1</v>
          </cell>
          <cell r="G117">
            <v>0</v>
          </cell>
          <cell r="H117">
            <v>102</v>
          </cell>
        </row>
        <row r="118">
          <cell r="A118">
            <v>46217</v>
          </cell>
          <cell r="B118">
            <v>0</v>
          </cell>
          <cell r="C118">
            <v>105</v>
          </cell>
          <cell r="D118">
            <v>0</v>
          </cell>
          <cell r="F118">
            <v>0</v>
          </cell>
          <cell r="G118">
            <v>0</v>
          </cell>
          <cell r="H118">
            <v>102</v>
          </cell>
        </row>
        <row r="119">
          <cell r="A119">
            <v>46218</v>
          </cell>
          <cell r="B119">
            <v>0</v>
          </cell>
          <cell r="C119">
            <v>105</v>
          </cell>
          <cell r="D119">
            <v>0</v>
          </cell>
          <cell r="F119">
            <v>0</v>
          </cell>
          <cell r="G119">
            <v>0</v>
          </cell>
          <cell r="H119">
            <v>102</v>
          </cell>
        </row>
        <row r="120">
          <cell r="A120">
            <v>46219</v>
          </cell>
          <cell r="B120">
            <v>0</v>
          </cell>
          <cell r="C120">
            <v>105</v>
          </cell>
          <cell r="D120">
            <v>0</v>
          </cell>
          <cell r="F120">
            <v>3</v>
          </cell>
          <cell r="G120">
            <v>0</v>
          </cell>
          <cell r="H120">
            <v>105</v>
          </cell>
        </row>
      </sheetData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7AD549-C3E2-42CB-A5FF-BA8073049745}" name="Tabela3" displayName="Tabela3" ref="A1:AF184" totalsRowShown="0" headerRowDxfId="129" dataDxfId="128">
  <autoFilter ref="A1:AF184" xr:uid="{357AD549-C3E2-42CB-A5FF-BA8073049745}"/>
  <tableColumns count="32">
    <tableColumn id="1" xr3:uid="{105F9DB5-D3AE-463E-BEB6-B05A037292C1}" name="Id" dataDxfId="127"/>
    <tableColumn id="2" xr3:uid="{FC0307A7-E14F-404E-BBD7-F1F9BA1F985B}" name="EDT" dataDxfId="126"/>
    <tableColumn id="3" xr3:uid="{B6A8D4EA-92F5-472C-8A99-D66ABA8D3A16}" name="Nome do Resumo da Tarefa" dataDxfId="125"/>
    <tableColumn id="4" xr3:uid="{350F8323-9B91-4129-A316-54FCEB05D2D1}" name="Nome da Tarefa" dataDxfId="124"/>
    <tableColumn id="5" xr3:uid="{1FF55482-1749-4C26-A093-20CE4F6D5076}" name="Título" dataDxfId="123"/>
    <tableColumn id="6" xr3:uid="{BE1B1D18-806D-467E-9289-F9586EAC00C5}" name="Duração" dataDxfId="122"/>
    <tableColumn id="7" xr3:uid="{CAAC4D35-A840-4A7B-8353-CF3298C75AB6}" name="Início" dataDxfId="121"/>
    <tableColumn id="8" xr3:uid="{84FFB9D2-C19D-4C61-A658-29309196A4D5}" name="Término" dataDxfId="120"/>
    <tableColumn id="9" xr3:uid="{E67BDEA2-16FB-4A05-BE86-CF8F11528B87}" name="Predecessoras" dataDxfId="119"/>
    <tableColumn id="10" xr3:uid="{5B2004D0-D8FB-4407-B788-AE1F87EA5A7B}" name="% concluída" dataDxfId="118" dataCellStyle="Porcentagem"/>
    <tableColumn id="11" xr3:uid="{B6C9AFF1-D4A9-44AA-BF79-E0301A5CFB23}" name="Término real" dataDxfId="117"/>
    <tableColumn id="12" xr3:uid="{BBD0501D-F2B3-4139-9F5F-07AC4A309DCB}" name="Status" dataDxfId="116"/>
    <tableColumn id="13" xr3:uid="{AF84191D-890C-4A89-9106-76F2E134A24E}" name="Crítica" dataDxfId="115"/>
    <tableColumn id="14" xr3:uid="{45DBC9FA-D781-4435-84F0-6B6381742796}" name="Disciplina" dataDxfId="114"/>
    <tableColumn id="15" xr3:uid="{52232AA2-F80C-4ECF-8AF5-02CE4694F0A3}" name="Inicio_LB_R0" dataDxfId="113"/>
    <tableColumn id="16" xr3:uid="{314E0FC3-A181-43AD-8926-20318FCB3730}" name="Término_LB_R0" dataDxfId="112"/>
    <tableColumn id="17" xr3:uid="{700B5095-ED7E-4107-8EB8-DB535BBB734A}" name="Sprint" dataDxfId="111"/>
    <tableColumn id="18" xr3:uid="{4257C684-F651-47FD-AF83-6801066B041F}" name="Sucessoras" dataDxfId="110"/>
    <tableColumn id="19" xr3:uid="{2478AEDD-2887-47A9-B9CB-DEBE13A7EC68}" name="Comparação" dataDxfId="109"/>
    <tableColumn id="20" xr3:uid="{694FD620-6B64-440E-B152-F102BB9982AF}" name="Nomes dos recursos" dataDxfId="108"/>
    <tableColumn id="21" xr3:uid="{CDAFBC40-4A89-40C4-A78B-CC05513AA3E9}" name="pct_val" dataDxfId="107"/>
    <tableColumn id="22" xr3:uid="{E2FF3321-7391-43C7-8544-5B66662A9CFA}" name="Emissão inicial total" dataDxfId="106"/>
    <tableColumn id="23" xr3:uid="{0CBA4F68-2D06-45A1-8873-9ED5D342CBDA}" name="Emissão inicial concluída" dataDxfId="105"/>
    <tableColumn id="24" xr3:uid="{B3526B9B-F566-4AB3-88E5-256E9B3EAD93}" name="Emissão Inicial Atrasada" dataDxfId="104"/>
    <tableColumn id="25" xr3:uid="{73738602-87D2-4222-855A-C25F11326B62}" name="Aprovação total" dataDxfId="103"/>
    <tableColumn id="26" xr3:uid="{8FA14EA7-E7B2-43E7-B81A-539428CFCF4C}" name="Avaliação do cliente concluída" dataDxfId="102"/>
    <tableColumn id="27" xr3:uid="{62374080-8E23-41C3-AD80-FFC32A757A45}" name="Avaliação Cliente Atrasada" dataDxfId="101"/>
    <tableColumn id="28" xr3:uid="{1B6732E8-5D2B-4F1C-81AA-A4664372F2B0}" name="Atendimento de comentário concluído" dataDxfId="100"/>
    <tableColumn id="29" xr3:uid="{DCF558F7-5619-475E-8DEB-C2B0B75B1658}" name="Atendimento Atrasado" dataDxfId="99"/>
    <tableColumn id="30" xr3:uid="{93C1D3A9-A2BF-4CA3-84F3-3E75E0C0A531}" name="Aprovação concluída" dataDxfId="98"/>
    <tableColumn id="31" xr3:uid="{59DB34E2-BF46-419F-AEC7-E0DBBF0928B0}" name="Aprovação Atrasada" dataDxfId="97"/>
    <tableColumn id="32" xr3:uid="{7FD7B756-D42D-42EA-B92C-9A3414A83209}" name="Aderência" dataDxfId="9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F6E3E3-4F0C-4448-8ABB-84C816C7E55F}" name="Tabela1" displayName="Tabela1" ref="A3:H17" totalsRowCount="1" headerRowDxfId="95" dataDxfId="94" totalsRowDxfId="93">
  <autoFilter ref="A3:H16" xr:uid="{6AF6E3E3-4F0C-4448-8ABB-84C816C7E55F}"/>
  <tableColumns count="8">
    <tableColumn id="1" xr3:uid="{02F46B2B-A028-47E2-96FA-2276CD1E109B}" name="Disciplina" totalsRowLabel="TOTAL" dataDxfId="92" totalsRowDxfId="91"/>
    <tableColumn id="2" xr3:uid="{73EFD3B7-B098-4A11-BEDA-C08ABFB8DB05}" name="Emissão inicial total" totalsRowFunction="sum" dataDxfId="90" totalsRowDxfId="89"/>
    <tableColumn id="3" xr3:uid="{7C14357F-B9C2-418E-A7F2-EB1748D0A9F2}" name="Emissão inicial concluída" totalsRowFunction="sum" dataDxfId="88" totalsRowDxfId="87"/>
    <tableColumn id="4" xr3:uid="{3F5AF0A6-D562-43AD-B14A-073760C3EEA7}" name="%EI" dataDxfId="86" totalsRowDxfId="85"/>
    <tableColumn id="5" xr3:uid="{9BA1141B-D47D-4151-83D2-8C32EBDEEB25}" name="Avaliação do cliente concluída" totalsRowFunction="sum" dataDxfId="84" totalsRowDxfId="83"/>
    <tableColumn id="6" xr3:uid="{C5BFCC78-8F26-485B-BB31-666C5727FB48}" name="Atendimento de comentário concluído" totalsRowFunction="sum" dataDxfId="82" totalsRowDxfId="81"/>
    <tableColumn id="7" xr3:uid="{D0B8BD1F-2690-4EDF-9681-E40C394EAA0D}" name="Aprovação concluída" totalsRowFunction="sum" dataDxfId="80" totalsRowDxfId="79"/>
    <tableColumn id="8" xr3:uid="{C9D6CADA-9664-46F7-983E-D4CAFCCD4BA2}" name="%AP" dataDxfId="78" totalsRowDxfId="7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23278C-188B-4480-B6D9-8EDE6CCEB649}" name="Tabela2" displayName="Tabela2" ref="A22:E36" totalsRowCount="1" headerRowDxfId="76" dataDxfId="75" totalsRowDxfId="74">
  <autoFilter ref="A22:E35" xr:uid="{E423278C-188B-4480-B6D9-8EDE6CCEB649}"/>
  <tableColumns count="5">
    <tableColumn id="1" xr3:uid="{E8C29044-3E28-4511-BAEF-827EFCA81D0D}" name="Disciplina" totalsRowLabel="TOTAL" dataDxfId="73" totalsRowDxfId="72"/>
    <tableColumn id="2" xr3:uid="{29DF3239-3D2C-435C-BC95-223D9C37B34D}" name="Emissão Inicial Atrasada" totalsRowFunction="sum" dataDxfId="71" totalsRowDxfId="70"/>
    <tableColumn id="3" xr3:uid="{234A0119-8A2F-4536-B8A7-C185A0E7356E}" name="Avaliação Cliente Atrasada" totalsRowFunction="sum" dataDxfId="69" totalsRowDxfId="68"/>
    <tableColumn id="4" xr3:uid="{9A3B27A8-5632-465B-9C00-3F7EFF2C4130}" name="Atendimento Atrasado" totalsRowFunction="sum" dataDxfId="67" totalsRowDxfId="66"/>
    <tableColumn id="5" xr3:uid="{92CABBF9-FB8E-49FD-A68B-31D5AC76B130}" name="Aprovação Atrasada" totalsRowFunction="sum" dataDxfId="65" totalsRowDxfId="6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2AC415-BAD4-4F0E-9672-62E6F796897D}" name="Tabela4" displayName="Tabela4" ref="A1:O183" totalsRowShown="0" headerRowDxfId="63" dataDxfId="62">
  <autoFilter ref="A1:O183" xr:uid="{A92AC415-BAD4-4F0E-9672-62E6F796897D}"/>
  <tableColumns count="15">
    <tableColumn id="1" xr3:uid="{9AA0EEEC-3DDA-4059-8C2B-0639FC8B63E2}" name="Data" dataDxfId="61"/>
    <tableColumn id="2" xr3:uid="{AD507717-4CBE-4C5F-BF83-180325A49DEF}" name="Emissão prevista na LB" dataDxfId="60"/>
    <tableColumn id="3" xr3:uid="{DF69B074-EBF0-4027-A234-269EDDAD7464}" name="Emissão prevista na LB acumulada" dataDxfId="59"/>
    <tableColumn id="4" xr3:uid="{7243D4A6-BF9B-4477-A29B-BBE6907AA4FB}" name="Emissão realizada por dia" dataDxfId="58"/>
    <tableColumn id="5" xr3:uid="{16E43178-ADC6-42D4-B6FA-49A77E660B35}" name="Emissão realizada acumulada" dataDxfId="57"/>
    <tableColumn id="6" xr3:uid="{8AF62C70-AC94-4913-BCEC-22038B232985}" name="Aprovação prevista na LB" dataDxfId="56"/>
    <tableColumn id="7" xr3:uid="{9573BF78-042E-46A1-BB5D-5F19B075E258}" name="Aprovação realizada por dia" dataDxfId="55"/>
    <tableColumn id="8" xr3:uid="{1A061C2F-F8BB-4D8C-AFD7-D47395971083}" name="Aprovação prevista na LB acumulada" dataDxfId="54"/>
    <tableColumn id="9" xr3:uid="{D08189EC-CFFE-4445-AB1F-25ADD009B2C3}" name="Aprovação realizada acumulada" dataDxfId="53"/>
    <tableColumn id="10" xr3:uid="{CF7F8CB1-CB02-4ADC-99D6-A5CF977984D4}" name="Avanço da EI previsto na LB" dataDxfId="52" dataCellStyle="Porcentagem"/>
    <tableColumn id="11" xr3:uid="{B75F05C3-2707-4825-AE52-AE96E576BA7B}" name="Avanço real da EI na LB" dataDxfId="51" dataCellStyle="Porcentagem"/>
    <tableColumn id="12" xr3:uid="{325E4CB5-C75A-40A2-906B-F8763CBA509C}" name="COMP_EI" dataDxfId="50"/>
    <tableColumn id="13" xr3:uid="{34960980-3580-43C6-B438-AEEFB1DDF412}" name="Avanço da AP previsto na LB" dataDxfId="49" dataCellStyle="Porcentagem"/>
    <tableColumn id="14" xr3:uid="{1C71F75E-62B1-4D99-B699-9475192AD5C4}" name="Avanço da AP real na LB" dataDxfId="48" dataCellStyle="Porcentagem"/>
    <tableColumn id="15" xr3:uid="{6CBEF4E1-83EF-4DD3-A005-E43F9D3E55D7}" name="COMP_AP" dataDxfId="4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F967D62-5B9F-437A-B655-135D5A3C5C1E}" name="Tabela5" displayName="Tabela5" ref="A1:AF31" totalsRowShown="0" headerRowDxfId="46" dataDxfId="45">
  <autoFilter ref="A1:AF31" xr:uid="{8F967D62-5B9F-437A-B655-135D5A3C5C1E}">
    <filterColumn colId="3">
      <filters>
        <filter val="emissão inicial"/>
      </filters>
    </filterColumn>
  </autoFilter>
  <tableColumns count="32">
    <tableColumn id="1" xr3:uid="{C358C923-D9DA-4B18-A238-A23EDB10D746}" name="Id" dataDxfId="44"/>
    <tableColumn id="2" xr3:uid="{22631AA6-96C7-4C4F-A61B-FA2B853D79C0}" name="EDT" dataDxfId="43"/>
    <tableColumn id="3" xr3:uid="{2BE4E7BF-35AF-4370-B406-3839A015AA12}" name="Nome do Resumo da Tarefa" dataDxfId="42"/>
    <tableColumn id="4" xr3:uid="{14B1D489-0414-44B6-A9A5-31FACF1C2FF2}" name="Nome da Tarefa" dataDxfId="41"/>
    <tableColumn id="5" xr3:uid="{233E069F-7B7D-4EF5-9F06-7D54E507C760}" name="Título" dataDxfId="40"/>
    <tableColumn id="6" xr3:uid="{065DDDE4-D0A2-4987-A84E-F8AEA8BE3300}" name="Duração" dataDxfId="39"/>
    <tableColumn id="7" xr3:uid="{BF551C86-B435-443C-A0E9-29BD0212FD0E}" name="Início" dataDxfId="38"/>
    <tableColumn id="8" xr3:uid="{CF69C541-43CD-4104-86CF-F541D39CDD59}" name="Término" dataDxfId="37"/>
    <tableColumn id="9" xr3:uid="{D999710A-D4BC-4C7B-A09A-D1A884B4C8E6}" name="Predecessoras" dataDxfId="36"/>
    <tableColumn id="10" xr3:uid="{408001A8-0463-4587-ADC6-D79C44F3B67F}" name="% concluída" dataDxfId="35" dataCellStyle="Porcentagem"/>
    <tableColumn id="11" xr3:uid="{CFB0DC0C-2B25-4F7A-89DD-3ECEB8880AD1}" name="Término real" dataDxfId="34"/>
    <tableColumn id="12" xr3:uid="{6D841E01-72EA-4490-8A0E-2CB9587CBBA6}" name="Status" dataDxfId="33"/>
    <tableColumn id="13" xr3:uid="{C4B3E738-0DE8-4BED-AE87-C768933C9279}" name="Crítica" dataDxfId="32"/>
    <tableColumn id="14" xr3:uid="{9DEB7B1A-13BE-4703-8085-6BA8112E5194}" name="Disciplina" dataDxfId="31"/>
    <tableColumn id="15" xr3:uid="{9789D46F-BF83-4657-A82D-A4D40F74F80C}" name="Inicio_LB_R0" dataDxfId="30"/>
    <tableColumn id="16" xr3:uid="{6404286C-FA52-4A76-9F30-355D9DE5DAF7}" name="Término_LB_R0" dataDxfId="29"/>
    <tableColumn id="17" xr3:uid="{B1389D9D-8D9A-42D2-A270-A71EC49F0360}" name="Sprint" dataDxfId="28"/>
    <tableColumn id="18" xr3:uid="{A8DAF246-9A19-45C7-BAEB-109970F000C3}" name="Sucessoras" dataDxfId="27"/>
    <tableColumn id="19" xr3:uid="{C8ED20DC-CD8D-4038-BAF4-33B0729E362D}" name="Comparação" dataDxfId="26"/>
    <tableColumn id="20" xr3:uid="{28A1EE4D-9D39-4B28-AF20-23E3EB1597C3}" name="Nomes dos recursos" dataDxfId="25"/>
    <tableColumn id="21" xr3:uid="{D40F5EE6-8904-4657-A3B3-7122129F98E1}" name="pct_val" dataDxfId="24"/>
    <tableColumn id="22" xr3:uid="{C495ADD0-B27F-4CDF-B40C-9D3C20C3550C}" name="Emissão inicial total" dataDxfId="23"/>
    <tableColumn id="23" xr3:uid="{0FCD2336-1247-402B-AE01-F04463BBEC19}" name="Emissão inicial concluída" dataDxfId="22"/>
    <tableColumn id="24" xr3:uid="{2CF9F0BF-3282-47D9-A524-45DC6857FAE9}" name="Emissão Inicial Atrasada" dataDxfId="21"/>
    <tableColumn id="25" xr3:uid="{A4189055-AF46-4FE5-B59C-E8DF7447AF26}" name="Aprovação total" dataDxfId="20"/>
    <tableColumn id="26" xr3:uid="{B3EFEFBD-DD11-4D3C-922E-98EE9E823681}" name="Avaliação do cliente concluída" dataDxfId="19"/>
    <tableColumn id="27" xr3:uid="{EF88031B-07A2-4268-AB01-9B13F09541DC}" name="Avaliação Cliente Atrasada" dataDxfId="18"/>
    <tableColumn id="28" xr3:uid="{C6038F68-7992-46CF-B1E9-210A49E90B08}" name="Atendimento de comentário concluído" dataDxfId="17"/>
    <tableColumn id="29" xr3:uid="{B7217DEE-6A7A-47F6-81EC-8E6FED6CFD96}" name="Atendimento Atrasado" dataDxfId="16"/>
    <tableColumn id="30" xr3:uid="{E77C0C95-5766-4F08-9A63-AA23BD30A387}" name="Aprovação concluída" dataDxfId="15"/>
    <tableColumn id="31" xr3:uid="{BCBDEB55-ED60-4800-934B-15C01F761D98}" name="Aprovação Atrasada" dataDxfId="14"/>
    <tableColumn id="32" xr3:uid="{F87511C8-1D54-4410-8800-1A4A44A2512B}" name="Aderência" dataDxfId="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0E9742C-4A9D-462F-9710-931030E25F8B}" name="Tabela6" displayName="Tabela6" ref="A1:AF50" totalsRowShown="0" headerRowDxfId="163" dataDxfId="162">
  <autoFilter ref="A1:AF50" xr:uid="{20E9742C-4A9D-462F-9710-931030E25F8B}">
    <filterColumn colId="3">
      <filters>
        <filter val="emissão inicial"/>
      </filters>
    </filterColumn>
  </autoFilter>
  <tableColumns count="32">
    <tableColumn id="1" xr3:uid="{32358809-4D84-4EC6-9D6B-F35560F3DC76}" name="Id" dataDxfId="161"/>
    <tableColumn id="2" xr3:uid="{FCB19FCF-87B1-4F17-A0AF-E2A9C7A37E14}" name="EDT" dataDxfId="160"/>
    <tableColumn id="3" xr3:uid="{7B4C3492-A62F-4D65-BBF2-069B72009597}" name="Nome do Resumo da Tarefa" dataDxfId="159"/>
    <tableColumn id="4" xr3:uid="{AD7B3DE1-9E98-459C-BDE3-9919792FF211}" name="Nome da Tarefa" dataDxfId="158"/>
    <tableColumn id="5" xr3:uid="{92DFDBD7-E2BA-4076-951E-CF16C7ACC9C8}" name="Título" dataDxfId="157"/>
    <tableColumn id="6" xr3:uid="{AC61FD1A-02A4-4608-AD57-A107FA721510}" name="Duração" dataDxfId="156"/>
    <tableColumn id="7" xr3:uid="{9BE80CD5-26B0-4EB9-A979-0FC73B0DA5C1}" name="Início" dataDxfId="155"/>
    <tableColumn id="8" xr3:uid="{C042A1D2-CD11-451A-BB2E-ADF748E717B7}" name="Término" dataDxfId="154"/>
    <tableColumn id="9" xr3:uid="{34B72A3E-C902-4F09-A15E-BE98CDEBA5DC}" name="Predecessoras" dataDxfId="153"/>
    <tableColumn id="10" xr3:uid="{31D2A1DA-CB2D-4FF9-804B-2BCF79701600}" name="% concluída" dataDxfId="152"/>
    <tableColumn id="11" xr3:uid="{1C5DB045-C98A-41DA-A131-D34F37499306}" name="Término real" dataDxfId="151"/>
    <tableColumn id="12" xr3:uid="{C5DBA407-4507-4B9D-A13E-CF0E5B37F4CB}" name="Status" dataDxfId="150"/>
    <tableColumn id="13" xr3:uid="{7FD0F52D-F14B-4094-9B86-E31407658E6F}" name="Crítica" dataDxfId="149"/>
    <tableColumn id="14" xr3:uid="{7C23A16E-8B3B-4CE8-AC03-22AC7CF72944}" name="Disciplina" dataDxfId="148"/>
    <tableColumn id="15" xr3:uid="{88A23DF0-3034-4C7F-88CF-2DB38B1912FA}" name="Inicio_LB_R0" dataDxfId="147"/>
    <tableColumn id="16" xr3:uid="{392A346F-3130-451B-A21F-E3796E7334D3}" name="Término_LB_R0" dataDxfId="146"/>
    <tableColumn id="17" xr3:uid="{B9376082-58D3-49C9-A5B2-3C92CDBDEF3F}" name="Sprint" dataDxfId="145"/>
    <tableColumn id="18" xr3:uid="{0CF4B4D4-ADC5-4588-B459-CC9363BB628A}" name="Sucessoras" dataDxfId="144"/>
    <tableColumn id="19" xr3:uid="{DC3CD69F-D143-4C72-A08D-3F6B3D9E2249}" name="Comparação" dataDxfId="143"/>
    <tableColumn id="20" xr3:uid="{945E3C0B-F472-404B-908F-FA76314CBA06}" name="Nomes dos recursos" dataDxfId="142"/>
    <tableColumn id="21" xr3:uid="{E8B58DDB-65B5-4CA3-BC94-BC6B83061F33}" name="pct_val" dataDxfId="141"/>
    <tableColumn id="22" xr3:uid="{082E8DFC-12B4-4EF3-BF47-3B3E6C3402E6}" name="Emissão inicial total" dataDxfId="140"/>
    <tableColumn id="23" xr3:uid="{56C00BFF-1CD0-4CA8-84E4-E64001C6BED1}" name="Emissão inicial concluída" dataDxfId="139"/>
    <tableColumn id="24" xr3:uid="{D2BA410D-4E72-405E-8AE7-050A5615443E}" name="Emissão Inicial Atrasada" dataDxfId="138"/>
    <tableColumn id="25" xr3:uid="{675921B6-37F4-4A25-8D73-49B885233FFB}" name="Aprovação total" dataDxfId="137"/>
    <tableColumn id="26" xr3:uid="{EACBFD06-8091-40A3-84B2-A054E3939CBE}" name="Avaliação do cliente concluída" dataDxfId="136"/>
    <tableColumn id="27" xr3:uid="{FB495C50-A60D-4AA1-993F-9434537E0198}" name="Avaliação Cliente Atrasada" dataDxfId="135"/>
    <tableColumn id="28" xr3:uid="{A73FCDFE-A256-4469-830F-FEED2901F101}" name="Atendimento de comentário concluído" dataDxfId="134"/>
    <tableColumn id="29" xr3:uid="{79F7235A-C25E-4E99-8A10-F9E041C573F8}" name="Atendimento Atrasado" dataDxfId="133"/>
    <tableColumn id="30" xr3:uid="{32A00556-7442-4DB1-B296-A77DCB336CBB}" name="Aprovação concluída" dataDxfId="132"/>
    <tableColumn id="31" xr3:uid="{8DFAFE87-22B8-4CBF-B231-61556BF451D2}" name="Aprovação Atrasada" dataDxfId="131"/>
    <tableColumn id="32" xr3:uid="{F60F6277-6EE5-437A-B175-B8C884824A79}" name="Aderência" dataDxfId="13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E4114E9-02FF-411C-95F0-16D1DC253DF8}" name="Tabela7" displayName="Tabela7" ref="A1:K75" totalsRowShown="0" headerRowDxfId="2" dataDxfId="1">
  <autoFilter ref="A1:K75" xr:uid="{7E4114E9-02FF-411C-95F0-16D1DC253DF8}">
    <filterColumn colId="4">
      <filters>
        <filter val="emissão inicial"/>
      </filters>
    </filterColumn>
  </autoFilter>
  <tableColumns count="11">
    <tableColumn id="1" xr3:uid="{A831729F-5781-4E64-B2B6-BA8E9E5324C9}" name="Sprint" dataDxfId="12"/>
    <tableColumn id="2" xr3:uid="{54BD9B53-2427-4A5D-8FD3-5CCC7CDBFC96}" name="Id" dataDxfId="11"/>
    <tableColumn id="3" xr3:uid="{6980DA4C-6748-4512-B658-9BDA0901D8AB}" name="EDT" dataDxfId="10"/>
    <tableColumn id="4" xr3:uid="{ECC3F254-5B80-4623-8054-764293517B3D}" name="Nome do Resumo da Tarefa" dataDxfId="9"/>
    <tableColumn id="5" xr3:uid="{B9D73B8A-A72F-43D5-A7AA-E10F483188C4}" name="Nome da Tarefa" dataDxfId="8"/>
    <tableColumn id="6" xr3:uid="{5E25BE0A-86F5-4D1D-8252-510C0899C7CF}" name="Status" dataDxfId="7"/>
    <tableColumn id="7" xr3:uid="{D998A76A-DD65-42FC-AB7F-5C195E733E5D}" name="% concluída" dataDxfId="6" dataCellStyle="Porcentagem"/>
    <tableColumn id="8" xr3:uid="{B8081E71-0AFF-4C40-BEC6-91FD4975EC84}" name="Nomes dos recursos" dataDxfId="5"/>
    <tableColumn id="9" xr3:uid="{57C285FE-48AE-448B-9F62-E1A0753BA64A}" name="Disciplina" dataDxfId="4"/>
    <tableColumn id="10" xr3:uid="{CEC8088D-5182-489C-B327-9855A66A3881}" name="Crítica" dataDxfId="3"/>
    <tableColumn id="11" xr3:uid="{CC40F17F-3187-4201-B5E1-B0F44823548F}" name="Colu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4"/>
  <sheetViews>
    <sheetView workbookViewId="0">
      <selection activeCell="C15" sqref="C15"/>
    </sheetView>
  </sheetViews>
  <sheetFormatPr defaultRowHeight="15" x14ac:dyDescent="0.25"/>
  <cols>
    <col min="1" max="1" width="7.28515625" style="1" bestFit="1" customWidth="1"/>
    <col min="2" max="2" width="9.28515625" style="1" bestFit="1" customWidth="1"/>
    <col min="3" max="3" width="30.42578125" style="1" bestFit="1" customWidth="1"/>
    <col min="4" max="4" width="31.5703125" style="1" bestFit="1" customWidth="1"/>
    <col min="5" max="5" width="29.85546875" style="1" bestFit="1" customWidth="1"/>
    <col min="6" max="6" width="12.7109375" style="1" bestFit="1" customWidth="1"/>
    <col min="7" max="7" width="10.7109375" style="3" bestFit="1" customWidth="1"/>
    <col min="8" max="8" width="13" style="3" bestFit="1" customWidth="1"/>
    <col min="9" max="9" width="27.28515625" style="1" bestFit="1" customWidth="1"/>
    <col min="10" max="10" width="16" style="4" bestFit="1" customWidth="1"/>
    <col min="11" max="11" width="16.85546875" style="3" bestFit="1" customWidth="1"/>
    <col min="12" max="12" width="12.42578125" style="1" bestFit="1" customWidth="1"/>
    <col min="13" max="13" width="11.140625" style="1" bestFit="1" customWidth="1"/>
    <col min="14" max="14" width="32.140625" style="1" bestFit="1" customWidth="1"/>
    <col min="15" max="15" width="16.5703125" style="1" bestFit="1" customWidth="1"/>
    <col min="16" max="16" width="19.28515625" style="1" bestFit="1" customWidth="1"/>
    <col min="17" max="17" width="14.5703125" style="1" bestFit="1" customWidth="1"/>
    <col min="18" max="18" width="82.42578125" style="1" bestFit="1" customWidth="1"/>
    <col min="19" max="19" width="16.42578125" style="1" bestFit="1" customWidth="1"/>
    <col min="20" max="20" width="23.5703125" style="1" bestFit="1" customWidth="1"/>
    <col min="21" max="21" width="11.85546875" style="1" bestFit="1" customWidth="1"/>
    <col min="22" max="22" width="23.28515625" style="1" bestFit="1" customWidth="1"/>
    <col min="23" max="23" width="27.7109375" style="1" bestFit="1" customWidth="1"/>
    <col min="24" max="24" width="27" style="1" bestFit="1" customWidth="1"/>
    <col min="25" max="25" width="19.5703125" style="1" bestFit="1" customWidth="1"/>
    <col min="26" max="26" width="32.7109375" style="1" bestFit="1" customWidth="1"/>
    <col min="27" max="27" width="29.42578125" style="1" bestFit="1" customWidth="1"/>
    <col min="28" max="28" width="40.5703125" style="1" bestFit="1" customWidth="1"/>
    <col min="29" max="29" width="26.140625" style="1" bestFit="1" customWidth="1"/>
    <col min="30" max="30" width="24" style="1" bestFit="1" customWidth="1"/>
    <col min="31" max="31" width="23.28515625" style="1" bestFit="1" customWidth="1"/>
    <col min="32" max="32" width="14.5703125" style="1" bestFit="1" customWidth="1"/>
    <col min="33" max="16384" width="9.140625" style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1">
        <v>1</v>
      </c>
      <c r="B2" s="1">
        <v>1</v>
      </c>
      <c r="D2" s="1" t="s">
        <v>32</v>
      </c>
      <c r="F2" s="1" t="s">
        <v>33</v>
      </c>
      <c r="G2" s="3">
        <v>46160</v>
      </c>
      <c r="H2" s="3">
        <v>46381</v>
      </c>
      <c r="J2" s="4">
        <v>0.28999999999999998</v>
      </c>
      <c r="L2" s="1" t="s">
        <v>34</v>
      </c>
      <c r="M2" s="1" t="s">
        <v>35</v>
      </c>
      <c r="N2" s="1" t="s">
        <v>36</v>
      </c>
      <c r="O2" s="1" t="s">
        <v>37</v>
      </c>
      <c r="P2" s="5">
        <v>46211</v>
      </c>
      <c r="Q2" s="1" t="s">
        <v>38</v>
      </c>
      <c r="U2" s="1">
        <v>0.28999999999999998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 spans="1:32" x14ac:dyDescent="0.25">
      <c r="A3" s="1">
        <v>2</v>
      </c>
      <c r="B3" s="1" t="s">
        <v>39</v>
      </c>
      <c r="C3" s="1" t="s">
        <v>40</v>
      </c>
      <c r="D3" s="1" t="s">
        <v>41</v>
      </c>
      <c r="F3" s="1" t="s">
        <v>33</v>
      </c>
      <c r="G3" s="3">
        <v>46160</v>
      </c>
      <c r="H3" s="3">
        <v>46381</v>
      </c>
      <c r="J3" s="4">
        <v>0.28999999999999998</v>
      </c>
      <c r="L3" s="1" t="s">
        <v>34</v>
      </c>
      <c r="M3" s="1" t="s">
        <v>35</v>
      </c>
      <c r="N3" s="1" t="s">
        <v>36</v>
      </c>
      <c r="O3" s="1" t="s">
        <v>37</v>
      </c>
      <c r="P3" s="5">
        <v>46211</v>
      </c>
      <c r="Q3" s="1" t="s">
        <v>38</v>
      </c>
      <c r="U3" s="1">
        <v>0.28999999999999998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 spans="1:32" x14ac:dyDescent="0.25">
      <c r="A4" s="1">
        <v>3</v>
      </c>
      <c r="B4" s="1" t="s">
        <v>42</v>
      </c>
      <c r="C4" s="1" t="s">
        <v>43</v>
      </c>
      <c r="D4" s="1" t="s">
        <v>44</v>
      </c>
      <c r="F4" s="1" t="s">
        <v>45</v>
      </c>
      <c r="G4" s="3">
        <v>46160</v>
      </c>
      <c r="H4" s="3">
        <v>46160</v>
      </c>
      <c r="J4" s="4">
        <v>1</v>
      </c>
      <c r="K4" s="3">
        <v>46160</v>
      </c>
      <c r="L4" s="1" t="s">
        <v>46</v>
      </c>
      <c r="M4" s="1" t="s">
        <v>47</v>
      </c>
      <c r="N4" s="1" t="s">
        <v>36</v>
      </c>
      <c r="O4" s="1" t="s">
        <v>37</v>
      </c>
      <c r="P4" s="5">
        <v>46139</v>
      </c>
      <c r="Q4" s="1" t="s">
        <v>38</v>
      </c>
      <c r="R4" s="1" t="s">
        <v>48</v>
      </c>
      <c r="U4" s="1">
        <v>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 spans="1:32" x14ac:dyDescent="0.25">
      <c r="A5" s="1">
        <v>4</v>
      </c>
      <c r="B5" s="1" t="s">
        <v>49</v>
      </c>
      <c r="C5" s="1" t="s">
        <v>43</v>
      </c>
      <c r="D5" s="1" t="s">
        <v>50</v>
      </c>
      <c r="F5" s="1" t="s">
        <v>45</v>
      </c>
      <c r="G5" s="3">
        <v>46160</v>
      </c>
      <c r="H5" s="3">
        <v>46160</v>
      </c>
      <c r="J5" s="4">
        <v>1</v>
      </c>
      <c r="K5" s="3">
        <v>46160</v>
      </c>
      <c r="L5" s="1" t="s">
        <v>46</v>
      </c>
      <c r="M5" s="1" t="s">
        <v>47</v>
      </c>
      <c r="N5" s="1" t="s">
        <v>51</v>
      </c>
      <c r="O5" s="1" t="s">
        <v>52</v>
      </c>
      <c r="P5" s="5">
        <v>46141</v>
      </c>
      <c r="Q5" s="1" t="s">
        <v>38</v>
      </c>
      <c r="U5" s="1">
        <v>1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 spans="1:32" x14ac:dyDescent="0.25">
      <c r="A6" s="1">
        <v>5</v>
      </c>
      <c r="B6" s="1" t="s">
        <v>53</v>
      </c>
      <c r="C6" s="1" t="s">
        <v>54</v>
      </c>
      <c r="D6" s="1" t="s">
        <v>55</v>
      </c>
      <c r="F6" s="1" t="s">
        <v>45</v>
      </c>
      <c r="G6" s="3">
        <v>46160</v>
      </c>
      <c r="H6" s="3">
        <v>46160</v>
      </c>
      <c r="I6" s="1">
        <v>3</v>
      </c>
      <c r="J6" s="4">
        <v>1</v>
      </c>
      <c r="K6" s="3">
        <v>46160</v>
      </c>
      <c r="L6" s="1" t="s">
        <v>46</v>
      </c>
      <c r="M6" s="1" t="s">
        <v>47</v>
      </c>
      <c r="N6" s="1" t="s">
        <v>51</v>
      </c>
      <c r="O6" s="1" t="s">
        <v>52</v>
      </c>
      <c r="P6" s="5">
        <v>46141</v>
      </c>
      <c r="Q6" s="1" t="s">
        <v>38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 spans="1:32" x14ac:dyDescent="0.25">
      <c r="A7" s="1">
        <v>6</v>
      </c>
      <c r="B7" s="1" t="s">
        <v>56</v>
      </c>
      <c r="C7" s="1" t="s">
        <v>43</v>
      </c>
      <c r="D7" s="1" t="s">
        <v>57</v>
      </c>
      <c r="F7" s="1" t="s">
        <v>58</v>
      </c>
      <c r="G7" s="3">
        <v>46174</v>
      </c>
      <c r="H7" s="3">
        <v>46381</v>
      </c>
      <c r="J7" s="4">
        <v>0.79</v>
      </c>
      <c r="L7" s="1" t="s">
        <v>34</v>
      </c>
      <c r="M7" s="1" t="s">
        <v>35</v>
      </c>
      <c r="N7" s="1" t="s">
        <v>59</v>
      </c>
      <c r="O7" s="1" t="s">
        <v>37</v>
      </c>
      <c r="P7" s="5">
        <v>46161</v>
      </c>
      <c r="Q7" s="1" t="s">
        <v>38</v>
      </c>
      <c r="U7" s="1">
        <v>0.79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 spans="1:32" x14ac:dyDescent="0.25">
      <c r="A8" s="1">
        <v>7</v>
      </c>
      <c r="B8" s="1" t="s">
        <v>60</v>
      </c>
      <c r="C8" s="1" t="s">
        <v>61</v>
      </c>
      <c r="D8" s="1" t="s">
        <v>62</v>
      </c>
      <c r="E8" s="1" t="s">
        <v>63</v>
      </c>
      <c r="F8" s="1" t="s">
        <v>58</v>
      </c>
      <c r="G8" s="3">
        <v>46174</v>
      </c>
      <c r="H8" s="3">
        <v>46381</v>
      </c>
      <c r="J8" s="4">
        <v>0.7</v>
      </c>
      <c r="L8" s="1" t="s">
        <v>64</v>
      </c>
      <c r="M8" s="1" t="s">
        <v>35</v>
      </c>
      <c r="N8" s="1" t="s">
        <v>59</v>
      </c>
      <c r="O8" s="1" t="s">
        <v>37</v>
      </c>
      <c r="P8" s="5">
        <v>46161</v>
      </c>
      <c r="Q8" s="1" t="s">
        <v>38</v>
      </c>
      <c r="S8" s="1" t="s">
        <v>65</v>
      </c>
      <c r="U8" s="1">
        <v>0.7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 spans="1:32" x14ac:dyDescent="0.25">
      <c r="A9" s="1">
        <v>8</v>
      </c>
      <c r="B9" s="1" t="s">
        <v>66</v>
      </c>
      <c r="C9" s="1" t="s">
        <v>67</v>
      </c>
      <c r="D9" s="1" t="s">
        <v>68</v>
      </c>
      <c r="F9" s="1" t="s">
        <v>69</v>
      </c>
      <c r="G9" s="3">
        <v>46174</v>
      </c>
      <c r="H9" s="3">
        <v>46175</v>
      </c>
      <c r="I9" s="1" t="s">
        <v>70</v>
      </c>
      <c r="J9" s="4">
        <v>1</v>
      </c>
      <c r="K9" s="3">
        <v>46175</v>
      </c>
      <c r="L9" s="1" t="s">
        <v>46</v>
      </c>
      <c r="M9" s="1" t="s">
        <v>47</v>
      </c>
      <c r="N9" s="1" t="s">
        <v>59</v>
      </c>
      <c r="O9" s="1" t="s">
        <v>37</v>
      </c>
      <c r="P9" s="5">
        <v>46141</v>
      </c>
      <c r="Q9" s="1" t="s">
        <v>38</v>
      </c>
      <c r="R9" s="1" t="s">
        <v>71</v>
      </c>
      <c r="U9" s="1">
        <v>1</v>
      </c>
      <c r="V9" s="1">
        <v>1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1</v>
      </c>
    </row>
    <row r="10" spans="1:32" x14ac:dyDescent="0.25">
      <c r="A10" s="1">
        <v>9</v>
      </c>
      <c r="B10" s="1" t="s">
        <v>72</v>
      </c>
      <c r="C10" s="1" t="s">
        <v>67</v>
      </c>
      <c r="D10" s="1" t="s">
        <v>73</v>
      </c>
      <c r="F10" s="1" t="s">
        <v>74</v>
      </c>
      <c r="G10" s="3">
        <v>46176</v>
      </c>
      <c r="H10" s="3">
        <v>46176</v>
      </c>
      <c r="I10" s="1">
        <v>8</v>
      </c>
      <c r="J10" s="4">
        <v>1</v>
      </c>
      <c r="K10" s="3">
        <v>46176</v>
      </c>
      <c r="L10" s="1" t="s">
        <v>46</v>
      </c>
      <c r="M10" s="1" t="s">
        <v>47</v>
      </c>
      <c r="N10" s="1" t="s">
        <v>59</v>
      </c>
      <c r="O10" s="1" t="s">
        <v>75</v>
      </c>
      <c r="P10" s="5">
        <v>46142</v>
      </c>
      <c r="Q10" s="1" t="s">
        <v>38</v>
      </c>
      <c r="R10" s="1" t="s">
        <v>76</v>
      </c>
      <c r="U10" s="1">
        <v>1</v>
      </c>
      <c r="V10" s="1">
        <v>0</v>
      </c>
      <c r="W10" s="1">
        <v>0</v>
      </c>
      <c r="X10" s="1">
        <v>0</v>
      </c>
      <c r="Y10" s="1">
        <v>0</v>
      </c>
      <c r="Z10" s="1">
        <v>1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 spans="1:32" x14ac:dyDescent="0.25">
      <c r="A11" s="1">
        <v>10</v>
      </c>
      <c r="B11" s="1" t="s">
        <v>77</v>
      </c>
      <c r="C11" s="1" t="s">
        <v>67</v>
      </c>
      <c r="D11" s="1" t="s">
        <v>78</v>
      </c>
      <c r="F11" s="1" t="s">
        <v>74</v>
      </c>
      <c r="G11" s="3">
        <v>46373</v>
      </c>
      <c r="H11" s="3">
        <v>46377</v>
      </c>
      <c r="I11" s="1" t="s">
        <v>79</v>
      </c>
      <c r="J11" s="4">
        <v>0.5</v>
      </c>
      <c r="L11" s="1" t="s">
        <v>80</v>
      </c>
      <c r="M11" s="1" t="s">
        <v>35</v>
      </c>
      <c r="N11" s="1" t="s">
        <v>59</v>
      </c>
      <c r="O11" s="1" t="s">
        <v>81</v>
      </c>
      <c r="P11" s="5">
        <v>46155</v>
      </c>
      <c r="Q11" s="1" t="s">
        <v>38</v>
      </c>
      <c r="R11" s="1" t="s">
        <v>82</v>
      </c>
      <c r="U11" s="1">
        <v>0.5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 spans="1:32" x14ac:dyDescent="0.25">
      <c r="A12" s="1">
        <v>11</v>
      </c>
      <c r="B12" s="1" t="s">
        <v>83</v>
      </c>
      <c r="C12" s="1" t="s">
        <v>67</v>
      </c>
      <c r="D12" s="1" t="s">
        <v>84</v>
      </c>
      <c r="F12" s="1" t="s">
        <v>74</v>
      </c>
      <c r="G12" s="3">
        <v>46380</v>
      </c>
      <c r="H12" s="3">
        <v>46381</v>
      </c>
      <c r="I12" s="1" t="s">
        <v>85</v>
      </c>
      <c r="J12" s="4">
        <v>0</v>
      </c>
      <c r="L12" s="1" t="s">
        <v>80</v>
      </c>
      <c r="M12" s="1" t="s">
        <v>35</v>
      </c>
      <c r="N12" s="1" t="s">
        <v>59</v>
      </c>
      <c r="O12" s="1" t="s">
        <v>86</v>
      </c>
      <c r="P12" s="5">
        <v>46161</v>
      </c>
      <c r="Q12" s="1" t="s">
        <v>38</v>
      </c>
      <c r="U12" s="1">
        <v>0</v>
      </c>
      <c r="V12" s="1">
        <v>0</v>
      </c>
      <c r="W12" s="1">
        <v>0</v>
      </c>
      <c r="X12" s="1">
        <v>0</v>
      </c>
      <c r="Y12" s="1">
        <v>1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 spans="1:32" x14ac:dyDescent="0.25">
      <c r="A13" s="1">
        <v>12</v>
      </c>
      <c r="B13" s="1" t="s">
        <v>87</v>
      </c>
      <c r="C13" s="1" t="s">
        <v>61</v>
      </c>
      <c r="D13" s="1" t="s">
        <v>88</v>
      </c>
      <c r="E13" s="1" t="s">
        <v>89</v>
      </c>
      <c r="F13" s="1" t="s">
        <v>90</v>
      </c>
      <c r="G13" s="3">
        <v>46176</v>
      </c>
      <c r="H13" s="3">
        <v>46197</v>
      </c>
      <c r="J13" s="4">
        <v>0.81</v>
      </c>
      <c r="L13" s="1" t="s">
        <v>34</v>
      </c>
      <c r="M13" s="1" t="s">
        <v>47</v>
      </c>
      <c r="N13" s="1" t="s">
        <v>59</v>
      </c>
      <c r="O13" s="1" t="s">
        <v>75</v>
      </c>
      <c r="P13" s="5">
        <v>46161</v>
      </c>
      <c r="Q13" s="1" t="s">
        <v>38</v>
      </c>
      <c r="S13" s="1" t="s">
        <v>65</v>
      </c>
      <c r="U13" s="1">
        <v>0.81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 spans="1:32" x14ac:dyDescent="0.25">
      <c r="A14" s="1">
        <v>13</v>
      </c>
      <c r="B14" s="1" t="s">
        <v>91</v>
      </c>
      <c r="C14" s="1" t="s">
        <v>92</v>
      </c>
      <c r="D14" s="1" t="s">
        <v>68</v>
      </c>
      <c r="F14" s="1" t="s">
        <v>93</v>
      </c>
      <c r="G14" s="3">
        <v>46176</v>
      </c>
      <c r="H14" s="3">
        <v>46178</v>
      </c>
      <c r="I14" s="1">
        <v>8</v>
      </c>
      <c r="J14" s="4">
        <v>1</v>
      </c>
      <c r="K14" s="3">
        <v>46178</v>
      </c>
      <c r="L14" s="1" t="s">
        <v>46</v>
      </c>
      <c r="M14" s="1" t="s">
        <v>47</v>
      </c>
      <c r="N14" s="1" t="s">
        <v>59</v>
      </c>
      <c r="O14" s="1" t="s">
        <v>94</v>
      </c>
      <c r="P14" s="5">
        <v>46178</v>
      </c>
      <c r="Q14" s="1" t="s">
        <v>38</v>
      </c>
      <c r="R14" s="1" t="s">
        <v>95</v>
      </c>
      <c r="U14" s="1">
        <v>1</v>
      </c>
      <c r="V14" s="1">
        <v>1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1</v>
      </c>
    </row>
    <row r="15" spans="1:32" x14ac:dyDescent="0.25">
      <c r="A15" s="1">
        <v>14</v>
      </c>
      <c r="B15" s="1" t="s">
        <v>96</v>
      </c>
      <c r="C15" s="1" t="s">
        <v>92</v>
      </c>
      <c r="D15" s="1" t="s">
        <v>73</v>
      </c>
      <c r="F15" s="1" t="s">
        <v>93</v>
      </c>
      <c r="G15" s="3">
        <v>46181</v>
      </c>
      <c r="H15" s="3">
        <v>46183</v>
      </c>
      <c r="I15" s="1">
        <v>13</v>
      </c>
      <c r="J15" s="4">
        <v>1</v>
      </c>
      <c r="K15" s="3">
        <v>46183</v>
      </c>
      <c r="L15" s="1" t="s">
        <v>46</v>
      </c>
      <c r="M15" s="1" t="s">
        <v>47</v>
      </c>
      <c r="N15" s="1" t="s">
        <v>59</v>
      </c>
      <c r="O15" s="1" t="s">
        <v>97</v>
      </c>
      <c r="P15" s="5">
        <v>46183</v>
      </c>
      <c r="Q15" s="1" t="s">
        <v>38</v>
      </c>
      <c r="R15" s="1" t="s">
        <v>98</v>
      </c>
      <c r="U15" s="1">
        <v>1</v>
      </c>
      <c r="V15" s="1">
        <v>0</v>
      </c>
      <c r="W15" s="1">
        <v>0</v>
      </c>
      <c r="X15" s="1">
        <v>0</v>
      </c>
      <c r="Y15" s="1">
        <v>0</v>
      </c>
      <c r="Z15" s="1">
        <v>1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</row>
    <row r="16" spans="1:32" x14ac:dyDescent="0.25">
      <c r="A16" s="1">
        <v>15</v>
      </c>
      <c r="B16" s="1" t="s">
        <v>99</v>
      </c>
      <c r="C16" s="1" t="s">
        <v>92</v>
      </c>
      <c r="D16" s="1" t="s">
        <v>78</v>
      </c>
      <c r="F16" s="1" t="s">
        <v>74</v>
      </c>
      <c r="G16" s="3">
        <v>46196</v>
      </c>
      <c r="H16" s="3">
        <v>46196</v>
      </c>
      <c r="I16" s="1" t="s">
        <v>100</v>
      </c>
      <c r="J16" s="4">
        <v>0.5</v>
      </c>
      <c r="L16" s="1" t="s">
        <v>34</v>
      </c>
      <c r="M16" s="1" t="s">
        <v>47</v>
      </c>
      <c r="N16" s="1" t="s">
        <v>59</v>
      </c>
      <c r="O16" s="1" t="s">
        <v>101</v>
      </c>
      <c r="P16" s="5">
        <v>46196</v>
      </c>
      <c r="Q16" s="1" t="s">
        <v>38</v>
      </c>
      <c r="R16" s="1">
        <v>16</v>
      </c>
      <c r="U16" s="1">
        <v>0.5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</v>
      </c>
      <c r="AD16" s="1">
        <v>0</v>
      </c>
      <c r="AE16" s="1">
        <v>0</v>
      </c>
      <c r="AF16" s="1">
        <v>0</v>
      </c>
    </row>
    <row r="17" spans="1:32" x14ac:dyDescent="0.25">
      <c r="A17" s="1">
        <v>16</v>
      </c>
      <c r="B17" s="1" t="s">
        <v>102</v>
      </c>
      <c r="C17" s="1" t="s">
        <v>92</v>
      </c>
      <c r="D17" s="1" t="s">
        <v>84</v>
      </c>
      <c r="F17" s="1" t="s">
        <v>74</v>
      </c>
      <c r="G17" s="3">
        <v>46197</v>
      </c>
      <c r="H17" s="3">
        <v>46197</v>
      </c>
      <c r="I17" s="1">
        <v>15</v>
      </c>
      <c r="J17" s="4">
        <v>0</v>
      </c>
      <c r="L17" s="1" t="s">
        <v>34</v>
      </c>
      <c r="M17" s="1" t="s">
        <v>47</v>
      </c>
      <c r="N17" s="1" t="s">
        <v>59</v>
      </c>
      <c r="O17" s="1" t="s">
        <v>103</v>
      </c>
      <c r="P17" s="5">
        <v>46197</v>
      </c>
      <c r="Q17" s="1" t="s">
        <v>38</v>
      </c>
      <c r="U17" s="1">
        <v>0</v>
      </c>
      <c r="V17" s="1">
        <v>0</v>
      </c>
      <c r="W17" s="1">
        <v>0</v>
      </c>
      <c r="X17" s="1">
        <v>0</v>
      </c>
      <c r="Y17" s="1">
        <v>1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1</v>
      </c>
      <c r="AF17" s="1">
        <v>0</v>
      </c>
    </row>
    <row r="18" spans="1:32" x14ac:dyDescent="0.25">
      <c r="A18" s="1">
        <v>17</v>
      </c>
      <c r="B18" s="1" t="s">
        <v>104</v>
      </c>
      <c r="C18" s="1" t="s">
        <v>61</v>
      </c>
      <c r="D18" s="1" t="s">
        <v>105</v>
      </c>
      <c r="E18" s="1" t="s">
        <v>106</v>
      </c>
      <c r="F18" s="1" t="s">
        <v>90</v>
      </c>
      <c r="G18" s="3">
        <v>46176</v>
      </c>
      <c r="H18" s="3">
        <v>46197</v>
      </c>
      <c r="J18" s="4">
        <v>0.81</v>
      </c>
      <c r="L18" s="1" t="s">
        <v>34</v>
      </c>
      <c r="M18" s="1" t="s">
        <v>47</v>
      </c>
      <c r="N18" s="1" t="s">
        <v>59</v>
      </c>
      <c r="O18" s="1" t="s">
        <v>75</v>
      </c>
      <c r="P18" s="5">
        <v>46161</v>
      </c>
      <c r="Q18" s="1" t="s">
        <v>38</v>
      </c>
      <c r="U18" s="1">
        <v>0.81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 spans="1:32" x14ac:dyDescent="0.25">
      <c r="A19" s="1">
        <v>18</v>
      </c>
      <c r="B19" s="1" t="s">
        <v>107</v>
      </c>
      <c r="C19" s="1" t="s">
        <v>108</v>
      </c>
      <c r="D19" s="1" t="s">
        <v>68</v>
      </c>
      <c r="F19" s="1" t="s">
        <v>93</v>
      </c>
      <c r="G19" s="3">
        <v>46176</v>
      </c>
      <c r="H19" s="3">
        <v>46178</v>
      </c>
      <c r="I19" s="1">
        <v>8</v>
      </c>
      <c r="J19" s="4">
        <v>1</v>
      </c>
      <c r="K19" s="3">
        <v>46178</v>
      </c>
      <c r="L19" s="1" t="s">
        <v>46</v>
      </c>
      <c r="M19" s="1" t="s">
        <v>47</v>
      </c>
      <c r="N19" s="1" t="s">
        <v>59</v>
      </c>
      <c r="O19" s="1" t="s">
        <v>75</v>
      </c>
      <c r="P19" s="5">
        <v>46146</v>
      </c>
      <c r="Q19" s="1" t="s">
        <v>38</v>
      </c>
      <c r="R19" s="1" t="s">
        <v>109</v>
      </c>
      <c r="U19" s="1">
        <v>1</v>
      </c>
      <c r="V19" s="1">
        <v>1</v>
      </c>
      <c r="W19" s="1">
        <v>1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1</v>
      </c>
    </row>
    <row r="20" spans="1:32" x14ac:dyDescent="0.25">
      <c r="A20" s="1">
        <v>19</v>
      </c>
      <c r="B20" s="1" t="s">
        <v>110</v>
      </c>
      <c r="C20" s="1" t="s">
        <v>108</v>
      </c>
      <c r="D20" s="1" t="s">
        <v>73</v>
      </c>
      <c r="F20" s="1" t="s">
        <v>93</v>
      </c>
      <c r="G20" s="3">
        <v>46181</v>
      </c>
      <c r="H20" s="3">
        <v>46183</v>
      </c>
      <c r="I20" s="1">
        <v>18</v>
      </c>
      <c r="J20" s="4">
        <v>1</v>
      </c>
      <c r="K20" s="3">
        <v>46183</v>
      </c>
      <c r="L20" s="1" t="s">
        <v>46</v>
      </c>
      <c r="M20" s="1" t="s">
        <v>47</v>
      </c>
      <c r="N20" s="1" t="s">
        <v>59</v>
      </c>
      <c r="O20" s="1" t="s">
        <v>111</v>
      </c>
      <c r="P20" s="5">
        <v>46147</v>
      </c>
      <c r="Q20" s="1" t="s">
        <v>38</v>
      </c>
      <c r="R20" s="1" t="s">
        <v>112</v>
      </c>
      <c r="U20" s="1">
        <v>1</v>
      </c>
      <c r="V20" s="1">
        <v>0</v>
      </c>
      <c r="W20" s="1">
        <v>0</v>
      </c>
      <c r="X20" s="1">
        <v>0</v>
      </c>
      <c r="Y20" s="1">
        <v>0</v>
      </c>
      <c r="Z20" s="1">
        <v>1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</row>
    <row r="21" spans="1:32" x14ac:dyDescent="0.25">
      <c r="A21" s="1">
        <v>20</v>
      </c>
      <c r="B21" s="1" t="s">
        <v>113</v>
      </c>
      <c r="C21" s="1" t="s">
        <v>108</v>
      </c>
      <c r="D21" s="1" t="s">
        <v>78</v>
      </c>
      <c r="F21" s="1" t="s">
        <v>74</v>
      </c>
      <c r="G21" s="3">
        <v>46196</v>
      </c>
      <c r="H21" s="3">
        <v>46196</v>
      </c>
      <c r="I21" s="1" t="s">
        <v>114</v>
      </c>
      <c r="J21" s="4">
        <v>0.5</v>
      </c>
      <c r="L21" s="1" t="s">
        <v>34</v>
      </c>
      <c r="M21" s="1" t="s">
        <v>47</v>
      </c>
      <c r="N21" s="1" t="s">
        <v>59</v>
      </c>
      <c r="O21" s="1" t="s">
        <v>115</v>
      </c>
      <c r="P21" s="5">
        <v>46160</v>
      </c>
      <c r="Q21" s="1" t="s">
        <v>38</v>
      </c>
      <c r="R21" s="1">
        <v>21</v>
      </c>
      <c r="U21" s="1">
        <v>0.5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1</v>
      </c>
      <c r="AD21" s="1">
        <v>0</v>
      </c>
      <c r="AE21" s="1">
        <v>0</v>
      </c>
      <c r="AF21" s="1">
        <v>0</v>
      </c>
    </row>
    <row r="22" spans="1:32" x14ac:dyDescent="0.25">
      <c r="A22" s="1">
        <v>21</v>
      </c>
      <c r="B22" s="1" t="s">
        <v>116</v>
      </c>
      <c r="C22" s="1" t="s">
        <v>108</v>
      </c>
      <c r="D22" s="1" t="s">
        <v>84</v>
      </c>
      <c r="F22" s="1" t="s">
        <v>74</v>
      </c>
      <c r="G22" s="3">
        <v>46197</v>
      </c>
      <c r="H22" s="3">
        <v>46197</v>
      </c>
      <c r="I22" s="1">
        <v>20</v>
      </c>
      <c r="J22" s="4">
        <v>0</v>
      </c>
      <c r="L22" s="1" t="s">
        <v>34</v>
      </c>
      <c r="M22" s="1" t="s">
        <v>47</v>
      </c>
      <c r="N22" s="1" t="s">
        <v>59</v>
      </c>
      <c r="O22" s="1" t="s">
        <v>117</v>
      </c>
      <c r="P22" s="5">
        <v>46161</v>
      </c>
      <c r="Q22" s="1" t="s">
        <v>38</v>
      </c>
      <c r="U22" s="1">
        <v>0</v>
      </c>
      <c r="V22" s="1">
        <v>0</v>
      </c>
      <c r="W22" s="1">
        <v>0</v>
      </c>
      <c r="X22" s="1">
        <v>0</v>
      </c>
      <c r="Y22" s="1">
        <v>1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1</v>
      </c>
      <c r="AF22" s="1">
        <v>0</v>
      </c>
    </row>
    <row r="23" spans="1:32" x14ac:dyDescent="0.25">
      <c r="A23" s="1">
        <v>22</v>
      </c>
      <c r="B23" s="1" t="s">
        <v>118</v>
      </c>
      <c r="C23" s="1" t="s">
        <v>43</v>
      </c>
      <c r="D23" s="1" t="s">
        <v>119</v>
      </c>
      <c r="F23" s="1" t="s">
        <v>120</v>
      </c>
      <c r="G23" s="3">
        <v>46174</v>
      </c>
      <c r="H23" s="3">
        <v>46225</v>
      </c>
      <c r="J23" s="4">
        <v>0.4</v>
      </c>
      <c r="L23" s="1" t="s">
        <v>34</v>
      </c>
      <c r="M23" s="1" t="s">
        <v>47</v>
      </c>
      <c r="N23" s="1" t="s">
        <v>121</v>
      </c>
      <c r="O23" s="1" t="s">
        <v>37</v>
      </c>
      <c r="P23" s="5">
        <v>46211</v>
      </c>
      <c r="Q23" s="1" t="s">
        <v>38</v>
      </c>
      <c r="U23" s="1">
        <v>0.4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</row>
    <row r="24" spans="1:32" x14ac:dyDescent="0.25">
      <c r="A24" s="1">
        <v>23</v>
      </c>
      <c r="B24" s="1" t="s">
        <v>122</v>
      </c>
      <c r="C24" s="1" t="s">
        <v>123</v>
      </c>
      <c r="D24" s="1" t="s">
        <v>124</v>
      </c>
      <c r="E24" s="1" t="s">
        <v>125</v>
      </c>
      <c r="F24" s="1" t="s">
        <v>126</v>
      </c>
      <c r="G24" s="3">
        <v>46195</v>
      </c>
      <c r="H24" s="3">
        <v>46203</v>
      </c>
      <c r="J24" s="4">
        <v>0</v>
      </c>
      <c r="L24" s="1" t="s">
        <v>34</v>
      </c>
      <c r="M24" s="1" t="s">
        <v>47</v>
      </c>
      <c r="N24" s="1" t="s">
        <v>121</v>
      </c>
      <c r="O24" s="1" t="s">
        <v>127</v>
      </c>
      <c r="P24" s="5">
        <v>46192</v>
      </c>
      <c r="Q24" s="1" t="s">
        <v>38</v>
      </c>
      <c r="S24" s="1" t="s">
        <v>65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</row>
    <row r="25" spans="1:32" x14ac:dyDescent="0.25">
      <c r="A25" s="1">
        <v>24</v>
      </c>
      <c r="B25" s="1" t="s">
        <v>128</v>
      </c>
      <c r="C25" s="1" t="s">
        <v>129</v>
      </c>
      <c r="D25" s="1" t="s">
        <v>68</v>
      </c>
      <c r="F25" s="1" t="s">
        <v>93</v>
      </c>
      <c r="G25" s="3">
        <v>46195</v>
      </c>
      <c r="H25" s="3">
        <v>46197</v>
      </c>
      <c r="J25" s="4">
        <v>0</v>
      </c>
      <c r="L25" s="1" t="s">
        <v>34</v>
      </c>
      <c r="M25" s="1" t="s">
        <v>47</v>
      </c>
      <c r="N25" s="1" t="s">
        <v>121</v>
      </c>
      <c r="O25" s="1" t="s">
        <v>127</v>
      </c>
      <c r="P25" s="5">
        <v>46188</v>
      </c>
      <c r="Q25" s="1" t="s">
        <v>38</v>
      </c>
      <c r="R25" s="1">
        <v>25</v>
      </c>
      <c r="U25" s="1">
        <v>0</v>
      </c>
      <c r="V25" s="1">
        <v>1</v>
      </c>
      <c r="W25" s="1">
        <v>0</v>
      </c>
      <c r="X25" s="1">
        <v>1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</row>
    <row r="26" spans="1:32" x14ac:dyDescent="0.25">
      <c r="A26" s="1">
        <v>25</v>
      </c>
      <c r="B26" s="1" t="s">
        <v>130</v>
      </c>
      <c r="C26" s="1" t="s">
        <v>129</v>
      </c>
      <c r="D26" s="1" t="s">
        <v>73</v>
      </c>
      <c r="F26" s="1" t="s">
        <v>74</v>
      </c>
      <c r="G26" s="3">
        <v>46198</v>
      </c>
      <c r="H26" s="3">
        <v>46198</v>
      </c>
      <c r="I26" s="1">
        <v>24</v>
      </c>
      <c r="J26" s="4">
        <v>0</v>
      </c>
      <c r="L26" s="1" t="s">
        <v>34</v>
      </c>
      <c r="M26" s="1" t="s">
        <v>47</v>
      </c>
      <c r="N26" s="1" t="s">
        <v>121</v>
      </c>
      <c r="O26" s="1" t="s">
        <v>131</v>
      </c>
      <c r="P26" s="5">
        <v>46189</v>
      </c>
      <c r="Q26" s="1" t="s">
        <v>38</v>
      </c>
      <c r="R26" s="1">
        <v>26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1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</row>
    <row r="27" spans="1:32" x14ac:dyDescent="0.25">
      <c r="A27" s="1">
        <v>26</v>
      </c>
      <c r="B27" s="1" t="s">
        <v>132</v>
      </c>
      <c r="C27" s="1" t="s">
        <v>129</v>
      </c>
      <c r="D27" s="1" t="s">
        <v>78</v>
      </c>
      <c r="F27" s="1" t="s">
        <v>69</v>
      </c>
      <c r="G27" s="3">
        <v>46199</v>
      </c>
      <c r="H27" s="3">
        <v>46202</v>
      </c>
      <c r="I27" s="1">
        <v>25</v>
      </c>
      <c r="J27" s="4">
        <v>0</v>
      </c>
      <c r="L27" s="1" t="s">
        <v>34</v>
      </c>
      <c r="M27" s="1" t="s">
        <v>47</v>
      </c>
      <c r="N27" s="1" t="s">
        <v>121</v>
      </c>
      <c r="O27" s="1" t="s">
        <v>133</v>
      </c>
      <c r="P27" s="5">
        <v>46191</v>
      </c>
      <c r="Q27" s="1" t="s">
        <v>38</v>
      </c>
      <c r="R27" s="1">
        <v>27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1</v>
      </c>
      <c r="AD27" s="1">
        <v>0</v>
      </c>
      <c r="AE27" s="1">
        <v>0</v>
      </c>
      <c r="AF27" s="1">
        <v>0</v>
      </c>
    </row>
    <row r="28" spans="1:32" x14ac:dyDescent="0.25">
      <c r="A28" s="1">
        <v>27</v>
      </c>
      <c r="B28" s="1" t="s">
        <v>134</v>
      </c>
      <c r="C28" s="1" t="s">
        <v>129</v>
      </c>
      <c r="D28" s="1" t="s">
        <v>84</v>
      </c>
      <c r="F28" s="1" t="s">
        <v>74</v>
      </c>
      <c r="G28" s="3">
        <v>46203</v>
      </c>
      <c r="H28" s="3">
        <v>46203</v>
      </c>
      <c r="I28" s="1">
        <v>26</v>
      </c>
      <c r="J28" s="4">
        <v>0</v>
      </c>
      <c r="L28" s="1" t="s">
        <v>34</v>
      </c>
      <c r="M28" s="1" t="s">
        <v>47</v>
      </c>
      <c r="N28" s="1" t="s">
        <v>121</v>
      </c>
      <c r="O28" s="1" t="s">
        <v>135</v>
      </c>
      <c r="P28" s="5">
        <v>46192</v>
      </c>
      <c r="Q28" s="1" t="s">
        <v>38</v>
      </c>
      <c r="U28" s="1">
        <v>0</v>
      </c>
      <c r="V28" s="1">
        <v>0</v>
      </c>
      <c r="W28" s="1">
        <v>0</v>
      </c>
      <c r="X28" s="1">
        <v>0</v>
      </c>
      <c r="Y28" s="1">
        <v>1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1</v>
      </c>
      <c r="AF28" s="1">
        <v>0</v>
      </c>
    </row>
    <row r="29" spans="1:32" x14ac:dyDescent="0.25">
      <c r="A29" s="1">
        <v>28</v>
      </c>
      <c r="B29" s="1" t="s">
        <v>136</v>
      </c>
      <c r="C29" s="1" t="s">
        <v>123</v>
      </c>
      <c r="D29" s="1" t="s">
        <v>137</v>
      </c>
      <c r="E29" s="1" t="s">
        <v>138</v>
      </c>
      <c r="F29" s="1" t="s">
        <v>139</v>
      </c>
      <c r="G29" s="3">
        <v>46199</v>
      </c>
      <c r="H29" s="3">
        <v>46204</v>
      </c>
      <c r="J29" s="4">
        <v>0</v>
      </c>
      <c r="L29" s="1" t="s">
        <v>34</v>
      </c>
      <c r="M29" s="1" t="s">
        <v>47</v>
      </c>
      <c r="N29" s="1" t="s">
        <v>121</v>
      </c>
      <c r="O29" s="1" t="s">
        <v>140</v>
      </c>
      <c r="P29" s="5">
        <v>46211</v>
      </c>
      <c r="Q29" s="1" t="s">
        <v>38</v>
      </c>
      <c r="S29" s="1" t="s">
        <v>65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</row>
    <row r="30" spans="1:32" x14ac:dyDescent="0.25">
      <c r="A30" s="1">
        <v>29</v>
      </c>
      <c r="B30" s="1" t="s">
        <v>141</v>
      </c>
      <c r="C30" s="1" t="s">
        <v>142</v>
      </c>
      <c r="D30" s="1" t="s">
        <v>68</v>
      </c>
      <c r="F30" s="1" t="s">
        <v>74</v>
      </c>
      <c r="G30" s="3">
        <v>46199</v>
      </c>
      <c r="H30" s="3">
        <v>46201</v>
      </c>
      <c r="J30" s="4">
        <v>0</v>
      </c>
      <c r="L30" s="1" t="s">
        <v>34</v>
      </c>
      <c r="M30" s="1" t="s">
        <v>47</v>
      </c>
      <c r="N30" s="1" t="s">
        <v>121</v>
      </c>
      <c r="O30" s="1" t="s">
        <v>140</v>
      </c>
      <c r="P30" s="5">
        <v>46205</v>
      </c>
      <c r="R30" s="1">
        <v>30</v>
      </c>
      <c r="U30" s="1">
        <v>0</v>
      </c>
      <c r="V30" s="1">
        <v>1</v>
      </c>
      <c r="W30" s="1">
        <v>0</v>
      </c>
      <c r="X30" s="1">
        <v>1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</row>
    <row r="31" spans="1:32" x14ac:dyDescent="0.25">
      <c r="A31" s="1">
        <v>30</v>
      </c>
      <c r="B31" s="1" t="s">
        <v>143</v>
      </c>
      <c r="C31" s="1" t="s">
        <v>142</v>
      </c>
      <c r="D31" s="1" t="s">
        <v>73</v>
      </c>
      <c r="F31" s="1" t="s">
        <v>74</v>
      </c>
      <c r="G31" s="3">
        <v>46202</v>
      </c>
      <c r="H31" s="3">
        <v>46202</v>
      </c>
      <c r="I31" s="1">
        <v>29</v>
      </c>
      <c r="J31" s="4">
        <v>0</v>
      </c>
      <c r="L31" s="1" t="s">
        <v>34</v>
      </c>
      <c r="M31" s="1" t="s">
        <v>47</v>
      </c>
      <c r="N31" s="1" t="s">
        <v>121</v>
      </c>
      <c r="O31" s="1" t="s">
        <v>144</v>
      </c>
      <c r="P31" s="5">
        <v>46206</v>
      </c>
      <c r="R31" s="1">
        <v>31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1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</row>
    <row r="32" spans="1:32" x14ac:dyDescent="0.25">
      <c r="A32" s="1">
        <v>31</v>
      </c>
      <c r="B32" s="1" t="s">
        <v>145</v>
      </c>
      <c r="C32" s="1" t="s">
        <v>142</v>
      </c>
      <c r="D32" s="1" t="s">
        <v>78</v>
      </c>
      <c r="F32" s="1" t="s">
        <v>74</v>
      </c>
      <c r="G32" s="3">
        <v>46203</v>
      </c>
      <c r="H32" s="3">
        <v>46203</v>
      </c>
      <c r="I32" s="1">
        <v>30</v>
      </c>
      <c r="J32" s="4">
        <v>0</v>
      </c>
      <c r="L32" s="1" t="s">
        <v>34</v>
      </c>
      <c r="M32" s="1" t="s">
        <v>47</v>
      </c>
      <c r="N32" s="1" t="s">
        <v>121</v>
      </c>
      <c r="O32" s="1" t="s">
        <v>146</v>
      </c>
      <c r="P32" s="5">
        <v>46210</v>
      </c>
      <c r="R32" s="1">
        <v>32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1</v>
      </c>
      <c r="AD32" s="1">
        <v>0</v>
      </c>
      <c r="AE32" s="1">
        <v>0</v>
      </c>
      <c r="AF32" s="1">
        <v>0</v>
      </c>
    </row>
    <row r="33" spans="1:32" x14ac:dyDescent="0.25">
      <c r="A33" s="1">
        <v>32</v>
      </c>
      <c r="B33" s="1" t="s">
        <v>147</v>
      </c>
      <c r="C33" s="1" t="s">
        <v>142</v>
      </c>
      <c r="D33" s="1" t="s">
        <v>84</v>
      </c>
      <c r="F33" s="1" t="s">
        <v>74</v>
      </c>
      <c r="G33" s="3">
        <v>46204</v>
      </c>
      <c r="H33" s="3">
        <v>46204</v>
      </c>
      <c r="I33" s="1">
        <v>31</v>
      </c>
      <c r="J33" s="4">
        <v>0</v>
      </c>
      <c r="L33" s="1" t="s">
        <v>34</v>
      </c>
      <c r="M33" s="1" t="s">
        <v>47</v>
      </c>
      <c r="N33" s="1" t="s">
        <v>121</v>
      </c>
      <c r="O33" s="1" t="s">
        <v>148</v>
      </c>
      <c r="P33" s="5">
        <v>46211</v>
      </c>
      <c r="U33" s="1">
        <v>0</v>
      </c>
      <c r="V33" s="1">
        <v>0</v>
      </c>
      <c r="W33" s="1">
        <v>0</v>
      </c>
      <c r="X33" s="1">
        <v>0</v>
      </c>
      <c r="Y33" s="1">
        <v>1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1</v>
      </c>
      <c r="AF33" s="1">
        <v>0</v>
      </c>
    </row>
    <row r="34" spans="1:32" x14ac:dyDescent="0.25">
      <c r="A34" s="1">
        <v>33</v>
      </c>
      <c r="B34" s="1" t="s">
        <v>149</v>
      </c>
      <c r="C34" s="1" t="s">
        <v>123</v>
      </c>
      <c r="D34" s="1" t="s">
        <v>150</v>
      </c>
      <c r="E34" s="1" t="s">
        <v>151</v>
      </c>
      <c r="F34" s="1" t="s">
        <v>126</v>
      </c>
      <c r="G34" s="3">
        <v>46195</v>
      </c>
      <c r="H34" s="3">
        <v>46203</v>
      </c>
      <c r="J34" s="4">
        <v>0.71</v>
      </c>
      <c r="L34" s="1" t="s">
        <v>34</v>
      </c>
      <c r="M34" s="1" t="s">
        <v>47</v>
      </c>
      <c r="N34" s="1" t="s">
        <v>121</v>
      </c>
      <c r="O34" s="1" t="s">
        <v>152</v>
      </c>
      <c r="P34" s="5">
        <v>46231</v>
      </c>
      <c r="Q34" s="1" t="s">
        <v>38</v>
      </c>
      <c r="U34" s="1">
        <v>0.71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</row>
    <row r="35" spans="1:32" x14ac:dyDescent="0.25">
      <c r="A35" s="1">
        <v>34</v>
      </c>
      <c r="B35" s="1" t="s">
        <v>153</v>
      </c>
      <c r="C35" s="1" t="s">
        <v>154</v>
      </c>
      <c r="D35" s="1" t="s">
        <v>68</v>
      </c>
      <c r="F35" s="1" t="s">
        <v>93</v>
      </c>
      <c r="G35" s="3">
        <v>46195</v>
      </c>
      <c r="H35" s="3">
        <v>46197</v>
      </c>
      <c r="I35" s="1" t="s">
        <v>155</v>
      </c>
      <c r="J35" s="4">
        <v>1</v>
      </c>
      <c r="K35" s="3">
        <v>46197</v>
      </c>
      <c r="L35" s="1" t="s">
        <v>46</v>
      </c>
      <c r="M35" s="1" t="s">
        <v>47</v>
      </c>
      <c r="N35" s="1" t="s">
        <v>121</v>
      </c>
      <c r="O35" s="1" t="s">
        <v>152</v>
      </c>
      <c r="P35" s="5">
        <v>46225</v>
      </c>
      <c r="Q35" s="1" t="s">
        <v>38</v>
      </c>
      <c r="R35" s="1">
        <v>35</v>
      </c>
      <c r="U35" s="1">
        <v>1</v>
      </c>
      <c r="V35" s="1">
        <v>1</v>
      </c>
      <c r="W35" s="1">
        <v>1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</row>
    <row r="36" spans="1:32" x14ac:dyDescent="0.25">
      <c r="A36" s="1">
        <v>35</v>
      </c>
      <c r="B36" s="1" t="s">
        <v>156</v>
      </c>
      <c r="C36" s="1" t="s">
        <v>154</v>
      </c>
      <c r="D36" s="1" t="s">
        <v>73</v>
      </c>
      <c r="F36" s="1" t="s">
        <v>74</v>
      </c>
      <c r="G36" s="3">
        <v>46198</v>
      </c>
      <c r="H36" s="3">
        <v>46198</v>
      </c>
      <c r="I36" s="1">
        <v>34</v>
      </c>
      <c r="J36" s="4">
        <v>1</v>
      </c>
      <c r="K36" s="3">
        <v>46198</v>
      </c>
      <c r="L36" s="1" t="s">
        <v>46</v>
      </c>
      <c r="M36" s="1" t="s">
        <v>47</v>
      </c>
      <c r="N36" s="1" t="s">
        <v>121</v>
      </c>
      <c r="O36" s="1" t="s">
        <v>157</v>
      </c>
      <c r="P36" s="5">
        <v>46226</v>
      </c>
      <c r="Q36" s="1" t="s">
        <v>38</v>
      </c>
      <c r="R36" s="1">
        <v>36</v>
      </c>
      <c r="U36" s="1">
        <v>1</v>
      </c>
      <c r="V36" s="1">
        <v>0</v>
      </c>
      <c r="W36" s="1">
        <v>0</v>
      </c>
      <c r="X36" s="1">
        <v>0</v>
      </c>
      <c r="Y36" s="1">
        <v>0</v>
      </c>
      <c r="Z36" s="1">
        <v>1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</row>
    <row r="37" spans="1:32" x14ac:dyDescent="0.25">
      <c r="A37" s="1">
        <v>36</v>
      </c>
      <c r="B37" s="1" t="s">
        <v>158</v>
      </c>
      <c r="C37" s="1" t="s">
        <v>154</v>
      </c>
      <c r="D37" s="1" t="s">
        <v>78</v>
      </c>
      <c r="F37" s="1" t="s">
        <v>69</v>
      </c>
      <c r="G37" s="3">
        <v>46199</v>
      </c>
      <c r="H37" s="3">
        <v>46202</v>
      </c>
      <c r="I37" s="1">
        <v>35</v>
      </c>
      <c r="J37" s="4">
        <v>0.5</v>
      </c>
      <c r="L37" s="1" t="s">
        <v>34</v>
      </c>
      <c r="M37" s="1" t="s">
        <v>47</v>
      </c>
      <c r="N37" s="1" t="s">
        <v>121</v>
      </c>
      <c r="O37" s="1" t="s">
        <v>159</v>
      </c>
      <c r="P37" s="5">
        <v>46230</v>
      </c>
      <c r="Q37" s="1" t="s">
        <v>38</v>
      </c>
      <c r="R37" s="1">
        <v>37</v>
      </c>
      <c r="U37" s="1">
        <v>0.5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1</v>
      </c>
      <c r="AD37" s="1">
        <v>0</v>
      </c>
      <c r="AE37" s="1">
        <v>0</v>
      </c>
      <c r="AF37" s="1">
        <v>0</v>
      </c>
    </row>
    <row r="38" spans="1:32" x14ac:dyDescent="0.25">
      <c r="A38" s="1">
        <v>37</v>
      </c>
      <c r="B38" s="1" t="s">
        <v>160</v>
      </c>
      <c r="C38" s="1" t="s">
        <v>154</v>
      </c>
      <c r="D38" s="1" t="s">
        <v>84</v>
      </c>
      <c r="F38" s="1" t="s">
        <v>74</v>
      </c>
      <c r="G38" s="3">
        <v>46203</v>
      </c>
      <c r="H38" s="3">
        <v>46203</v>
      </c>
      <c r="I38" s="1">
        <v>36</v>
      </c>
      <c r="J38" s="4">
        <v>0</v>
      </c>
      <c r="L38" s="1" t="s">
        <v>34</v>
      </c>
      <c r="M38" s="1" t="s">
        <v>47</v>
      </c>
      <c r="N38" s="1" t="s">
        <v>121</v>
      </c>
      <c r="O38" s="1" t="s">
        <v>161</v>
      </c>
      <c r="P38" s="5">
        <v>46231</v>
      </c>
      <c r="Q38" s="1" t="s">
        <v>38</v>
      </c>
      <c r="U38" s="1">
        <v>0</v>
      </c>
      <c r="V38" s="1">
        <v>0</v>
      </c>
      <c r="W38" s="1">
        <v>0</v>
      </c>
      <c r="X38" s="1">
        <v>0</v>
      </c>
      <c r="Y38" s="1">
        <v>1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1</v>
      </c>
      <c r="AF38" s="1">
        <v>0</v>
      </c>
    </row>
    <row r="39" spans="1:32" x14ac:dyDescent="0.25">
      <c r="A39" s="1">
        <v>38</v>
      </c>
      <c r="B39" s="1" t="s">
        <v>162</v>
      </c>
      <c r="C39" s="1" t="s">
        <v>123</v>
      </c>
      <c r="D39" s="1" t="s">
        <v>163</v>
      </c>
      <c r="E39" s="1" t="s">
        <v>164</v>
      </c>
      <c r="F39" s="1" t="s">
        <v>120</v>
      </c>
      <c r="G39" s="3">
        <v>46174</v>
      </c>
      <c r="H39" s="3">
        <v>46225</v>
      </c>
      <c r="J39" s="4">
        <v>0.71</v>
      </c>
      <c r="L39" s="1" t="s">
        <v>64</v>
      </c>
      <c r="M39" s="1" t="s">
        <v>47</v>
      </c>
      <c r="N39" s="1" t="s">
        <v>121</v>
      </c>
      <c r="O39" s="1" t="s">
        <v>37</v>
      </c>
      <c r="P39" s="5">
        <v>46189</v>
      </c>
      <c r="Q39" s="1" t="s">
        <v>38</v>
      </c>
      <c r="U39" s="1">
        <v>0.71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</row>
    <row r="40" spans="1:32" x14ac:dyDescent="0.25">
      <c r="A40" s="1">
        <v>39</v>
      </c>
      <c r="B40" s="1" t="s">
        <v>165</v>
      </c>
      <c r="C40" s="1" t="s">
        <v>166</v>
      </c>
      <c r="D40" s="1" t="s">
        <v>68</v>
      </c>
      <c r="F40" s="1" t="s">
        <v>93</v>
      </c>
      <c r="G40" s="3">
        <v>46174</v>
      </c>
      <c r="H40" s="3">
        <v>46176</v>
      </c>
      <c r="I40" s="1" t="s">
        <v>70</v>
      </c>
      <c r="J40" s="4">
        <v>1</v>
      </c>
      <c r="K40" s="3">
        <v>46176</v>
      </c>
      <c r="L40" s="1" t="s">
        <v>46</v>
      </c>
      <c r="M40" s="1" t="s">
        <v>47</v>
      </c>
      <c r="N40" s="1" t="s">
        <v>121</v>
      </c>
      <c r="O40" s="1" t="s">
        <v>37</v>
      </c>
      <c r="P40" s="5">
        <v>46141</v>
      </c>
      <c r="Q40" s="1" t="s">
        <v>38</v>
      </c>
      <c r="R40" s="1">
        <v>40</v>
      </c>
      <c r="U40" s="1">
        <v>1</v>
      </c>
      <c r="V40" s="1">
        <v>1</v>
      </c>
      <c r="W40" s="1">
        <v>1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1</v>
      </c>
    </row>
    <row r="41" spans="1:32" x14ac:dyDescent="0.25">
      <c r="A41" s="1">
        <v>40</v>
      </c>
      <c r="B41" s="1" t="s">
        <v>167</v>
      </c>
      <c r="C41" s="1" t="s">
        <v>166</v>
      </c>
      <c r="D41" s="1" t="s">
        <v>73</v>
      </c>
      <c r="F41" s="1" t="s">
        <v>74</v>
      </c>
      <c r="G41" s="3">
        <v>46177</v>
      </c>
      <c r="H41" s="3">
        <v>46177</v>
      </c>
      <c r="I41" s="1">
        <v>39</v>
      </c>
      <c r="J41" s="4">
        <v>1</v>
      </c>
      <c r="K41" s="3">
        <v>46177</v>
      </c>
      <c r="L41" s="1" t="s">
        <v>46</v>
      </c>
      <c r="M41" s="1" t="s">
        <v>47</v>
      </c>
      <c r="N41" s="1" t="s">
        <v>121</v>
      </c>
      <c r="O41" s="1" t="s">
        <v>75</v>
      </c>
      <c r="P41" s="5">
        <v>46142</v>
      </c>
      <c r="Q41" s="1" t="s">
        <v>38</v>
      </c>
      <c r="R41" s="1" t="s">
        <v>168</v>
      </c>
      <c r="U41" s="1">
        <v>1</v>
      </c>
      <c r="V41" s="1">
        <v>0</v>
      </c>
      <c r="W41" s="1">
        <v>0</v>
      </c>
      <c r="X41" s="1">
        <v>0</v>
      </c>
      <c r="Y41" s="1">
        <v>0</v>
      </c>
      <c r="Z41" s="1">
        <v>1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</row>
    <row r="42" spans="1:32" x14ac:dyDescent="0.25">
      <c r="A42" s="1">
        <v>41</v>
      </c>
      <c r="B42" s="1" t="s">
        <v>169</v>
      </c>
      <c r="C42" s="1" t="s">
        <v>166</v>
      </c>
      <c r="D42" s="1" t="s">
        <v>78</v>
      </c>
      <c r="F42" s="1" t="s">
        <v>69</v>
      </c>
      <c r="G42" s="3">
        <v>46220</v>
      </c>
      <c r="H42" s="3">
        <v>46224</v>
      </c>
      <c r="I42" s="1" t="s">
        <v>170</v>
      </c>
      <c r="J42" s="4">
        <v>0.5</v>
      </c>
      <c r="L42" s="1" t="s">
        <v>80</v>
      </c>
      <c r="M42" s="1" t="s">
        <v>47</v>
      </c>
      <c r="N42" s="1" t="s">
        <v>121</v>
      </c>
      <c r="O42" s="1" t="s">
        <v>171</v>
      </c>
      <c r="P42" s="5">
        <v>46188</v>
      </c>
      <c r="Q42" s="1" t="s">
        <v>38</v>
      </c>
      <c r="R42" s="1">
        <v>42</v>
      </c>
      <c r="U42" s="1">
        <v>0.5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</row>
    <row r="43" spans="1:32" x14ac:dyDescent="0.25">
      <c r="A43" s="1">
        <v>42</v>
      </c>
      <c r="B43" s="1" t="s">
        <v>172</v>
      </c>
      <c r="C43" s="1" t="s">
        <v>166</v>
      </c>
      <c r="D43" s="1" t="s">
        <v>84</v>
      </c>
      <c r="F43" s="1" t="s">
        <v>74</v>
      </c>
      <c r="G43" s="3">
        <v>46225</v>
      </c>
      <c r="H43" s="3">
        <v>46225</v>
      </c>
      <c r="I43" s="1">
        <v>41</v>
      </c>
      <c r="J43" s="4">
        <v>0</v>
      </c>
      <c r="L43" s="1" t="s">
        <v>80</v>
      </c>
      <c r="M43" s="1" t="s">
        <v>47</v>
      </c>
      <c r="N43" s="1" t="s">
        <v>121</v>
      </c>
      <c r="O43" s="1" t="s">
        <v>131</v>
      </c>
      <c r="P43" s="5">
        <v>46189</v>
      </c>
      <c r="Q43" s="1" t="s">
        <v>38</v>
      </c>
      <c r="U43" s="1">
        <v>0</v>
      </c>
      <c r="V43" s="1">
        <v>0</v>
      </c>
      <c r="W43" s="1">
        <v>0</v>
      </c>
      <c r="X43" s="1">
        <v>0</v>
      </c>
      <c r="Y43" s="1">
        <v>1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</row>
    <row r="44" spans="1:32" x14ac:dyDescent="0.25">
      <c r="A44" s="1">
        <v>43</v>
      </c>
      <c r="B44" s="1" t="s">
        <v>173</v>
      </c>
      <c r="C44" s="1" t="s">
        <v>43</v>
      </c>
      <c r="D44" s="1" t="s">
        <v>174</v>
      </c>
      <c r="F44" s="1" t="s">
        <v>175</v>
      </c>
      <c r="G44" s="3">
        <v>46170</v>
      </c>
      <c r="H44" s="3">
        <v>46366</v>
      </c>
      <c r="J44" s="4">
        <v>0.31</v>
      </c>
      <c r="L44" s="1" t="s">
        <v>34</v>
      </c>
      <c r="M44" s="1" t="s">
        <v>47</v>
      </c>
      <c r="N44" s="1" t="s">
        <v>176</v>
      </c>
      <c r="O44" s="1" t="s">
        <v>86</v>
      </c>
      <c r="P44" s="5">
        <v>46198</v>
      </c>
      <c r="Q44" s="1" t="s">
        <v>38</v>
      </c>
      <c r="U44" s="1">
        <v>0.31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</row>
    <row r="45" spans="1:32" x14ac:dyDescent="0.25">
      <c r="A45" s="1">
        <v>44</v>
      </c>
      <c r="B45" s="1" t="s">
        <v>177</v>
      </c>
      <c r="C45" s="1" t="s">
        <v>178</v>
      </c>
      <c r="D45" s="1" t="s">
        <v>179</v>
      </c>
      <c r="E45" s="1" t="s">
        <v>180</v>
      </c>
      <c r="F45" s="1" t="s">
        <v>181</v>
      </c>
      <c r="G45" s="3">
        <v>46181</v>
      </c>
      <c r="H45" s="3">
        <v>46191</v>
      </c>
      <c r="J45" s="4">
        <v>0.28000000000000003</v>
      </c>
      <c r="L45" s="1" t="s">
        <v>34</v>
      </c>
      <c r="M45" s="1" t="s">
        <v>47</v>
      </c>
      <c r="N45" s="1" t="s">
        <v>176</v>
      </c>
      <c r="O45" s="1" t="s">
        <v>182</v>
      </c>
      <c r="P45" s="5">
        <v>46192</v>
      </c>
      <c r="Q45" s="1" t="s">
        <v>38</v>
      </c>
      <c r="U45" s="1">
        <v>0.28000000000000003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</row>
    <row r="46" spans="1:32" x14ac:dyDescent="0.25">
      <c r="A46" s="1">
        <v>45</v>
      </c>
      <c r="B46" s="1" t="s">
        <v>183</v>
      </c>
      <c r="C46" s="1" t="s">
        <v>184</v>
      </c>
      <c r="D46" s="1" t="s">
        <v>68</v>
      </c>
      <c r="F46" s="1" t="s">
        <v>185</v>
      </c>
      <c r="G46" s="3">
        <v>46181</v>
      </c>
      <c r="H46" s="3">
        <v>46185</v>
      </c>
      <c r="I46" s="1" t="s">
        <v>186</v>
      </c>
      <c r="J46" s="4">
        <v>0.5</v>
      </c>
      <c r="L46" s="1" t="s">
        <v>34</v>
      </c>
      <c r="M46" s="1" t="s">
        <v>47</v>
      </c>
      <c r="N46" s="1" t="s">
        <v>176</v>
      </c>
      <c r="O46" s="1" t="s">
        <v>182</v>
      </c>
      <c r="P46" s="5">
        <v>46188</v>
      </c>
      <c r="Q46" s="1" t="s">
        <v>38</v>
      </c>
      <c r="R46" s="1" t="s">
        <v>187</v>
      </c>
      <c r="U46" s="1">
        <v>0.5</v>
      </c>
      <c r="V46" s="1">
        <v>1</v>
      </c>
      <c r="W46" s="1">
        <v>0</v>
      </c>
      <c r="X46" s="1">
        <v>1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</row>
    <row r="47" spans="1:32" x14ac:dyDescent="0.25">
      <c r="A47" s="1">
        <v>46</v>
      </c>
      <c r="B47" s="1" t="s">
        <v>188</v>
      </c>
      <c r="C47" s="1" t="s">
        <v>184</v>
      </c>
      <c r="D47" s="1" t="s">
        <v>73</v>
      </c>
      <c r="F47" s="1" t="s">
        <v>74</v>
      </c>
      <c r="G47" s="3">
        <v>46188</v>
      </c>
      <c r="H47" s="3">
        <v>46188</v>
      </c>
      <c r="I47" s="1">
        <v>45</v>
      </c>
      <c r="J47" s="4">
        <v>0</v>
      </c>
      <c r="L47" s="1" t="s">
        <v>34</v>
      </c>
      <c r="M47" s="1" t="s">
        <v>47</v>
      </c>
      <c r="N47" s="1" t="s">
        <v>176</v>
      </c>
      <c r="O47" s="1" t="s">
        <v>131</v>
      </c>
      <c r="P47" s="5">
        <v>46189</v>
      </c>
      <c r="Q47" s="1" t="s">
        <v>38</v>
      </c>
      <c r="R47" s="1">
        <v>47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1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</row>
    <row r="48" spans="1:32" x14ac:dyDescent="0.25">
      <c r="A48" s="1">
        <v>47</v>
      </c>
      <c r="B48" s="1" t="s">
        <v>189</v>
      </c>
      <c r="C48" s="1" t="s">
        <v>184</v>
      </c>
      <c r="D48" s="1" t="s">
        <v>78</v>
      </c>
      <c r="F48" s="1" t="s">
        <v>69</v>
      </c>
      <c r="G48" s="3">
        <v>46189</v>
      </c>
      <c r="H48" s="3">
        <v>46190</v>
      </c>
      <c r="I48" s="1">
        <v>46</v>
      </c>
      <c r="J48" s="4">
        <v>0</v>
      </c>
      <c r="L48" s="1" t="s">
        <v>34</v>
      </c>
      <c r="M48" s="1" t="s">
        <v>47</v>
      </c>
      <c r="N48" s="1" t="s">
        <v>176</v>
      </c>
      <c r="O48" s="1" t="s">
        <v>133</v>
      </c>
      <c r="P48" s="5">
        <v>46191</v>
      </c>
      <c r="Q48" s="1" t="s">
        <v>38</v>
      </c>
      <c r="R48" s="1">
        <v>48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1</v>
      </c>
      <c r="AD48" s="1">
        <v>0</v>
      </c>
      <c r="AE48" s="1">
        <v>0</v>
      </c>
      <c r="AF48" s="1">
        <v>0</v>
      </c>
    </row>
    <row r="49" spans="1:32" x14ac:dyDescent="0.25">
      <c r="A49" s="1">
        <v>48</v>
      </c>
      <c r="B49" s="1" t="s">
        <v>190</v>
      </c>
      <c r="C49" s="1" t="s">
        <v>184</v>
      </c>
      <c r="D49" s="1" t="s">
        <v>84</v>
      </c>
      <c r="F49" s="1" t="s">
        <v>74</v>
      </c>
      <c r="G49" s="3">
        <v>46191</v>
      </c>
      <c r="H49" s="3">
        <v>46191</v>
      </c>
      <c r="I49" s="1">
        <v>47</v>
      </c>
      <c r="J49" s="4">
        <v>0</v>
      </c>
      <c r="L49" s="1" t="s">
        <v>34</v>
      </c>
      <c r="M49" s="1" t="s">
        <v>47</v>
      </c>
      <c r="N49" s="1" t="s">
        <v>176</v>
      </c>
      <c r="O49" s="1" t="s">
        <v>135</v>
      </c>
      <c r="P49" s="5">
        <v>46192</v>
      </c>
      <c r="Q49" s="1" t="s">
        <v>38</v>
      </c>
      <c r="U49" s="1">
        <v>0</v>
      </c>
      <c r="V49" s="1">
        <v>0</v>
      </c>
      <c r="W49" s="1">
        <v>0</v>
      </c>
      <c r="X49" s="1">
        <v>0</v>
      </c>
      <c r="Y49" s="1">
        <v>1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1</v>
      </c>
      <c r="AF49" s="1">
        <v>0</v>
      </c>
    </row>
    <row r="50" spans="1:32" x14ac:dyDescent="0.25">
      <c r="A50" s="1">
        <v>49</v>
      </c>
      <c r="B50" s="1" t="s">
        <v>191</v>
      </c>
      <c r="C50" s="1" t="s">
        <v>178</v>
      </c>
      <c r="D50" s="1" t="s">
        <v>192</v>
      </c>
      <c r="E50" s="1" t="s">
        <v>193</v>
      </c>
      <c r="F50" s="1" t="s">
        <v>126</v>
      </c>
      <c r="G50" s="3">
        <v>46358</v>
      </c>
      <c r="H50" s="3">
        <v>46366</v>
      </c>
      <c r="J50" s="4">
        <v>0</v>
      </c>
      <c r="L50" s="1" t="s">
        <v>80</v>
      </c>
      <c r="M50" s="1" t="s">
        <v>47</v>
      </c>
      <c r="N50" s="1" t="s">
        <v>176</v>
      </c>
      <c r="O50" s="1" t="s">
        <v>133</v>
      </c>
      <c r="P50" s="5">
        <v>46198</v>
      </c>
      <c r="Q50" s="1" t="s">
        <v>38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</row>
    <row r="51" spans="1:32" x14ac:dyDescent="0.25">
      <c r="A51" s="1">
        <v>50</v>
      </c>
      <c r="B51" s="1" t="s">
        <v>194</v>
      </c>
      <c r="C51" s="1" t="s">
        <v>195</v>
      </c>
      <c r="D51" s="1" t="s">
        <v>68</v>
      </c>
      <c r="F51" s="1" t="s">
        <v>93</v>
      </c>
      <c r="G51" s="3">
        <v>46358</v>
      </c>
      <c r="H51" s="3">
        <v>46360</v>
      </c>
      <c r="I51" s="1" t="s">
        <v>196</v>
      </c>
      <c r="J51" s="4">
        <v>0</v>
      </c>
      <c r="L51" s="1" t="s">
        <v>80</v>
      </c>
      <c r="M51" s="1" t="s">
        <v>47</v>
      </c>
      <c r="N51" s="1" t="s">
        <v>176</v>
      </c>
      <c r="O51" s="1" t="s">
        <v>133</v>
      </c>
      <c r="P51" s="5">
        <v>46192</v>
      </c>
      <c r="Q51" s="1" t="s">
        <v>38</v>
      </c>
      <c r="R51" s="1">
        <v>51</v>
      </c>
      <c r="U51" s="1">
        <v>0</v>
      </c>
      <c r="V51" s="1">
        <v>1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</row>
    <row r="52" spans="1:32" x14ac:dyDescent="0.25">
      <c r="A52" s="1">
        <v>51</v>
      </c>
      <c r="B52" s="1" t="s">
        <v>197</v>
      </c>
      <c r="C52" s="1" t="s">
        <v>195</v>
      </c>
      <c r="D52" s="1" t="s">
        <v>73</v>
      </c>
      <c r="F52" s="1" t="s">
        <v>74</v>
      </c>
      <c r="G52" s="3">
        <v>46363</v>
      </c>
      <c r="H52" s="3">
        <v>46363</v>
      </c>
      <c r="I52" s="1">
        <v>50</v>
      </c>
      <c r="J52" s="4">
        <v>0</v>
      </c>
      <c r="L52" s="1" t="s">
        <v>80</v>
      </c>
      <c r="M52" s="1" t="s">
        <v>47</v>
      </c>
      <c r="N52" s="1" t="s">
        <v>176</v>
      </c>
      <c r="O52" s="1" t="s">
        <v>198</v>
      </c>
      <c r="P52" s="5">
        <v>46195</v>
      </c>
      <c r="Q52" s="1" t="s">
        <v>38</v>
      </c>
      <c r="R52" s="1">
        <v>52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</row>
    <row r="53" spans="1:32" x14ac:dyDescent="0.25">
      <c r="A53" s="1">
        <v>52</v>
      </c>
      <c r="B53" s="1" t="s">
        <v>199</v>
      </c>
      <c r="C53" s="1" t="s">
        <v>195</v>
      </c>
      <c r="D53" s="1" t="s">
        <v>78</v>
      </c>
      <c r="F53" s="1" t="s">
        <v>69</v>
      </c>
      <c r="G53" s="3">
        <v>46364</v>
      </c>
      <c r="H53" s="3">
        <v>46365</v>
      </c>
      <c r="I53" s="1">
        <v>51</v>
      </c>
      <c r="J53" s="4">
        <v>0</v>
      </c>
      <c r="L53" s="1" t="s">
        <v>80</v>
      </c>
      <c r="M53" s="1" t="s">
        <v>47</v>
      </c>
      <c r="N53" s="1" t="s">
        <v>176</v>
      </c>
      <c r="O53" s="1" t="s">
        <v>101</v>
      </c>
      <c r="P53" s="5">
        <v>46197</v>
      </c>
      <c r="Q53" s="1" t="s">
        <v>38</v>
      </c>
      <c r="R53" s="1">
        <v>53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</row>
    <row r="54" spans="1:32" x14ac:dyDescent="0.25">
      <c r="A54" s="1">
        <v>53</v>
      </c>
      <c r="B54" s="1" t="s">
        <v>200</v>
      </c>
      <c r="C54" s="1" t="s">
        <v>195</v>
      </c>
      <c r="D54" s="1" t="s">
        <v>84</v>
      </c>
      <c r="F54" s="1" t="s">
        <v>74</v>
      </c>
      <c r="G54" s="3">
        <v>46366</v>
      </c>
      <c r="H54" s="3">
        <v>46366</v>
      </c>
      <c r="I54" s="1">
        <v>52</v>
      </c>
      <c r="J54" s="4">
        <v>0</v>
      </c>
      <c r="L54" s="1" t="s">
        <v>80</v>
      </c>
      <c r="M54" s="1" t="s">
        <v>47</v>
      </c>
      <c r="N54" s="1" t="s">
        <v>176</v>
      </c>
      <c r="O54" s="1" t="s">
        <v>201</v>
      </c>
      <c r="P54" s="5">
        <v>46198</v>
      </c>
      <c r="Q54" s="1" t="s">
        <v>38</v>
      </c>
      <c r="U54" s="1">
        <v>0</v>
      </c>
      <c r="V54" s="1">
        <v>0</v>
      </c>
      <c r="W54" s="1">
        <v>0</v>
      </c>
      <c r="X54" s="1">
        <v>0</v>
      </c>
      <c r="Y54" s="1">
        <v>1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</row>
    <row r="55" spans="1:32" x14ac:dyDescent="0.25">
      <c r="A55" s="1">
        <v>54</v>
      </c>
      <c r="B55" s="1" t="s">
        <v>202</v>
      </c>
      <c r="C55" s="1" t="s">
        <v>178</v>
      </c>
      <c r="D55" s="1" t="s">
        <v>203</v>
      </c>
      <c r="E55" s="1" t="s">
        <v>204</v>
      </c>
      <c r="F55" s="1" t="s">
        <v>139</v>
      </c>
      <c r="G55" s="3">
        <v>46170</v>
      </c>
      <c r="H55" s="3">
        <v>46176</v>
      </c>
      <c r="J55" s="4">
        <v>0.63</v>
      </c>
      <c r="L55" s="1" t="s">
        <v>34</v>
      </c>
      <c r="M55" s="1" t="s">
        <v>47</v>
      </c>
      <c r="N55" s="1" t="s">
        <v>176</v>
      </c>
      <c r="O55" s="1" t="s">
        <v>86</v>
      </c>
      <c r="P55" s="5">
        <v>46167</v>
      </c>
      <c r="Q55" s="1" t="s">
        <v>38</v>
      </c>
      <c r="U55" s="1">
        <v>0.63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</row>
    <row r="56" spans="1:32" x14ac:dyDescent="0.25">
      <c r="A56" s="1">
        <v>55</v>
      </c>
      <c r="B56" s="1" t="s">
        <v>205</v>
      </c>
      <c r="C56" s="1" t="s">
        <v>206</v>
      </c>
      <c r="D56" s="1" t="s">
        <v>68</v>
      </c>
      <c r="F56" s="1" t="s">
        <v>45</v>
      </c>
      <c r="G56" s="3">
        <v>46170</v>
      </c>
      <c r="H56" s="3">
        <v>46170</v>
      </c>
      <c r="I56" s="1" t="s">
        <v>207</v>
      </c>
      <c r="J56" s="4">
        <v>1</v>
      </c>
      <c r="K56" s="3">
        <v>46170</v>
      </c>
      <c r="L56" s="1" t="s">
        <v>46</v>
      </c>
      <c r="M56" s="1" t="s">
        <v>47</v>
      </c>
      <c r="N56" s="1" t="s">
        <v>176</v>
      </c>
      <c r="O56" s="1" t="s">
        <v>86</v>
      </c>
      <c r="P56" s="5">
        <v>46161</v>
      </c>
      <c r="Q56" s="1" t="s">
        <v>38</v>
      </c>
      <c r="R56" s="1">
        <v>56</v>
      </c>
      <c r="U56" s="1">
        <v>1</v>
      </c>
      <c r="V56" s="1">
        <v>1</v>
      </c>
      <c r="W56" s="1">
        <v>1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1</v>
      </c>
    </row>
    <row r="57" spans="1:32" x14ac:dyDescent="0.25">
      <c r="A57" s="1">
        <v>56</v>
      </c>
      <c r="B57" s="1" t="s">
        <v>208</v>
      </c>
      <c r="C57" s="1" t="s">
        <v>206</v>
      </c>
      <c r="D57" s="1" t="s">
        <v>73</v>
      </c>
      <c r="F57" s="1" t="s">
        <v>74</v>
      </c>
      <c r="G57" s="3">
        <v>46171</v>
      </c>
      <c r="H57" s="3">
        <v>46171</v>
      </c>
      <c r="I57" s="1">
        <v>55</v>
      </c>
      <c r="J57" s="4">
        <v>1</v>
      </c>
      <c r="K57" s="3">
        <v>46171</v>
      </c>
      <c r="L57" s="1" t="s">
        <v>46</v>
      </c>
      <c r="M57" s="1" t="s">
        <v>47</v>
      </c>
      <c r="N57" s="1" t="s">
        <v>176</v>
      </c>
      <c r="O57" s="1" t="s">
        <v>209</v>
      </c>
      <c r="P57" s="5">
        <v>46162</v>
      </c>
      <c r="Q57" s="1" t="s">
        <v>38</v>
      </c>
      <c r="R57" s="1">
        <v>57</v>
      </c>
      <c r="U57" s="1">
        <v>1</v>
      </c>
      <c r="V57" s="1">
        <v>0</v>
      </c>
      <c r="W57" s="1">
        <v>0</v>
      </c>
      <c r="X57" s="1">
        <v>0</v>
      </c>
      <c r="Y57" s="1">
        <v>0</v>
      </c>
      <c r="Z57" s="1">
        <v>1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</row>
    <row r="58" spans="1:32" x14ac:dyDescent="0.25">
      <c r="A58" s="1">
        <v>57</v>
      </c>
      <c r="B58" s="1" t="s">
        <v>210</v>
      </c>
      <c r="C58" s="1" t="s">
        <v>206</v>
      </c>
      <c r="D58" s="1" t="s">
        <v>78</v>
      </c>
      <c r="F58" s="1" t="s">
        <v>69</v>
      </c>
      <c r="G58" s="3">
        <v>46174</v>
      </c>
      <c r="H58" s="3">
        <v>46175</v>
      </c>
      <c r="I58" s="1">
        <v>56</v>
      </c>
      <c r="J58" s="4">
        <v>0.75</v>
      </c>
      <c r="L58" s="1" t="s">
        <v>34</v>
      </c>
      <c r="M58" s="1" t="s">
        <v>47</v>
      </c>
      <c r="N58" s="1" t="s">
        <v>176</v>
      </c>
      <c r="O58" s="1" t="s">
        <v>211</v>
      </c>
      <c r="P58" s="5">
        <v>46164</v>
      </c>
      <c r="Q58" s="1" t="s">
        <v>38</v>
      </c>
      <c r="R58" s="1">
        <v>58</v>
      </c>
      <c r="U58" s="1">
        <v>0.75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1</v>
      </c>
      <c r="AD58" s="1">
        <v>0</v>
      </c>
      <c r="AE58" s="1">
        <v>0</v>
      </c>
      <c r="AF58" s="1">
        <v>0</v>
      </c>
    </row>
    <row r="59" spans="1:32" x14ac:dyDescent="0.25">
      <c r="A59" s="1">
        <v>58</v>
      </c>
      <c r="B59" s="1" t="s">
        <v>212</v>
      </c>
      <c r="C59" s="1" t="s">
        <v>206</v>
      </c>
      <c r="D59" s="1" t="s">
        <v>84</v>
      </c>
      <c r="F59" s="1" t="s">
        <v>74</v>
      </c>
      <c r="G59" s="3">
        <v>46176</v>
      </c>
      <c r="H59" s="3">
        <v>46176</v>
      </c>
      <c r="I59" s="1">
        <v>57</v>
      </c>
      <c r="J59" s="4">
        <v>0</v>
      </c>
      <c r="L59" s="1" t="s">
        <v>34</v>
      </c>
      <c r="M59" s="1" t="s">
        <v>47</v>
      </c>
      <c r="N59" s="1" t="s">
        <v>176</v>
      </c>
      <c r="O59" s="1" t="s">
        <v>213</v>
      </c>
      <c r="P59" s="5">
        <v>46167</v>
      </c>
      <c r="Q59" s="1" t="s">
        <v>38</v>
      </c>
      <c r="U59" s="1">
        <v>0</v>
      </c>
      <c r="V59" s="1">
        <v>0</v>
      </c>
      <c r="W59" s="1">
        <v>0</v>
      </c>
      <c r="X59" s="1">
        <v>0</v>
      </c>
      <c r="Y59" s="1">
        <v>1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1</v>
      </c>
      <c r="AF59" s="1">
        <v>0</v>
      </c>
    </row>
    <row r="60" spans="1:32" x14ac:dyDescent="0.25">
      <c r="A60" s="1">
        <v>59</v>
      </c>
      <c r="B60" s="1" t="s">
        <v>214</v>
      </c>
      <c r="C60" s="1" t="s">
        <v>178</v>
      </c>
      <c r="D60" s="1" t="s">
        <v>215</v>
      </c>
      <c r="E60" s="1" t="s">
        <v>216</v>
      </c>
      <c r="F60" s="1" t="s">
        <v>217</v>
      </c>
      <c r="G60" s="3">
        <v>46170</v>
      </c>
      <c r="H60" s="3">
        <v>46204</v>
      </c>
      <c r="J60" s="4">
        <v>0.63</v>
      </c>
      <c r="L60" s="1" t="s">
        <v>34</v>
      </c>
      <c r="M60" s="1" t="s">
        <v>47</v>
      </c>
      <c r="N60" s="1" t="s">
        <v>176</v>
      </c>
      <c r="O60" s="1" t="s">
        <v>86</v>
      </c>
      <c r="P60" s="5">
        <v>46167</v>
      </c>
      <c r="Q60" s="1" t="s">
        <v>38</v>
      </c>
      <c r="S60" s="1" t="s">
        <v>65</v>
      </c>
      <c r="U60" s="1">
        <v>0.63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</row>
    <row r="61" spans="1:32" x14ac:dyDescent="0.25">
      <c r="A61" s="1">
        <v>60</v>
      </c>
      <c r="B61" s="1" t="s">
        <v>218</v>
      </c>
      <c r="C61" s="1" t="s">
        <v>219</v>
      </c>
      <c r="D61" s="1" t="s">
        <v>68</v>
      </c>
      <c r="F61" s="1" t="s">
        <v>45</v>
      </c>
      <c r="G61" s="3">
        <v>46170</v>
      </c>
      <c r="H61" s="3">
        <v>46170</v>
      </c>
      <c r="I61" s="1" t="s">
        <v>207</v>
      </c>
      <c r="J61" s="4">
        <v>1</v>
      </c>
      <c r="K61" s="3">
        <v>46170</v>
      </c>
      <c r="L61" s="1" t="s">
        <v>46</v>
      </c>
      <c r="M61" s="1" t="s">
        <v>47</v>
      </c>
      <c r="N61" s="1" t="s">
        <v>176</v>
      </c>
      <c r="O61" s="1" t="s">
        <v>86</v>
      </c>
      <c r="P61" s="5">
        <v>46161</v>
      </c>
      <c r="Q61" s="1" t="s">
        <v>38</v>
      </c>
      <c r="R61" s="1">
        <v>61</v>
      </c>
      <c r="U61" s="1">
        <v>1</v>
      </c>
      <c r="V61" s="1">
        <v>1</v>
      </c>
      <c r="W61" s="1">
        <v>1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1</v>
      </c>
    </row>
    <row r="62" spans="1:32" x14ac:dyDescent="0.25">
      <c r="A62" s="1">
        <v>61</v>
      </c>
      <c r="B62" s="1" t="s">
        <v>220</v>
      </c>
      <c r="C62" s="1" t="s">
        <v>219</v>
      </c>
      <c r="D62" s="1" t="s">
        <v>73</v>
      </c>
      <c r="F62" s="1" t="s">
        <v>74</v>
      </c>
      <c r="G62" s="3">
        <v>46199</v>
      </c>
      <c r="H62" s="3">
        <v>46199</v>
      </c>
      <c r="I62" s="1">
        <v>60</v>
      </c>
      <c r="J62" s="4">
        <v>1</v>
      </c>
      <c r="K62" s="3">
        <v>46199</v>
      </c>
      <c r="L62" s="1" t="s">
        <v>46</v>
      </c>
      <c r="M62" s="1" t="s">
        <v>47</v>
      </c>
      <c r="N62" s="1" t="s">
        <v>176</v>
      </c>
      <c r="O62" s="1" t="s">
        <v>209</v>
      </c>
      <c r="P62" s="5">
        <v>46162</v>
      </c>
      <c r="Q62" s="1" t="s">
        <v>38</v>
      </c>
      <c r="R62" s="1">
        <v>62</v>
      </c>
      <c r="U62" s="1">
        <v>1</v>
      </c>
      <c r="V62" s="1">
        <v>0</v>
      </c>
      <c r="W62" s="1">
        <v>0</v>
      </c>
      <c r="X62" s="1">
        <v>0</v>
      </c>
      <c r="Y62" s="1">
        <v>0</v>
      </c>
      <c r="Z62" s="1">
        <v>1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</row>
    <row r="63" spans="1:32" x14ac:dyDescent="0.25">
      <c r="A63" s="1">
        <v>62</v>
      </c>
      <c r="B63" s="1" t="s">
        <v>221</v>
      </c>
      <c r="C63" s="1" t="s">
        <v>219</v>
      </c>
      <c r="D63" s="1" t="s">
        <v>78</v>
      </c>
      <c r="F63" s="1" t="s">
        <v>69</v>
      </c>
      <c r="G63" s="3">
        <v>46202</v>
      </c>
      <c r="H63" s="3">
        <v>46203</v>
      </c>
      <c r="I63" s="1">
        <v>61</v>
      </c>
      <c r="J63" s="4">
        <v>0.75</v>
      </c>
      <c r="L63" s="1" t="s">
        <v>34</v>
      </c>
      <c r="M63" s="1" t="s">
        <v>47</v>
      </c>
      <c r="N63" s="1" t="s">
        <v>176</v>
      </c>
      <c r="O63" s="1" t="s">
        <v>211</v>
      </c>
      <c r="P63" s="5">
        <v>46164</v>
      </c>
      <c r="Q63" s="1" t="s">
        <v>38</v>
      </c>
      <c r="R63" s="1">
        <v>63</v>
      </c>
      <c r="U63" s="1">
        <v>0.75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1</v>
      </c>
      <c r="AD63" s="1">
        <v>0</v>
      </c>
      <c r="AE63" s="1">
        <v>0</v>
      </c>
      <c r="AF63" s="1">
        <v>0</v>
      </c>
    </row>
    <row r="64" spans="1:32" x14ac:dyDescent="0.25">
      <c r="A64" s="1">
        <v>63</v>
      </c>
      <c r="B64" s="1" t="s">
        <v>222</v>
      </c>
      <c r="C64" s="1" t="s">
        <v>219</v>
      </c>
      <c r="D64" s="1" t="s">
        <v>84</v>
      </c>
      <c r="F64" s="1" t="s">
        <v>74</v>
      </c>
      <c r="G64" s="3">
        <v>46204</v>
      </c>
      <c r="H64" s="3">
        <v>46204</v>
      </c>
      <c r="I64" s="1">
        <v>62</v>
      </c>
      <c r="J64" s="4">
        <v>0</v>
      </c>
      <c r="L64" s="1" t="s">
        <v>34</v>
      </c>
      <c r="M64" s="1" t="s">
        <v>47</v>
      </c>
      <c r="N64" s="1" t="s">
        <v>176</v>
      </c>
      <c r="O64" s="1" t="s">
        <v>213</v>
      </c>
      <c r="P64" s="5">
        <v>46167</v>
      </c>
      <c r="Q64" s="1" t="s">
        <v>38</v>
      </c>
      <c r="U64" s="1">
        <v>0</v>
      </c>
      <c r="V64" s="1">
        <v>0</v>
      </c>
      <c r="W64" s="1">
        <v>0</v>
      </c>
      <c r="X64" s="1">
        <v>0</v>
      </c>
      <c r="Y64" s="1">
        <v>1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1</v>
      </c>
      <c r="AF64" s="1">
        <v>0</v>
      </c>
    </row>
    <row r="65" spans="1:32" x14ac:dyDescent="0.25">
      <c r="A65" s="1">
        <v>64</v>
      </c>
      <c r="B65" s="1" t="s">
        <v>223</v>
      </c>
      <c r="C65" s="1" t="s">
        <v>43</v>
      </c>
      <c r="D65" s="1" t="s">
        <v>224</v>
      </c>
      <c r="F65" s="1" t="s">
        <v>225</v>
      </c>
      <c r="G65" s="3">
        <v>46160</v>
      </c>
      <c r="H65" s="3">
        <v>46339</v>
      </c>
      <c r="J65" s="4">
        <v>0.09</v>
      </c>
      <c r="L65" s="1" t="s">
        <v>34</v>
      </c>
      <c r="M65" s="1" t="s">
        <v>47</v>
      </c>
      <c r="N65" s="1" t="s">
        <v>226</v>
      </c>
      <c r="O65" s="1" t="s">
        <v>86</v>
      </c>
      <c r="P65" s="5">
        <v>46211</v>
      </c>
      <c r="Q65" s="1" t="s">
        <v>38</v>
      </c>
      <c r="U65" s="1">
        <v>0.09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</row>
    <row r="66" spans="1:32" x14ac:dyDescent="0.25">
      <c r="A66" s="1">
        <v>65</v>
      </c>
      <c r="B66" s="1" t="s">
        <v>227</v>
      </c>
      <c r="C66" s="1" t="s">
        <v>228</v>
      </c>
      <c r="D66" s="1" t="s">
        <v>229</v>
      </c>
      <c r="E66" s="1" t="s">
        <v>180</v>
      </c>
      <c r="F66" s="1" t="s">
        <v>230</v>
      </c>
      <c r="G66" s="3">
        <v>46160</v>
      </c>
      <c r="H66" s="3">
        <v>46167</v>
      </c>
      <c r="J66" s="4">
        <v>0.67</v>
      </c>
      <c r="L66" s="1" t="s">
        <v>34</v>
      </c>
      <c r="M66" s="1" t="s">
        <v>47</v>
      </c>
      <c r="N66" s="1" t="s">
        <v>226</v>
      </c>
      <c r="O66" s="1" t="s">
        <v>182</v>
      </c>
      <c r="P66" s="5">
        <v>46192</v>
      </c>
      <c r="Q66" s="1" t="s">
        <v>38</v>
      </c>
      <c r="U66" s="1">
        <v>0.67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</row>
    <row r="67" spans="1:32" x14ac:dyDescent="0.25">
      <c r="A67" s="1">
        <v>66</v>
      </c>
      <c r="B67" s="1" t="s">
        <v>231</v>
      </c>
      <c r="C67" s="1" t="s">
        <v>232</v>
      </c>
      <c r="D67" s="1" t="s">
        <v>68</v>
      </c>
      <c r="F67" s="1" t="s">
        <v>69</v>
      </c>
      <c r="G67" s="3">
        <v>46160</v>
      </c>
      <c r="H67" s="3">
        <v>46161</v>
      </c>
      <c r="I67" s="1" t="s">
        <v>233</v>
      </c>
      <c r="J67" s="4">
        <v>1</v>
      </c>
      <c r="K67" s="3">
        <v>46161</v>
      </c>
      <c r="L67" s="1" t="s">
        <v>46</v>
      </c>
      <c r="M67" s="1" t="s">
        <v>47</v>
      </c>
      <c r="N67" s="1" t="s">
        <v>226</v>
      </c>
      <c r="O67" s="1" t="s">
        <v>182</v>
      </c>
      <c r="P67" s="5">
        <v>46188</v>
      </c>
      <c r="Q67" s="1" t="s">
        <v>38</v>
      </c>
      <c r="R67" s="1" t="s">
        <v>234</v>
      </c>
      <c r="U67" s="1">
        <v>1</v>
      </c>
      <c r="V67" s="1">
        <v>1</v>
      </c>
      <c r="W67" s="1">
        <v>1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1</v>
      </c>
    </row>
    <row r="68" spans="1:32" x14ac:dyDescent="0.25">
      <c r="A68" s="1">
        <v>67</v>
      </c>
      <c r="B68" s="1" t="s">
        <v>235</v>
      </c>
      <c r="C68" s="1" t="s">
        <v>232</v>
      </c>
      <c r="D68" s="1" t="s">
        <v>73</v>
      </c>
      <c r="F68" s="1" t="s">
        <v>74</v>
      </c>
      <c r="G68" s="3">
        <v>46162</v>
      </c>
      <c r="H68" s="3">
        <v>46162</v>
      </c>
      <c r="I68" s="1">
        <v>66</v>
      </c>
      <c r="J68" s="4">
        <v>1</v>
      </c>
      <c r="K68" s="3">
        <v>46162</v>
      </c>
      <c r="L68" s="1" t="s">
        <v>46</v>
      </c>
      <c r="M68" s="1" t="s">
        <v>47</v>
      </c>
      <c r="N68" s="1" t="s">
        <v>226</v>
      </c>
      <c r="O68" s="1" t="s">
        <v>131</v>
      </c>
      <c r="P68" s="5">
        <v>46189</v>
      </c>
      <c r="Q68" s="1" t="s">
        <v>38</v>
      </c>
      <c r="R68" s="1">
        <v>68</v>
      </c>
      <c r="U68" s="1">
        <v>1</v>
      </c>
      <c r="V68" s="1">
        <v>0</v>
      </c>
      <c r="W68" s="1">
        <v>0</v>
      </c>
      <c r="X68" s="1">
        <v>0</v>
      </c>
      <c r="Y68" s="1">
        <v>0</v>
      </c>
      <c r="Z68" s="1">
        <v>1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</row>
    <row r="69" spans="1:32" x14ac:dyDescent="0.25">
      <c r="A69" s="1">
        <v>68</v>
      </c>
      <c r="B69" s="1" t="s">
        <v>236</v>
      </c>
      <c r="C69" s="1" t="s">
        <v>232</v>
      </c>
      <c r="D69" s="1" t="s">
        <v>78</v>
      </c>
      <c r="F69" s="1" t="s">
        <v>69</v>
      </c>
      <c r="G69" s="3">
        <v>46163</v>
      </c>
      <c r="H69" s="3">
        <v>46164</v>
      </c>
      <c r="I69" s="1">
        <v>67</v>
      </c>
      <c r="J69" s="4">
        <v>0.5</v>
      </c>
      <c r="L69" s="1" t="s">
        <v>34</v>
      </c>
      <c r="M69" s="1" t="s">
        <v>47</v>
      </c>
      <c r="N69" s="1" t="s">
        <v>226</v>
      </c>
      <c r="O69" s="1" t="s">
        <v>133</v>
      </c>
      <c r="P69" s="5">
        <v>46191</v>
      </c>
      <c r="Q69" s="1" t="s">
        <v>38</v>
      </c>
      <c r="R69" s="1">
        <v>69</v>
      </c>
      <c r="U69" s="1">
        <v>0.5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1</v>
      </c>
      <c r="AD69" s="1">
        <v>0</v>
      </c>
      <c r="AE69" s="1">
        <v>0</v>
      </c>
      <c r="AF69" s="1">
        <v>0</v>
      </c>
    </row>
    <row r="70" spans="1:32" x14ac:dyDescent="0.25">
      <c r="A70" s="1">
        <v>69</v>
      </c>
      <c r="B70" s="1" t="s">
        <v>237</v>
      </c>
      <c r="C70" s="1" t="s">
        <v>232</v>
      </c>
      <c r="D70" s="1" t="s">
        <v>84</v>
      </c>
      <c r="F70" s="1" t="s">
        <v>74</v>
      </c>
      <c r="G70" s="3">
        <v>46167</v>
      </c>
      <c r="H70" s="3">
        <v>46167</v>
      </c>
      <c r="I70" s="1">
        <v>68</v>
      </c>
      <c r="J70" s="4">
        <v>0</v>
      </c>
      <c r="L70" s="1" t="s">
        <v>34</v>
      </c>
      <c r="M70" s="1" t="s">
        <v>47</v>
      </c>
      <c r="N70" s="1" t="s">
        <v>226</v>
      </c>
      <c r="O70" s="1" t="s">
        <v>135</v>
      </c>
      <c r="P70" s="5">
        <v>46192</v>
      </c>
      <c r="Q70" s="1" t="s">
        <v>38</v>
      </c>
      <c r="U70" s="1">
        <v>0</v>
      </c>
      <c r="V70" s="1">
        <v>0</v>
      </c>
      <c r="W70" s="1">
        <v>0</v>
      </c>
      <c r="X70" s="1">
        <v>0</v>
      </c>
      <c r="Y70" s="1">
        <v>1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1</v>
      </c>
      <c r="AF70" s="1">
        <v>0</v>
      </c>
    </row>
    <row r="71" spans="1:32" x14ac:dyDescent="0.25">
      <c r="A71" s="1">
        <v>70</v>
      </c>
      <c r="B71" s="1" t="s">
        <v>238</v>
      </c>
      <c r="C71" s="1" t="s">
        <v>228</v>
      </c>
      <c r="D71" s="1" t="s">
        <v>239</v>
      </c>
      <c r="E71" s="1" t="s">
        <v>240</v>
      </c>
      <c r="F71" s="1" t="s">
        <v>230</v>
      </c>
      <c r="G71" s="3">
        <v>46332</v>
      </c>
      <c r="H71" s="3">
        <v>46339</v>
      </c>
      <c r="J71" s="4">
        <v>0</v>
      </c>
      <c r="L71" s="1" t="s">
        <v>80</v>
      </c>
      <c r="M71" s="1" t="s">
        <v>47</v>
      </c>
      <c r="N71" s="1" t="s">
        <v>226</v>
      </c>
      <c r="O71" s="1" t="s">
        <v>241</v>
      </c>
      <c r="P71" s="5">
        <v>46175</v>
      </c>
      <c r="Q71" s="1" t="s">
        <v>38</v>
      </c>
      <c r="S71" s="1" t="s">
        <v>65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</row>
    <row r="72" spans="1:32" x14ac:dyDescent="0.25">
      <c r="A72" s="1">
        <v>71</v>
      </c>
      <c r="B72" s="1" t="s">
        <v>242</v>
      </c>
      <c r="C72" s="1" t="s">
        <v>243</v>
      </c>
      <c r="D72" s="1" t="s">
        <v>68</v>
      </c>
      <c r="F72" s="1" t="s">
        <v>69</v>
      </c>
      <c r="G72" s="3">
        <v>46332</v>
      </c>
      <c r="H72" s="3">
        <v>46335</v>
      </c>
      <c r="I72" s="1" t="s">
        <v>244</v>
      </c>
      <c r="J72" s="4">
        <v>0</v>
      </c>
      <c r="L72" s="1" t="s">
        <v>80</v>
      </c>
      <c r="M72" s="1" t="s">
        <v>47</v>
      </c>
      <c r="N72" s="1" t="s">
        <v>226</v>
      </c>
      <c r="O72" s="1" t="s">
        <v>241</v>
      </c>
      <c r="P72" s="5">
        <v>46169</v>
      </c>
      <c r="Q72" s="1" t="s">
        <v>38</v>
      </c>
      <c r="R72" s="1">
        <v>72</v>
      </c>
      <c r="U72" s="1">
        <v>0</v>
      </c>
      <c r="V72" s="1">
        <v>1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</row>
    <row r="73" spans="1:32" x14ac:dyDescent="0.25">
      <c r="A73" s="1">
        <v>72</v>
      </c>
      <c r="B73" s="1" t="s">
        <v>245</v>
      </c>
      <c r="C73" s="1" t="s">
        <v>243</v>
      </c>
      <c r="D73" s="1" t="s">
        <v>73</v>
      </c>
      <c r="F73" s="1" t="s">
        <v>74</v>
      </c>
      <c r="G73" s="3">
        <v>46336</v>
      </c>
      <c r="H73" s="3">
        <v>46336</v>
      </c>
      <c r="I73" s="1">
        <v>71</v>
      </c>
      <c r="J73" s="4">
        <v>0</v>
      </c>
      <c r="L73" s="1" t="s">
        <v>80</v>
      </c>
      <c r="M73" s="1" t="s">
        <v>47</v>
      </c>
      <c r="N73" s="1" t="s">
        <v>226</v>
      </c>
      <c r="O73" s="1" t="s">
        <v>246</v>
      </c>
      <c r="P73" s="5">
        <v>46170</v>
      </c>
      <c r="Q73" s="1" t="s">
        <v>38</v>
      </c>
      <c r="R73" s="1">
        <v>73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</row>
    <row r="74" spans="1:32" x14ac:dyDescent="0.25">
      <c r="A74" s="1">
        <v>73</v>
      </c>
      <c r="B74" s="1" t="s">
        <v>247</v>
      </c>
      <c r="C74" s="1" t="s">
        <v>243</v>
      </c>
      <c r="D74" s="1" t="s">
        <v>78</v>
      </c>
      <c r="F74" s="1" t="s">
        <v>69</v>
      </c>
      <c r="G74" s="3">
        <v>46337</v>
      </c>
      <c r="H74" s="3">
        <v>46338</v>
      </c>
      <c r="I74" s="1">
        <v>72</v>
      </c>
      <c r="J74" s="4">
        <v>0</v>
      </c>
      <c r="L74" s="1" t="s">
        <v>80</v>
      </c>
      <c r="M74" s="1" t="s">
        <v>47</v>
      </c>
      <c r="N74" s="1" t="s">
        <v>226</v>
      </c>
      <c r="O74" s="1" t="s">
        <v>248</v>
      </c>
      <c r="P74" s="5">
        <v>46174</v>
      </c>
      <c r="Q74" s="1" t="s">
        <v>38</v>
      </c>
      <c r="R74" s="1">
        <v>74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</row>
    <row r="75" spans="1:32" x14ac:dyDescent="0.25">
      <c r="A75" s="1">
        <v>74</v>
      </c>
      <c r="B75" s="1" t="s">
        <v>249</v>
      </c>
      <c r="C75" s="1" t="s">
        <v>243</v>
      </c>
      <c r="D75" s="1" t="s">
        <v>84</v>
      </c>
      <c r="F75" s="1" t="s">
        <v>74</v>
      </c>
      <c r="G75" s="3">
        <v>46339</v>
      </c>
      <c r="H75" s="3">
        <v>46339</v>
      </c>
      <c r="I75" s="1">
        <v>73</v>
      </c>
      <c r="J75" s="4">
        <v>0</v>
      </c>
      <c r="L75" s="1" t="s">
        <v>80</v>
      </c>
      <c r="M75" s="1" t="s">
        <v>47</v>
      </c>
      <c r="N75" s="1" t="s">
        <v>226</v>
      </c>
      <c r="O75" s="1" t="s">
        <v>250</v>
      </c>
      <c r="P75" s="5">
        <v>46175</v>
      </c>
      <c r="Q75" s="1" t="s">
        <v>38</v>
      </c>
      <c r="U75" s="1">
        <v>0</v>
      </c>
      <c r="V75" s="1">
        <v>0</v>
      </c>
      <c r="W75" s="1">
        <v>0</v>
      </c>
      <c r="X75" s="1">
        <v>0</v>
      </c>
      <c r="Y75" s="1">
        <v>1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</row>
    <row r="76" spans="1:32" x14ac:dyDescent="0.25">
      <c r="A76" s="1">
        <v>75</v>
      </c>
      <c r="B76" s="1" t="s">
        <v>251</v>
      </c>
      <c r="C76" s="1" t="s">
        <v>228</v>
      </c>
      <c r="D76" s="1" t="s">
        <v>252</v>
      </c>
      <c r="E76" s="1" t="s">
        <v>240</v>
      </c>
      <c r="F76" s="1" t="s">
        <v>230</v>
      </c>
      <c r="G76" s="3">
        <v>46332</v>
      </c>
      <c r="H76" s="3">
        <v>46339</v>
      </c>
      <c r="J76" s="4">
        <v>0</v>
      </c>
      <c r="L76" s="1" t="s">
        <v>80</v>
      </c>
      <c r="M76" s="1" t="s">
        <v>47</v>
      </c>
      <c r="N76" s="1" t="s">
        <v>226</v>
      </c>
      <c r="O76" s="1" t="s">
        <v>241</v>
      </c>
      <c r="P76" s="5">
        <v>46175</v>
      </c>
      <c r="Q76" s="1" t="s">
        <v>38</v>
      </c>
      <c r="S76" s="1" t="s">
        <v>65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</row>
    <row r="77" spans="1:32" x14ac:dyDescent="0.25">
      <c r="A77" s="1">
        <v>76</v>
      </c>
      <c r="B77" s="1" t="s">
        <v>253</v>
      </c>
      <c r="C77" s="1" t="s">
        <v>254</v>
      </c>
      <c r="D77" s="1" t="s">
        <v>68</v>
      </c>
      <c r="F77" s="1" t="s">
        <v>69</v>
      </c>
      <c r="G77" s="3">
        <v>46332</v>
      </c>
      <c r="H77" s="3">
        <v>46335</v>
      </c>
      <c r="I77" s="1" t="s">
        <v>244</v>
      </c>
      <c r="J77" s="4">
        <v>0</v>
      </c>
      <c r="L77" s="1" t="s">
        <v>80</v>
      </c>
      <c r="M77" s="1" t="s">
        <v>47</v>
      </c>
      <c r="N77" s="1" t="s">
        <v>226</v>
      </c>
      <c r="O77" s="1" t="s">
        <v>241</v>
      </c>
      <c r="P77" s="5">
        <v>46169</v>
      </c>
      <c r="Q77" s="1" t="s">
        <v>38</v>
      </c>
      <c r="R77" s="1">
        <v>77</v>
      </c>
      <c r="U77" s="1">
        <v>0</v>
      </c>
      <c r="V77" s="1">
        <v>1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</row>
    <row r="78" spans="1:32" x14ac:dyDescent="0.25">
      <c r="A78" s="1">
        <v>77</v>
      </c>
      <c r="B78" s="1" t="s">
        <v>255</v>
      </c>
      <c r="C78" s="1" t="s">
        <v>254</v>
      </c>
      <c r="D78" s="1" t="s">
        <v>73</v>
      </c>
      <c r="F78" s="1" t="s">
        <v>74</v>
      </c>
      <c r="G78" s="3">
        <v>46336</v>
      </c>
      <c r="H78" s="3">
        <v>46336</v>
      </c>
      <c r="I78" s="1">
        <v>76</v>
      </c>
      <c r="J78" s="4">
        <v>0</v>
      </c>
      <c r="L78" s="1" t="s">
        <v>80</v>
      </c>
      <c r="M78" s="1" t="s">
        <v>47</v>
      </c>
      <c r="N78" s="1" t="s">
        <v>226</v>
      </c>
      <c r="O78" s="1" t="s">
        <v>246</v>
      </c>
      <c r="P78" s="5">
        <v>46170</v>
      </c>
      <c r="Q78" s="1" t="s">
        <v>38</v>
      </c>
      <c r="R78" s="1">
        <v>78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</row>
    <row r="79" spans="1:32" x14ac:dyDescent="0.25">
      <c r="A79" s="1">
        <v>78</v>
      </c>
      <c r="B79" s="1" t="s">
        <v>256</v>
      </c>
      <c r="C79" s="1" t="s">
        <v>254</v>
      </c>
      <c r="D79" s="1" t="s">
        <v>78</v>
      </c>
      <c r="F79" s="1" t="s">
        <v>69</v>
      </c>
      <c r="G79" s="3">
        <v>46337</v>
      </c>
      <c r="H79" s="3">
        <v>46338</v>
      </c>
      <c r="I79" s="1">
        <v>77</v>
      </c>
      <c r="J79" s="4">
        <v>0</v>
      </c>
      <c r="L79" s="1" t="s">
        <v>80</v>
      </c>
      <c r="M79" s="1" t="s">
        <v>47</v>
      </c>
      <c r="N79" s="1" t="s">
        <v>226</v>
      </c>
      <c r="O79" s="1" t="s">
        <v>248</v>
      </c>
      <c r="P79" s="5">
        <v>46174</v>
      </c>
      <c r="Q79" s="1" t="s">
        <v>38</v>
      </c>
      <c r="R79" s="1">
        <v>79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</row>
    <row r="80" spans="1:32" x14ac:dyDescent="0.25">
      <c r="A80" s="1">
        <v>79</v>
      </c>
      <c r="B80" s="1" t="s">
        <v>257</v>
      </c>
      <c r="C80" s="1" t="s">
        <v>254</v>
      </c>
      <c r="D80" s="1" t="s">
        <v>84</v>
      </c>
      <c r="F80" s="1" t="s">
        <v>74</v>
      </c>
      <c r="G80" s="3">
        <v>46339</v>
      </c>
      <c r="H80" s="3">
        <v>46339</v>
      </c>
      <c r="I80" s="1">
        <v>78</v>
      </c>
      <c r="J80" s="4">
        <v>0</v>
      </c>
      <c r="L80" s="1" t="s">
        <v>80</v>
      </c>
      <c r="M80" s="1" t="s">
        <v>47</v>
      </c>
      <c r="N80" s="1" t="s">
        <v>226</v>
      </c>
      <c r="O80" s="1" t="s">
        <v>250</v>
      </c>
      <c r="P80" s="5">
        <v>46175</v>
      </c>
      <c r="Q80" s="1" t="s">
        <v>38</v>
      </c>
      <c r="U80" s="1">
        <v>0</v>
      </c>
      <c r="V80" s="1">
        <v>0</v>
      </c>
      <c r="W80" s="1">
        <v>0</v>
      </c>
      <c r="X80" s="1">
        <v>0</v>
      </c>
      <c r="Y80" s="1">
        <v>1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</row>
    <row r="81" spans="1:32" x14ac:dyDescent="0.25">
      <c r="A81" s="1">
        <v>80</v>
      </c>
      <c r="B81" s="1" t="s">
        <v>258</v>
      </c>
      <c r="C81" s="1" t="s">
        <v>228</v>
      </c>
      <c r="D81" s="1" t="s">
        <v>259</v>
      </c>
      <c r="E81" s="1" t="s">
        <v>240</v>
      </c>
      <c r="F81" s="1" t="s">
        <v>230</v>
      </c>
      <c r="G81" s="3">
        <v>46332</v>
      </c>
      <c r="H81" s="3">
        <v>46339</v>
      </c>
      <c r="J81" s="4">
        <v>0</v>
      </c>
      <c r="L81" s="1" t="s">
        <v>80</v>
      </c>
      <c r="M81" s="1" t="s">
        <v>47</v>
      </c>
      <c r="N81" s="1" t="s">
        <v>226</v>
      </c>
      <c r="O81" s="1" t="s">
        <v>241</v>
      </c>
      <c r="P81" s="5">
        <v>46175</v>
      </c>
      <c r="Q81" s="1" t="s">
        <v>38</v>
      </c>
      <c r="S81" s="1" t="s">
        <v>65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</row>
    <row r="82" spans="1:32" x14ac:dyDescent="0.25">
      <c r="A82" s="1">
        <v>81</v>
      </c>
      <c r="B82" s="1" t="s">
        <v>260</v>
      </c>
      <c r="C82" s="1" t="s">
        <v>261</v>
      </c>
      <c r="D82" s="1" t="s">
        <v>68</v>
      </c>
      <c r="F82" s="1" t="s">
        <v>69</v>
      </c>
      <c r="G82" s="3">
        <v>46332</v>
      </c>
      <c r="H82" s="3">
        <v>46335</v>
      </c>
      <c r="I82" s="1" t="s">
        <v>244</v>
      </c>
      <c r="J82" s="4">
        <v>0</v>
      </c>
      <c r="L82" s="1" t="s">
        <v>80</v>
      </c>
      <c r="M82" s="1" t="s">
        <v>47</v>
      </c>
      <c r="N82" s="1" t="s">
        <v>226</v>
      </c>
      <c r="O82" s="1" t="s">
        <v>241</v>
      </c>
      <c r="P82" s="5">
        <v>46169</v>
      </c>
      <c r="Q82" s="1" t="s">
        <v>38</v>
      </c>
      <c r="R82" s="1">
        <v>82</v>
      </c>
      <c r="U82" s="1">
        <v>0</v>
      </c>
      <c r="V82" s="1">
        <v>1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</row>
    <row r="83" spans="1:32" x14ac:dyDescent="0.25">
      <c r="A83" s="1">
        <v>82</v>
      </c>
      <c r="B83" s="1" t="s">
        <v>262</v>
      </c>
      <c r="C83" s="1" t="s">
        <v>261</v>
      </c>
      <c r="D83" s="1" t="s">
        <v>73</v>
      </c>
      <c r="F83" s="1" t="s">
        <v>74</v>
      </c>
      <c r="G83" s="3">
        <v>46336</v>
      </c>
      <c r="H83" s="3">
        <v>46336</v>
      </c>
      <c r="I83" s="1">
        <v>81</v>
      </c>
      <c r="J83" s="4">
        <v>0</v>
      </c>
      <c r="L83" s="1" t="s">
        <v>80</v>
      </c>
      <c r="M83" s="1" t="s">
        <v>47</v>
      </c>
      <c r="N83" s="1" t="s">
        <v>226</v>
      </c>
      <c r="O83" s="1" t="s">
        <v>246</v>
      </c>
      <c r="P83" s="5">
        <v>46170</v>
      </c>
      <c r="Q83" s="1" t="s">
        <v>38</v>
      </c>
      <c r="R83" s="1">
        <v>83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</row>
    <row r="84" spans="1:32" x14ac:dyDescent="0.25">
      <c r="A84" s="1">
        <v>83</v>
      </c>
      <c r="B84" s="1" t="s">
        <v>263</v>
      </c>
      <c r="C84" s="1" t="s">
        <v>261</v>
      </c>
      <c r="D84" s="1" t="s">
        <v>78</v>
      </c>
      <c r="F84" s="1" t="s">
        <v>69</v>
      </c>
      <c r="G84" s="3">
        <v>46337</v>
      </c>
      <c r="H84" s="3">
        <v>46338</v>
      </c>
      <c r="I84" s="1">
        <v>82</v>
      </c>
      <c r="J84" s="4">
        <v>0</v>
      </c>
      <c r="L84" s="1" t="s">
        <v>80</v>
      </c>
      <c r="M84" s="1" t="s">
        <v>47</v>
      </c>
      <c r="N84" s="1" t="s">
        <v>226</v>
      </c>
      <c r="O84" s="1" t="s">
        <v>248</v>
      </c>
      <c r="P84" s="5">
        <v>46174</v>
      </c>
      <c r="Q84" s="1" t="s">
        <v>38</v>
      </c>
      <c r="R84" s="1">
        <v>84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</row>
    <row r="85" spans="1:32" x14ac:dyDescent="0.25">
      <c r="A85" s="1">
        <v>84</v>
      </c>
      <c r="B85" s="1" t="s">
        <v>264</v>
      </c>
      <c r="C85" s="1" t="s">
        <v>261</v>
      </c>
      <c r="D85" s="1" t="s">
        <v>84</v>
      </c>
      <c r="F85" s="1" t="s">
        <v>74</v>
      </c>
      <c r="G85" s="3">
        <v>46339</v>
      </c>
      <c r="H85" s="3">
        <v>46339</v>
      </c>
      <c r="I85" s="1">
        <v>83</v>
      </c>
      <c r="J85" s="4">
        <v>0</v>
      </c>
      <c r="L85" s="1" t="s">
        <v>80</v>
      </c>
      <c r="M85" s="1" t="s">
        <v>47</v>
      </c>
      <c r="N85" s="1" t="s">
        <v>226</v>
      </c>
      <c r="O85" s="1" t="s">
        <v>250</v>
      </c>
      <c r="P85" s="5">
        <v>46175</v>
      </c>
      <c r="Q85" s="1" t="s">
        <v>38</v>
      </c>
      <c r="U85" s="1">
        <v>0</v>
      </c>
      <c r="V85" s="1">
        <v>0</v>
      </c>
      <c r="W85" s="1">
        <v>0</v>
      </c>
      <c r="X85" s="1">
        <v>0</v>
      </c>
      <c r="Y85" s="1">
        <v>1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</row>
    <row r="86" spans="1:32" x14ac:dyDescent="0.25">
      <c r="A86" s="1">
        <v>85</v>
      </c>
      <c r="B86" s="1" t="s">
        <v>265</v>
      </c>
      <c r="C86" s="1" t="s">
        <v>228</v>
      </c>
      <c r="D86" s="1" t="s">
        <v>266</v>
      </c>
      <c r="E86" s="1" t="s">
        <v>240</v>
      </c>
      <c r="F86" s="1" t="s">
        <v>230</v>
      </c>
      <c r="G86" s="3">
        <v>46332</v>
      </c>
      <c r="H86" s="3">
        <v>46339</v>
      </c>
      <c r="J86" s="4">
        <v>0</v>
      </c>
      <c r="L86" s="1" t="s">
        <v>80</v>
      </c>
      <c r="M86" s="1" t="s">
        <v>47</v>
      </c>
      <c r="N86" s="1" t="s">
        <v>226</v>
      </c>
      <c r="O86" s="1" t="s">
        <v>241</v>
      </c>
      <c r="P86" s="5">
        <v>46175</v>
      </c>
      <c r="Q86" s="1" t="s">
        <v>38</v>
      </c>
      <c r="S86" s="1" t="s">
        <v>65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</row>
    <row r="87" spans="1:32" x14ac:dyDescent="0.25">
      <c r="A87" s="1">
        <v>86</v>
      </c>
      <c r="B87" s="1" t="s">
        <v>267</v>
      </c>
      <c r="C87" s="1" t="s">
        <v>268</v>
      </c>
      <c r="D87" s="1" t="s">
        <v>68</v>
      </c>
      <c r="F87" s="1" t="s">
        <v>69</v>
      </c>
      <c r="G87" s="3">
        <v>46332</v>
      </c>
      <c r="H87" s="3">
        <v>46335</v>
      </c>
      <c r="I87" s="1" t="s">
        <v>244</v>
      </c>
      <c r="J87" s="4">
        <v>0</v>
      </c>
      <c r="L87" s="1" t="s">
        <v>80</v>
      </c>
      <c r="M87" s="1" t="s">
        <v>47</v>
      </c>
      <c r="N87" s="1" t="s">
        <v>226</v>
      </c>
      <c r="O87" s="1" t="s">
        <v>241</v>
      </c>
      <c r="P87" s="5">
        <v>46169</v>
      </c>
      <c r="Q87" s="1" t="s">
        <v>38</v>
      </c>
      <c r="R87" s="1">
        <v>87</v>
      </c>
      <c r="U87" s="1">
        <v>0</v>
      </c>
      <c r="V87" s="1">
        <v>1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</row>
    <row r="88" spans="1:32" x14ac:dyDescent="0.25">
      <c r="A88" s="1">
        <v>87</v>
      </c>
      <c r="B88" s="1" t="s">
        <v>269</v>
      </c>
      <c r="C88" s="1" t="s">
        <v>268</v>
      </c>
      <c r="D88" s="1" t="s">
        <v>73</v>
      </c>
      <c r="F88" s="1" t="s">
        <v>74</v>
      </c>
      <c r="G88" s="3">
        <v>46336</v>
      </c>
      <c r="H88" s="3">
        <v>46336</v>
      </c>
      <c r="I88" s="1">
        <v>86</v>
      </c>
      <c r="J88" s="4">
        <v>0</v>
      </c>
      <c r="L88" s="1" t="s">
        <v>80</v>
      </c>
      <c r="M88" s="1" t="s">
        <v>47</v>
      </c>
      <c r="N88" s="1" t="s">
        <v>226</v>
      </c>
      <c r="O88" s="1" t="s">
        <v>246</v>
      </c>
      <c r="P88" s="5">
        <v>46170</v>
      </c>
      <c r="Q88" s="1" t="s">
        <v>38</v>
      </c>
      <c r="R88" s="1">
        <v>88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</row>
    <row r="89" spans="1:32" x14ac:dyDescent="0.25">
      <c r="A89" s="1">
        <v>88</v>
      </c>
      <c r="B89" s="1" t="s">
        <v>270</v>
      </c>
      <c r="C89" s="1" t="s">
        <v>268</v>
      </c>
      <c r="D89" s="1" t="s">
        <v>78</v>
      </c>
      <c r="F89" s="1" t="s">
        <v>69</v>
      </c>
      <c r="G89" s="3">
        <v>46337</v>
      </c>
      <c r="H89" s="3">
        <v>46338</v>
      </c>
      <c r="I89" s="1">
        <v>87</v>
      </c>
      <c r="J89" s="4">
        <v>0</v>
      </c>
      <c r="L89" s="1" t="s">
        <v>80</v>
      </c>
      <c r="M89" s="1" t="s">
        <v>47</v>
      </c>
      <c r="N89" s="1" t="s">
        <v>226</v>
      </c>
      <c r="O89" s="1" t="s">
        <v>248</v>
      </c>
      <c r="P89" s="5">
        <v>46174</v>
      </c>
      <c r="Q89" s="1" t="s">
        <v>38</v>
      </c>
      <c r="R89" s="1">
        <v>89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</row>
    <row r="90" spans="1:32" x14ac:dyDescent="0.25">
      <c r="A90" s="1">
        <v>89</v>
      </c>
      <c r="B90" s="1" t="s">
        <v>271</v>
      </c>
      <c r="C90" s="1" t="s">
        <v>268</v>
      </c>
      <c r="D90" s="1" t="s">
        <v>84</v>
      </c>
      <c r="F90" s="1" t="s">
        <v>74</v>
      </c>
      <c r="G90" s="3">
        <v>46339</v>
      </c>
      <c r="H90" s="3">
        <v>46339</v>
      </c>
      <c r="I90" s="1">
        <v>88</v>
      </c>
      <c r="J90" s="4">
        <v>0</v>
      </c>
      <c r="L90" s="1" t="s">
        <v>80</v>
      </c>
      <c r="M90" s="1" t="s">
        <v>47</v>
      </c>
      <c r="N90" s="1" t="s">
        <v>226</v>
      </c>
      <c r="O90" s="1" t="s">
        <v>250</v>
      </c>
      <c r="P90" s="5">
        <v>46175</v>
      </c>
      <c r="Q90" s="1" t="s">
        <v>38</v>
      </c>
      <c r="U90" s="1">
        <v>0</v>
      </c>
      <c r="V90" s="1">
        <v>0</v>
      </c>
      <c r="W90" s="1">
        <v>0</v>
      </c>
      <c r="X90" s="1">
        <v>0</v>
      </c>
      <c r="Y90" s="1">
        <v>1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</row>
    <row r="91" spans="1:32" x14ac:dyDescent="0.25">
      <c r="A91" s="1">
        <v>90</v>
      </c>
      <c r="B91" s="1" t="s">
        <v>272</v>
      </c>
      <c r="C91" s="1" t="s">
        <v>228</v>
      </c>
      <c r="D91" s="1" t="s">
        <v>273</v>
      </c>
      <c r="E91" s="1" t="s">
        <v>193</v>
      </c>
      <c r="F91" s="1" t="s">
        <v>230</v>
      </c>
      <c r="G91" s="3">
        <v>46332</v>
      </c>
      <c r="H91" s="3">
        <v>46339</v>
      </c>
      <c r="J91" s="4">
        <v>0</v>
      </c>
      <c r="L91" s="1" t="s">
        <v>80</v>
      </c>
      <c r="M91" s="1" t="s">
        <v>47</v>
      </c>
      <c r="N91" s="1" t="s">
        <v>226</v>
      </c>
      <c r="O91" s="1" t="s">
        <v>241</v>
      </c>
      <c r="P91" s="5">
        <v>46175</v>
      </c>
      <c r="Q91" s="1" t="s">
        <v>38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</row>
    <row r="92" spans="1:32" x14ac:dyDescent="0.25">
      <c r="A92" s="1">
        <v>91</v>
      </c>
      <c r="B92" s="1" t="s">
        <v>274</v>
      </c>
      <c r="C92" s="1" t="s">
        <v>275</v>
      </c>
      <c r="D92" s="1" t="s">
        <v>68</v>
      </c>
      <c r="F92" s="1" t="s">
        <v>69</v>
      </c>
      <c r="G92" s="3">
        <v>46332</v>
      </c>
      <c r="H92" s="3">
        <v>46335</v>
      </c>
      <c r="I92" s="1" t="s">
        <v>244</v>
      </c>
      <c r="J92" s="4">
        <v>0</v>
      </c>
      <c r="L92" s="1" t="s">
        <v>80</v>
      </c>
      <c r="M92" s="1" t="s">
        <v>47</v>
      </c>
      <c r="N92" s="1" t="s">
        <v>226</v>
      </c>
      <c r="O92" s="1" t="s">
        <v>241</v>
      </c>
      <c r="P92" s="5">
        <v>46169</v>
      </c>
      <c r="Q92" s="1" t="s">
        <v>38</v>
      </c>
      <c r="R92" s="1">
        <v>92</v>
      </c>
      <c r="U92" s="1">
        <v>0</v>
      </c>
      <c r="V92" s="1">
        <v>1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</row>
    <row r="93" spans="1:32" x14ac:dyDescent="0.25">
      <c r="A93" s="1">
        <v>92</v>
      </c>
      <c r="B93" s="1" t="s">
        <v>276</v>
      </c>
      <c r="C93" s="1" t="s">
        <v>275</v>
      </c>
      <c r="D93" s="1" t="s">
        <v>73</v>
      </c>
      <c r="F93" s="1" t="s">
        <v>74</v>
      </c>
      <c r="G93" s="3">
        <v>46336</v>
      </c>
      <c r="H93" s="3">
        <v>46336</v>
      </c>
      <c r="I93" s="1">
        <v>91</v>
      </c>
      <c r="J93" s="4">
        <v>0</v>
      </c>
      <c r="L93" s="1" t="s">
        <v>80</v>
      </c>
      <c r="M93" s="1" t="s">
        <v>47</v>
      </c>
      <c r="N93" s="1" t="s">
        <v>226</v>
      </c>
      <c r="O93" s="1" t="s">
        <v>246</v>
      </c>
      <c r="P93" s="5">
        <v>46170</v>
      </c>
      <c r="Q93" s="1" t="s">
        <v>38</v>
      </c>
      <c r="R93" s="1">
        <v>93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</row>
    <row r="94" spans="1:32" x14ac:dyDescent="0.25">
      <c r="A94" s="1">
        <v>93</v>
      </c>
      <c r="B94" s="1" t="s">
        <v>277</v>
      </c>
      <c r="C94" s="1" t="s">
        <v>275</v>
      </c>
      <c r="D94" s="1" t="s">
        <v>78</v>
      </c>
      <c r="F94" s="1" t="s">
        <v>69</v>
      </c>
      <c r="G94" s="3">
        <v>46337</v>
      </c>
      <c r="H94" s="3">
        <v>46338</v>
      </c>
      <c r="I94" s="1">
        <v>92</v>
      </c>
      <c r="J94" s="4">
        <v>0</v>
      </c>
      <c r="L94" s="1" t="s">
        <v>80</v>
      </c>
      <c r="M94" s="1" t="s">
        <v>47</v>
      </c>
      <c r="N94" s="1" t="s">
        <v>226</v>
      </c>
      <c r="O94" s="1" t="s">
        <v>248</v>
      </c>
      <c r="P94" s="5">
        <v>46174</v>
      </c>
      <c r="Q94" s="1" t="s">
        <v>38</v>
      </c>
      <c r="R94" s="1">
        <v>94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</row>
    <row r="95" spans="1:32" x14ac:dyDescent="0.25">
      <c r="A95" s="1">
        <v>94</v>
      </c>
      <c r="B95" s="1" t="s">
        <v>278</v>
      </c>
      <c r="C95" s="1" t="s">
        <v>275</v>
      </c>
      <c r="D95" s="1" t="s">
        <v>84</v>
      </c>
      <c r="F95" s="1" t="s">
        <v>74</v>
      </c>
      <c r="G95" s="3">
        <v>46339</v>
      </c>
      <c r="H95" s="3">
        <v>46339</v>
      </c>
      <c r="I95" s="1">
        <v>93</v>
      </c>
      <c r="J95" s="4">
        <v>0</v>
      </c>
      <c r="L95" s="1" t="s">
        <v>80</v>
      </c>
      <c r="M95" s="1" t="s">
        <v>47</v>
      </c>
      <c r="N95" s="1" t="s">
        <v>226</v>
      </c>
      <c r="O95" s="1" t="s">
        <v>250</v>
      </c>
      <c r="P95" s="5">
        <v>46175</v>
      </c>
      <c r="Q95" s="1" t="s">
        <v>38</v>
      </c>
      <c r="U95" s="1">
        <v>0</v>
      </c>
      <c r="V95" s="1">
        <v>0</v>
      </c>
      <c r="W95" s="1">
        <v>0</v>
      </c>
      <c r="X95" s="1">
        <v>0</v>
      </c>
      <c r="Y95" s="1">
        <v>1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</row>
    <row r="96" spans="1:32" x14ac:dyDescent="0.25">
      <c r="A96" s="1">
        <v>95</v>
      </c>
      <c r="B96" s="1" t="s">
        <v>279</v>
      </c>
      <c r="C96" s="1" t="s">
        <v>228</v>
      </c>
      <c r="D96" s="1" t="s">
        <v>280</v>
      </c>
      <c r="E96" s="1" t="s">
        <v>240</v>
      </c>
      <c r="F96" s="1" t="s">
        <v>126</v>
      </c>
      <c r="G96" s="3">
        <v>46209</v>
      </c>
      <c r="H96" s="3">
        <v>46219</v>
      </c>
      <c r="J96" s="4">
        <v>0</v>
      </c>
      <c r="L96" s="1" t="s">
        <v>64</v>
      </c>
      <c r="M96" s="1" t="s">
        <v>47</v>
      </c>
      <c r="N96" s="1" t="s">
        <v>226</v>
      </c>
      <c r="O96" s="1" t="s">
        <v>241</v>
      </c>
      <c r="P96" s="5">
        <v>46175</v>
      </c>
      <c r="Q96" s="1" t="s">
        <v>38</v>
      </c>
      <c r="S96" s="1" t="s">
        <v>65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</row>
    <row r="97" spans="1:32" x14ac:dyDescent="0.25">
      <c r="A97" s="1">
        <v>96</v>
      </c>
      <c r="B97" s="1" t="s">
        <v>281</v>
      </c>
      <c r="C97" s="1" t="s">
        <v>282</v>
      </c>
      <c r="D97" s="1" t="s">
        <v>68</v>
      </c>
      <c r="F97" s="1" t="s">
        <v>93</v>
      </c>
      <c r="G97" s="3">
        <v>46209</v>
      </c>
      <c r="H97" s="3">
        <v>46211</v>
      </c>
      <c r="J97" s="4">
        <v>0</v>
      </c>
      <c r="L97" s="1" t="s">
        <v>64</v>
      </c>
      <c r="M97" s="1" t="s">
        <v>47</v>
      </c>
      <c r="N97" s="1" t="s">
        <v>226</v>
      </c>
      <c r="O97" s="1" t="s">
        <v>241</v>
      </c>
      <c r="P97" s="5">
        <v>46169</v>
      </c>
      <c r="Q97" s="1" t="s">
        <v>38</v>
      </c>
      <c r="R97" s="1">
        <v>97</v>
      </c>
      <c r="U97" s="1">
        <v>0</v>
      </c>
      <c r="V97" s="1">
        <v>1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</row>
    <row r="98" spans="1:32" x14ac:dyDescent="0.25">
      <c r="A98" s="1">
        <v>97</v>
      </c>
      <c r="B98" s="1" t="s">
        <v>283</v>
      </c>
      <c r="C98" s="1" t="s">
        <v>282</v>
      </c>
      <c r="D98" s="1" t="s">
        <v>73</v>
      </c>
      <c r="F98" s="1" t="s">
        <v>74</v>
      </c>
      <c r="G98" s="3">
        <v>46216</v>
      </c>
      <c r="H98" s="3">
        <v>46216</v>
      </c>
      <c r="I98" s="1">
        <v>96</v>
      </c>
      <c r="J98" s="4">
        <v>0</v>
      </c>
      <c r="L98" s="1" t="s">
        <v>80</v>
      </c>
      <c r="M98" s="1" t="s">
        <v>47</v>
      </c>
      <c r="N98" s="1" t="s">
        <v>226</v>
      </c>
      <c r="O98" s="1" t="s">
        <v>246</v>
      </c>
      <c r="P98" s="5">
        <v>46170</v>
      </c>
      <c r="Q98" s="1" t="s">
        <v>38</v>
      </c>
      <c r="R98" s="1">
        <v>98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</row>
    <row r="99" spans="1:32" x14ac:dyDescent="0.25">
      <c r="A99" s="1">
        <v>98</v>
      </c>
      <c r="B99" s="1" t="s">
        <v>284</v>
      </c>
      <c r="C99" s="1" t="s">
        <v>282</v>
      </c>
      <c r="D99" s="1" t="s">
        <v>78</v>
      </c>
      <c r="F99" s="1" t="s">
        <v>69</v>
      </c>
      <c r="G99" s="3">
        <v>46217</v>
      </c>
      <c r="H99" s="3">
        <v>46218</v>
      </c>
      <c r="I99" s="1">
        <v>97</v>
      </c>
      <c r="J99" s="4">
        <v>0</v>
      </c>
      <c r="L99" s="1" t="s">
        <v>80</v>
      </c>
      <c r="M99" s="1" t="s">
        <v>47</v>
      </c>
      <c r="N99" s="1" t="s">
        <v>226</v>
      </c>
      <c r="O99" s="1" t="s">
        <v>248</v>
      </c>
      <c r="P99" s="5">
        <v>46174</v>
      </c>
      <c r="Q99" s="1" t="s">
        <v>38</v>
      </c>
      <c r="R99" s="1">
        <v>99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</row>
    <row r="100" spans="1:32" x14ac:dyDescent="0.25">
      <c r="A100" s="1">
        <v>99</v>
      </c>
      <c r="B100" s="1" t="s">
        <v>285</v>
      </c>
      <c r="C100" s="1" t="s">
        <v>282</v>
      </c>
      <c r="D100" s="1" t="s">
        <v>84</v>
      </c>
      <c r="F100" s="1" t="s">
        <v>74</v>
      </c>
      <c r="G100" s="3">
        <v>46219</v>
      </c>
      <c r="H100" s="3">
        <v>46219</v>
      </c>
      <c r="I100" s="1">
        <v>98</v>
      </c>
      <c r="J100" s="4">
        <v>0</v>
      </c>
      <c r="L100" s="1" t="s">
        <v>80</v>
      </c>
      <c r="M100" s="1" t="s">
        <v>47</v>
      </c>
      <c r="N100" s="1" t="s">
        <v>226</v>
      </c>
      <c r="O100" s="1" t="s">
        <v>250</v>
      </c>
      <c r="P100" s="5">
        <v>46175</v>
      </c>
      <c r="Q100" s="1" t="s">
        <v>38</v>
      </c>
      <c r="U100" s="1">
        <v>0</v>
      </c>
      <c r="V100" s="1">
        <v>0</v>
      </c>
      <c r="W100" s="1">
        <v>0</v>
      </c>
      <c r="X100" s="1">
        <v>0</v>
      </c>
      <c r="Y100" s="1">
        <v>1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</row>
    <row r="101" spans="1:32" x14ac:dyDescent="0.25">
      <c r="A101" s="1">
        <v>100</v>
      </c>
      <c r="B101" s="1" t="s">
        <v>286</v>
      </c>
      <c r="C101" s="1" t="s">
        <v>43</v>
      </c>
      <c r="D101" s="1" t="s">
        <v>287</v>
      </c>
      <c r="F101" s="1" t="s">
        <v>288</v>
      </c>
      <c r="G101" s="3">
        <v>46181</v>
      </c>
      <c r="H101" s="3">
        <v>46366</v>
      </c>
      <c r="J101" s="4">
        <v>0.39</v>
      </c>
      <c r="L101" s="1" t="s">
        <v>64</v>
      </c>
      <c r="M101" s="1" t="s">
        <v>47</v>
      </c>
      <c r="N101" s="1" t="s">
        <v>289</v>
      </c>
      <c r="O101" s="1" t="s">
        <v>209</v>
      </c>
      <c r="P101" s="5">
        <v>46211</v>
      </c>
      <c r="Q101" s="1" t="s">
        <v>38</v>
      </c>
      <c r="U101" s="1">
        <v>0.39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</row>
    <row r="102" spans="1:32" x14ac:dyDescent="0.25">
      <c r="A102" s="1">
        <v>101</v>
      </c>
      <c r="B102" s="1" t="s">
        <v>290</v>
      </c>
      <c r="C102" s="1" t="s">
        <v>291</v>
      </c>
      <c r="D102" s="1" t="s">
        <v>292</v>
      </c>
      <c r="E102" s="1" t="s">
        <v>180</v>
      </c>
      <c r="F102" s="1" t="s">
        <v>181</v>
      </c>
      <c r="G102" s="3">
        <v>46181</v>
      </c>
      <c r="H102" s="3">
        <v>46191</v>
      </c>
      <c r="J102" s="4">
        <v>1</v>
      </c>
      <c r="K102" s="3">
        <v>46191</v>
      </c>
      <c r="L102" s="1" t="s">
        <v>46</v>
      </c>
      <c r="M102" s="1" t="s">
        <v>47</v>
      </c>
      <c r="N102" s="1" t="s">
        <v>289</v>
      </c>
      <c r="O102" s="1" t="s">
        <v>127</v>
      </c>
      <c r="P102" s="5">
        <v>46192</v>
      </c>
      <c r="Q102" s="1" t="s">
        <v>38</v>
      </c>
      <c r="U102" s="1">
        <v>1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</row>
    <row r="103" spans="1:32" x14ac:dyDescent="0.25">
      <c r="A103" s="1">
        <v>102</v>
      </c>
      <c r="B103" s="1" t="s">
        <v>293</v>
      </c>
      <c r="C103" s="1" t="s">
        <v>294</v>
      </c>
      <c r="D103" s="1" t="s">
        <v>68</v>
      </c>
      <c r="F103" s="1" t="s">
        <v>185</v>
      </c>
      <c r="G103" s="3">
        <v>46181</v>
      </c>
      <c r="H103" s="3">
        <v>46185</v>
      </c>
      <c r="I103" s="1" t="s">
        <v>233</v>
      </c>
      <c r="J103" s="4">
        <v>1</v>
      </c>
      <c r="K103" s="3">
        <v>46185</v>
      </c>
      <c r="L103" s="1" t="s">
        <v>46</v>
      </c>
      <c r="M103" s="1" t="s">
        <v>47</v>
      </c>
      <c r="N103" s="1" t="s">
        <v>289</v>
      </c>
      <c r="O103" s="1" t="s">
        <v>127</v>
      </c>
      <c r="P103" s="5">
        <v>46188</v>
      </c>
      <c r="Q103" s="1" t="s">
        <v>38</v>
      </c>
      <c r="R103" s="1" t="s">
        <v>295</v>
      </c>
      <c r="U103" s="1">
        <v>1</v>
      </c>
      <c r="V103" s="1">
        <v>1</v>
      </c>
      <c r="W103" s="1">
        <v>1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1</v>
      </c>
    </row>
    <row r="104" spans="1:32" x14ac:dyDescent="0.25">
      <c r="A104" s="1">
        <v>103</v>
      </c>
      <c r="B104" s="1" t="s">
        <v>296</v>
      </c>
      <c r="C104" s="1" t="s">
        <v>294</v>
      </c>
      <c r="D104" s="1" t="s">
        <v>73</v>
      </c>
      <c r="F104" s="1" t="s">
        <v>74</v>
      </c>
      <c r="G104" s="3">
        <v>46188</v>
      </c>
      <c r="H104" s="3">
        <v>46188</v>
      </c>
      <c r="I104" s="1">
        <v>102</v>
      </c>
      <c r="J104" s="4">
        <v>1</v>
      </c>
      <c r="K104" s="3">
        <v>46188</v>
      </c>
      <c r="L104" s="1" t="s">
        <v>46</v>
      </c>
      <c r="M104" s="1" t="s">
        <v>47</v>
      </c>
      <c r="N104" s="1" t="s">
        <v>289</v>
      </c>
      <c r="O104" s="1" t="s">
        <v>131</v>
      </c>
      <c r="P104" s="5">
        <v>46189</v>
      </c>
      <c r="Q104" s="1" t="s">
        <v>38</v>
      </c>
      <c r="R104" s="1">
        <v>104</v>
      </c>
      <c r="U104" s="1">
        <v>1</v>
      </c>
      <c r="V104" s="1">
        <v>0</v>
      </c>
      <c r="W104" s="1">
        <v>0</v>
      </c>
      <c r="X104" s="1">
        <v>0</v>
      </c>
      <c r="Y104" s="1">
        <v>0</v>
      </c>
      <c r="Z104" s="1">
        <v>1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</row>
    <row r="105" spans="1:32" x14ac:dyDescent="0.25">
      <c r="A105" s="1">
        <v>104</v>
      </c>
      <c r="B105" s="1" t="s">
        <v>297</v>
      </c>
      <c r="C105" s="1" t="s">
        <v>294</v>
      </c>
      <c r="D105" s="1" t="s">
        <v>78</v>
      </c>
      <c r="F105" s="1" t="s">
        <v>69</v>
      </c>
      <c r="G105" s="3">
        <v>46189</v>
      </c>
      <c r="H105" s="3">
        <v>46190</v>
      </c>
      <c r="I105" s="1">
        <v>103</v>
      </c>
      <c r="J105" s="4">
        <v>1</v>
      </c>
      <c r="K105" s="3">
        <v>46190</v>
      </c>
      <c r="L105" s="1" t="s">
        <v>46</v>
      </c>
      <c r="M105" s="1" t="s">
        <v>47</v>
      </c>
      <c r="N105" s="1" t="s">
        <v>289</v>
      </c>
      <c r="O105" s="1" t="s">
        <v>133</v>
      </c>
      <c r="P105" s="5">
        <v>46191</v>
      </c>
      <c r="Q105" s="1" t="s">
        <v>38</v>
      </c>
      <c r="R105" s="1">
        <v>105</v>
      </c>
      <c r="U105" s="1">
        <v>1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1</v>
      </c>
      <c r="AC105" s="1">
        <v>0</v>
      </c>
      <c r="AD105" s="1">
        <v>0</v>
      </c>
      <c r="AE105" s="1">
        <v>0</v>
      </c>
      <c r="AF105" s="1">
        <v>0</v>
      </c>
    </row>
    <row r="106" spans="1:32" x14ac:dyDescent="0.25">
      <c r="A106" s="1">
        <v>105</v>
      </c>
      <c r="B106" s="1" t="s">
        <v>298</v>
      </c>
      <c r="C106" s="1" t="s">
        <v>294</v>
      </c>
      <c r="D106" s="1" t="s">
        <v>84</v>
      </c>
      <c r="F106" s="1" t="s">
        <v>74</v>
      </c>
      <c r="G106" s="3">
        <v>46191</v>
      </c>
      <c r="H106" s="3">
        <v>46191</v>
      </c>
      <c r="I106" s="1">
        <v>104</v>
      </c>
      <c r="J106" s="4">
        <v>1</v>
      </c>
      <c r="K106" s="3">
        <v>46191</v>
      </c>
      <c r="L106" s="1" t="s">
        <v>46</v>
      </c>
      <c r="M106" s="1" t="s">
        <v>47</v>
      </c>
      <c r="N106" s="1" t="s">
        <v>289</v>
      </c>
      <c r="O106" s="1" t="s">
        <v>135</v>
      </c>
      <c r="P106" s="5">
        <v>46192</v>
      </c>
      <c r="Q106" s="1" t="s">
        <v>38</v>
      </c>
      <c r="U106" s="1">
        <v>1</v>
      </c>
      <c r="V106" s="1">
        <v>0</v>
      </c>
      <c r="W106" s="1">
        <v>0</v>
      </c>
      <c r="X106" s="1">
        <v>0</v>
      </c>
      <c r="Y106" s="1">
        <v>1</v>
      </c>
      <c r="Z106" s="1">
        <v>0</v>
      </c>
      <c r="AA106" s="1">
        <v>0</v>
      </c>
      <c r="AB106" s="1">
        <v>0</v>
      </c>
      <c r="AC106" s="1">
        <v>0</v>
      </c>
      <c r="AD106" s="1">
        <v>1</v>
      </c>
      <c r="AE106" s="1">
        <v>0</v>
      </c>
      <c r="AF106" s="1">
        <v>0</v>
      </c>
    </row>
    <row r="107" spans="1:32" x14ac:dyDescent="0.25">
      <c r="A107" s="1">
        <v>106</v>
      </c>
      <c r="B107" s="1" t="s">
        <v>299</v>
      </c>
      <c r="C107" s="1" t="s">
        <v>291</v>
      </c>
      <c r="D107" s="1" t="s">
        <v>300</v>
      </c>
      <c r="E107" s="1" t="s">
        <v>193</v>
      </c>
      <c r="F107" s="1" t="s">
        <v>126</v>
      </c>
      <c r="G107" s="3">
        <v>46358</v>
      </c>
      <c r="H107" s="3">
        <v>46366</v>
      </c>
      <c r="J107" s="4">
        <v>0</v>
      </c>
      <c r="L107" s="1" t="s">
        <v>80</v>
      </c>
      <c r="M107" s="1" t="s">
        <v>47</v>
      </c>
      <c r="N107" s="1" t="s">
        <v>289</v>
      </c>
      <c r="O107" s="1" t="s">
        <v>301</v>
      </c>
      <c r="P107" s="5">
        <v>46199</v>
      </c>
      <c r="Q107" s="1" t="s">
        <v>38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</row>
    <row r="108" spans="1:32" x14ac:dyDescent="0.25">
      <c r="A108" s="1">
        <v>107</v>
      </c>
      <c r="B108" s="1" t="s">
        <v>302</v>
      </c>
      <c r="C108" s="1" t="s">
        <v>303</v>
      </c>
      <c r="D108" s="1" t="s">
        <v>68</v>
      </c>
      <c r="F108" s="1" t="s">
        <v>93</v>
      </c>
      <c r="G108" s="3">
        <v>46358</v>
      </c>
      <c r="H108" s="3">
        <v>46360</v>
      </c>
      <c r="I108" s="1" t="s">
        <v>304</v>
      </c>
      <c r="J108" s="4">
        <v>0</v>
      </c>
      <c r="L108" s="1" t="s">
        <v>80</v>
      </c>
      <c r="M108" s="1" t="s">
        <v>47</v>
      </c>
      <c r="N108" s="1" t="s">
        <v>289</v>
      </c>
      <c r="O108" s="1" t="s">
        <v>301</v>
      </c>
      <c r="P108" s="5">
        <v>46195</v>
      </c>
      <c r="Q108" s="1" t="s">
        <v>38</v>
      </c>
      <c r="R108" s="1">
        <v>108</v>
      </c>
      <c r="U108" s="1">
        <v>0</v>
      </c>
      <c r="V108" s="1">
        <v>1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</row>
    <row r="109" spans="1:32" x14ac:dyDescent="0.25">
      <c r="A109" s="1">
        <v>108</v>
      </c>
      <c r="B109" s="1" t="s">
        <v>305</v>
      </c>
      <c r="C109" s="1" t="s">
        <v>303</v>
      </c>
      <c r="D109" s="1" t="s">
        <v>73</v>
      </c>
      <c r="F109" s="1" t="s">
        <v>74</v>
      </c>
      <c r="G109" s="3">
        <v>46363</v>
      </c>
      <c r="H109" s="3">
        <v>46363</v>
      </c>
      <c r="I109" s="1">
        <v>107</v>
      </c>
      <c r="J109" s="4">
        <v>0</v>
      </c>
      <c r="L109" s="1" t="s">
        <v>80</v>
      </c>
      <c r="M109" s="1" t="s">
        <v>47</v>
      </c>
      <c r="N109" s="1" t="s">
        <v>289</v>
      </c>
      <c r="O109" s="1" t="s">
        <v>101</v>
      </c>
      <c r="P109" s="5">
        <v>46196</v>
      </c>
      <c r="Q109" s="1" t="s">
        <v>38</v>
      </c>
      <c r="R109" s="1">
        <v>109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</row>
    <row r="110" spans="1:32" x14ac:dyDescent="0.25">
      <c r="A110" s="1">
        <v>109</v>
      </c>
      <c r="B110" s="1" t="s">
        <v>306</v>
      </c>
      <c r="C110" s="1" t="s">
        <v>303</v>
      </c>
      <c r="D110" s="1" t="s">
        <v>78</v>
      </c>
      <c r="F110" s="1" t="s">
        <v>69</v>
      </c>
      <c r="G110" s="3">
        <v>46364</v>
      </c>
      <c r="H110" s="3">
        <v>46365</v>
      </c>
      <c r="I110" s="1">
        <v>108</v>
      </c>
      <c r="J110" s="4">
        <v>0</v>
      </c>
      <c r="L110" s="1" t="s">
        <v>80</v>
      </c>
      <c r="M110" s="1" t="s">
        <v>47</v>
      </c>
      <c r="N110" s="1" t="s">
        <v>289</v>
      </c>
      <c r="O110" s="1" t="s">
        <v>103</v>
      </c>
      <c r="P110" s="5">
        <v>46198</v>
      </c>
      <c r="Q110" s="1" t="s">
        <v>38</v>
      </c>
      <c r="R110" s="1">
        <v>110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</row>
    <row r="111" spans="1:32" x14ac:dyDescent="0.25">
      <c r="A111" s="1">
        <v>110</v>
      </c>
      <c r="B111" s="1" t="s">
        <v>307</v>
      </c>
      <c r="C111" s="1" t="s">
        <v>303</v>
      </c>
      <c r="D111" s="1" t="s">
        <v>84</v>
      </c>
      <c r="F111" s="1" t="s">
        <v>74</v>
      </c>
      <c r="G111" s="3">
        <v>46366</v>
      </c>
      <c r="H111" s="3">
        <v>46366</v>
      </c>
      <c r="I111" s="1">
        <v>109</v>
      </c>
      <c r="J111" s="4">
        <v>0</v>
      </c>
      <c r="L111" s="1" t="s">
        <v>80</v>
      </c>
      <c r="M111" s="1" t="s">
        <v>47</v>
      </c>
      <c r="N111" s="1" t="s">
        <v>289</v>
      </c>
      <c r="O111" s="1" t="s">
        <v>308</v>
      </c>
      <c r="P111" s="5">
        <v>46199</v>
      </c>
      <c r="Q111" s="1" t="s">
        <v>38</v>
      </c>
      <c r="U111" s="1">
        <v>0</v>
      </c>
      <c r="V111" s="1">
        <v>0</v>
      </c>
      <c r="W111" s="1">
        <v>0</v>
      </c>
      <c r="X111" s="1">
        <v>0</v>
      </c>
      <c r="Y111" s="1">
        <v>1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</row>
    <row r="112" spans="1:32" x14ac:dyDescent="0.25">
      <c r="A112" s="1">
        <v>111</v>
      </c>
      <c r="B112" s="1" t="s">
        <v>309</v>
      </c>
      <c r="C112" s="1" t="s">
        <v>291</v>
      </c>
      <c r="D112" s="1" t="s">
        <v>310</v>
      </c>
      <c r="E112" s="1" t="s">
        <v>240</v>
      </c>
      <c r="F112" s="1" t="s">
        <v>126</v>
      </c>
      <c r="G112" s="3">
        <v>46209</v>
      </c>
      <c r="H112" s="3">
        <v>46219</v>
      </c>
      <c r="J112" s="4">
        <v>0</v>
      </c>
      <c r="L112" s="1" t="s">
        <v>64</v>
      </c>
      <c r="M112" s="1" t="s">
        <v>47</v>
      </c>
      <c r="N112" s="1" t="s">
        <v>289</v>
      </c>
      <c r="O112" s="1" t="s">
        <v>250</v>
      </c>
      <c r="P112" s="5">
        <v>46183</v>
      </c>
      <c r="Q112" s="1" t="s">
        <v>38</v>
      </c>
      <c r="S112" s="1" t="s">
        <v>65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</row>
    <row r="113" spans="1:32" x14ac:dyDescent="0.25">
      <c r="A113" s="1">
        <v>112</v>
      </c>
      <c r="B113" s="1" t="s">
        <v>311</v>
      </c>
      <c r="C113" s="1" t="s">
        <v>312</v>
      </c>
      <c r="D113" s="1" t="s">
        <v>68</v>
      </c>
      <c r="F113" s="1" t="s">
        <v>93</v>
      </c>
      <c r="G113" s="3">
        <v>46209</v>
      </c>
      <c r="H113" s="3">
        <v>46211</v>
      </c>
      <c r="J113" s="4">
        <v>0</v>
      </c>
      <c r="L113" s="1" t="s">
        <v>64</v>
      </c>
      <c r="M113" s="1" t="s">
        <v>47</v>
      </c>
      <c r="N113" s="1" t="s">
        <v>289</v>
      </c>
      <c r="O113" s="1" t="s">
        <v>250</v>
      </c>
      <c r="P113" s="5">
        <v>46177</v>
      </c>
      <c r="Q113" s="1" t="s">
        <v>38</v>
      </c>
      <c r="R113" s="1">
        <v>113</v>
      </c>
      <c r="U113" s="1">
        <v>0</v>
      </c>
      <c r="V113" s="1">
        <v>1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</row>
    <row r="114" spans="1:32" x14ac:dyDescent="0.25">
      <c r="A114" s="1">
        <v>113</v>
      </c>
      <c r="B114" s="1" t="s">
        <v>313</v>
      </c>
      <c r="C114" s="1" t="s">
        <v>312</v>
      </c>
      <c r="D114" s="1" t="s">
        <v>73</v>
      </c>
      <c r="F114" s="1" t="s">
        <v>74</v>
      </c>
      <c r="G114" s="3">
        <v>46216</v>
      </c>
      <c r="H114" s="3">
        <v>46216</v>
      </c>
      <c r="I114" s="1">
        <v>112</v>
      </c>
      <c r="J114" s="4">
        <v>0</v>
      </c>
      <c r="L114" s="1" t="s">
        <v>80</v>
      </c>
      <c r="M114" s="1" t="s">
        <v>47</v>
      </c>
      <c r="N114" s="1" t="s">
        <v>289</v>
      </c>
      <c r="O114" s="1" t="s">
        <v>314</v>
      </c>
      <c r="P114" s="5">
        <v>46178</v>
      </c>
      <c r="Q114" s="1" t="s">
        <v>38</v>
      </c>
      <c r="R114" s="1">
        <v>114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</row>
    <row r="115" spans="1:32" x14ac:dyDescent="0.25">
      <c r="A115" s="1">
        <v>114</v>
      </c>
      <c r="B115" s="1" t="s">
        <v>315</v>
      </c>
      <c r="C115" s="1" t="s">
        <v>312</v>
      </c>
      <c r="D115" s="1" t="s">
        <v>78</v>
      </c>
      <c r="F115" s="1" t="s">
        <v>69</v>
      </c>
      <c r="G115" s="3">
        <v>46217</v>
      </c>
      <c r="H115" s="3">
        <v>46218</v>
      </c>
      <c r="I115" s="1">
        <v>113</v>
      </c>
      <c r="J115" s="4">
        <v>0</v>
      </c>
      <c r="L115" s="1" t="s">
        <v>80</v>
      </c>
      <c r="M115" s="1" t="s">
        <v>47</v>
      </c>
      <c r="N115" s="1" t="s">
        <v>289</v>
      </c>
      <c r="O115" s="1" t="s">
        <v>97</v>
      </c>
      <c r="P115" s="5">
        <v>46182</v>
      </c>
      <c r="Q115" s="1" t="s">
        <v>38</v>
      </c>
      <c r="R115" s="1">
        <v>115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</row>
    <row r="116" spans="1:32" x14ac:dyDescent="0.25">
      <c r="A116" s="1">
        <v>115</v>
      </c>
      <c r="B116" s="1" t="s">
        <v>316</v>
      </c>
      <c r="C116" s="1" t="s">
        <v>312</v>
      </c>
      <c r="D116" s="1" t="s">
        <v>84</v>
      </c>
      <c r="F116" s="1" t="s">
        <v>74</v>
      </c>
      <c r="G116" s="3">
        <v>46219</v>
      </c>
      <c r="H116" s="3">
        <v>46219</v>
      </c>
      <c r="I116" s="1">
        <v>114</v>
      </c>
      <c r="J116" s="4">
        <v>0</v>
      </c>
      <c r="L116" s="1" t="s">
        <v>80</v>
      </c>
      <c r="M116" s="1" t="s">
        <v>47</v>
      </c>
      <c r="N116" s="1" t="s">
        <v>289</v>
      </c>
      <c r="O116" s="1" t="s">
        <v>317</v>
      </c>
      <c r="P116" s="5">
        <v>46183</v>
      </c>
      <c r="Q116" s="1" t="s">
        <v>38</v>
      </c>
      <c r="U116" s="1">
        <v>0</v>
      </c>
      <c r="V116" s="1">
        <v>0</v>
      </c>
      <c r="W116" s="1">
        <v>0</v>
      </c>
      <c r="X116" s="1">
        <v>0</v>
      </c>
      <c r="Y116" s="1">
        <v>1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</row>
    <row r="117" spans="1:32" x14ac:dyDescent="0.25">
      <c r="A117" s="1">
        <v>116</v>
      </c>
      <c r="B117" s="1" t="s">
        <v>318</v>
      </c>
      <c r="C117" s="1" t="s">
        <v>43</v>
      </c>
      <c r="D117" s="1" t="s">
        <v>319</v>
      </c>
      <c r="F117" s="1" t="s">
        <v>320</v>
      </c>
      <c r="G117" s="3">
        <v>46183</v>
      </c>
      <c r="H117" s="3">
        <v>46366</v>
      </c>
      <c r="J117" s="4">
        <v>7.0000000000000007E-2</v>
      </c>
      <c r="L117" s="1" t="s">
        <v>34</v>
      </c>
      <c r="M117" s="1" t="s">
        <v>47</v>
      </c>
      <c r="N117" s="1" t="s">
        <v>321</v>
      </c>
      <c r="O117" s="1" t="s">
        <v>322</v>
      </c>
      <c r="P117" s="5">
        <v>46211</v>
      </c>
      <c r="Q117" s="1" t="s">
        <v>38</v>
      </c>
      <c r="U117" s="1">
        <v>7.0000000000000007E-2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</row>
    <row r="118" spans="1:32" x14ac:dyDescent="0.25">
      <c r="A118" s="1">
        <v>117</v>
      </c>
      <c r="B118" s="1" t="s">
        <v>323</v>
      </c>
      <c r="C118" s="1" t="s">
        <v>324</v>
      </c>
      <c r="D118" s="1" t="s">
        <v>325</v>
      </c>
      <c r="E118" s="1" t="s">
        <v>180</v>
      </c>
      <c r="F118" s="1" t="s">
        <v>126</v>
      </c>
      <c r="G118" s="3">
        <v>46183</v>
      </c>
      <c r="H118" s="3">
        <v>46191</v>
      </c>
      <c r="J118" s="4">
        <v>0.21</v>
      </c>
      <c r="L118" s="1" t="s">
        <v>34</v>
      </c>
      <c r="M118" s="1" t="s">
        <v>47</v>
      </c>
      <c r="N118" s="1" t="s">
        <v>321</v>
      </c>
      <c r="O118" s="1" t="s">
        <v>182</v>
      </c>
      <c r="P118" s="5">
        <v>46192</v>
      </c>
      <c r="Q118" s="1" t="s">
        <v>38</v>
      </c>
      <c r="U118" s="1">
        <v>0.21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</row>
    <row r="119" spans="1:32" x14ac:dyDescent="0.25">
      <c r="A119" s="1">
        <v>118</v>
      </c>
      <c r="B119" s="1" t="s">
        <v>326</v>
      </c>
      <c r="C119" s="1" t="s">
        <v>327</v>
      </c>
      <c r="D119" s="1" t="s">
        <v>68</v>
      </c>
      <c r="F119" s="1" t="s">
        <v>93</v>
      </c>
      <c r="G119" s="3">
        <v>46183</v>
      </c>
      <c r="H119" s="3">
        <v>46185</v>
      </c>
      <c r="I119" s="1" t="s">
        <v>233</v>
      </c>
      <c r="J119" s="4">
        <v>0.5</v>
      </c>
      <c r="L119" s="1" t="s">
        <v>34</v>
      </c>
      <c r="M119" s="1" t="s">
        <v>47</v>
      </c>
      <c r="N119" s="1" t="s">
        <v>321</v>
      </c>
      <c r="O119" s="1" t="s">
        <v>182</v>
      </c>
      <c r="P119" s="5">
        <v>46188</v>
      </c>
      <c r="Q119" s="1" t="s">
        <v>38</v>
      </c>
      <c r="R119" s="1" t="s">
        <v>328</v>
      </c>
      <c r="U119" s="1">
        <v>0.5</v>
      </c>
      <c r="V119" s="1">
        <v>1</v>
      </c>
      <c r="W119" s="1">
        <v>0</v>
      </c>
      <c r="X119" s="1">
        <v>1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</row>
    <row r="120" spans="1:32" x14ac:dyDescent="0.25">
      <c r="A120" s="1">
        <v>119</v>
      </c>
      <c r="B120" s="1" t="s">
        <v>329</v>
      </c>
      <c r="C120" s="1" t="s">
        <v>327</v>
      </c>
      <c r="D120" s="1" t="s">
        <v>73</v>
      </c>
      <c r="F120" s="1" t="s">
        <v>74</v>
      </c>
      <c r="G120" s="3">
        <v>46188</v>
      </c>
      <c r="H120" s="3">
        <v>46188</v>
      </c>
      <c r="I120" s="1">
        <v>118</v>
      </c>
      <c r="J120" s="4">
        <v>0</v>
      </c>
      <c r="L120" s="1" t="s">
        <v>34</v>
      </c>
      <c r="M120" s="1" t="s">
        <v>47</v>
      </c>
      <c r="N120" s="1" t="s">
        <v>321</v>
      </c>
      <c r="O120" s="1" t="s">
        <v>131</v>
      </c>
      <c r="P120" s="5">
        <v>46189</v>
      </c>
      <c r="Q120" s="1" t="s">
        <v>38</v>
      </c>
      <c r="R120" s="1">
        <v>120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1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</row>
    <row r="121" spans="1:32" x14ac:dyDescent="0.25">
      <c r="A121" s="1">
        <v>120</v>
      </c>
      <c r="B121" s="1" t="s">
        <v>330</v>
      </c>
      <c r="C121" s="1" t="s">
        <v>327</v>
      </c>
      <c r="D121" s="1" t="s">
        <v>78</v>
      </c>
      <c r="F121" s="1" t="s">
        <v>69</v>
      </c>
      <c r="G121" s="3">
        <v>46189</v>
      </c>
      <c r="H121" s="3">
        <v>46190</v>
      </c>
      <c r="I121" s="1">
        <v>119</v>
      </c>
      <c r="J121" s="4">
        <v>0</v>
      </c>
      <c r="L121" s="1" t="s">
        <v>34</v>
      </c>
      <c r="M121" s="1" t="s">
        <v>47</v>
      </c>
      <c r="N121" s="1" t="s">
        <v>321</v>
      </c>
      <c r="O121" s="1" t="s">
        <v>133</v>
      </c>
      <c r="P121" s="5">
        <v>46191</v>
      </c>
      <c r="Q121" s="1" t="s">
        <v>38</v>
      </c>
      <c r="R121" s="1">
        <v>121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1</v>
      </c>
      <c r="AD121" s="1">
        <v>0</v>
      </c>
      <c r="AE121" s="1">
        <v>0</v>
      </c>
      <c r="AF121" s="1">
        <v>0</v>
      </c>
    </row>
    <row r="122" spans="1:32" x14ac:dyDescent="0.25">
      <c r="A122" s="1">
        <v>121</v>
      </c>
      <c r="B122" s="1" t="s">
        <v>331</v>
      </c>
      <c r="C122" s="1" t="s">
        <v>327</v>
      </c>
      <c r="D122" s="1" t="s">
        <v>84</v>
      </c>
      <c r="F122" s="1" t="s">
        <v>74</v>
      </c>
      <c r="G122" s="3">
        <v>46191</v>
      </c>
      <c r="H122" s="3">
        <v>46191</v>
      </c>
      <c r="I122" s="1">
        <v>120</v>
      </c>
      <c r="J122" s="4">
        <v>0</v>
      </c>
      <c r="L122" s="1" t="s">
        <v>34</v>
      </c>
      <c r="M122" s="1" t="s">
        <v>47</v>
      </c>
      <c r="N122" s="1" t="s">
        <v>321</v>
      </c>
      <c r="O122" s="1" t="s">
        <v>135</v>
      </c>
      <c r="P122" s="5">
        <v>46192</v>
      </c>
      <c r="Q122" s="1" t="s">
        <v>38</v>
      </c>
      <c r="U122" s="1">
        <v>0</v>
      </c>
      <c r="V122" s="1">
        <v>0</v>
      </c>
      <c r="W122" s="1">
        <v>0</v>
      </c>
      <c r="X122" s="1">
        <v>0</v>
      </c>
      <c r="Y122" s="1">
        <v>1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1</v>
      </c>
      <c r="AF122" s="1">
        <v>0</v>
      </c>
    </row>
    <row r="123" spans="1:32" x14ac:dyDescent="0.25">
      <c r="A123" s="1">
        <v>122</v>
      </c>
      <c r="B123" s="1" t="s">
        <v>332</v>
      </c>
      <c r="C123" s="1" t="s">
        <v>324</v>
      </c>
      <c r="D123" s="1" t="s">
        <v>333</v>
      </c>
      <c r="E123" s="1" t="s">
        <v>193</v>
      </c>
      <c r="F123" s="1" t="s">
        <v>126</v>
      </c>
      <c r="G123" s="3">
        <v>46358</v>
      </c>
      <c r="H123" s="3">
        <v>46366</v>
      </c>
      <c r="J123" s="4">
        <v>0</v>
      </c>
      <c r="L123" s="1" t="s">
        <v>80</v>
      </c>
      <c r="M123" s="1" t="s">
        <v>47</v>
      </c>
      <c r="N123" s="1" t="s">
        <v>321</v>
      </c>
      <c r="O123" s="1" t="s">
        <v>133</v>
      </c>
      <c r="P123" s="5">
        <v>46198</v>
      </c>
      <c r="Q123" s="1" t="s">
        <v>38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</row>
    <row r="124" spans="1:32" x14ac:dyDescent="0.25">
      <c r="A124" s="1">
        <v>123</v>
      </c>
      <c r="B124" s="1" t="s">
        <v>334</v>
      </c>
      <c r="C124" s="1" t="s">
        <v>335</v>
      </c>
      <c r="D124" s="1" t="s">
        <v>68</v>
      </c>
      <c r="F124" s="1" t="s">
        <v>93</v>
      </c>
      <c r="G124" s="3">
        <v>46358</v>
      </c>
      <c r="H124" s="3">
        <v>46360</v>
      </c>
      <c r="I124" s="1" t="s">
        <v>336</v>
      </c>
      <c r="J124" s="4">
        <v>0</v>
      </c>
      <c r="L124" s="1" t="s">
        <v>80</v>
      </c>
      <c r="M124" s="1" t="s">
        <v>47</v>
      </c>
      <c r="N124" s="1" t="s">
        <v>321</v>
      </c>
      <c r="O124" s="1" t="s">
        <v>133</v>
      </c>
      <c r="P124" s="5">
        <v>46192</v>
      </c>
      <c r="Q124" s="1" t="s">
        <v>38</v>
      </c>
      <c r="R124" s="1">
        <v>124</v>
      </c>
      <c r="U124" s="1">
        <v>0</v>
      </c>
      <c r="V124" s="1">
        <v>1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</row>
    <row r="125" spans="1:32" x14ac:dyDescent="0.25">
      <c r="A125" s="1">
        <v>124</v>
      </c>
      <c r="B125" s="1" t="s">
        <v>337</v>
      </c>
      <c r="C125" s="1" t="s">
        <v>335</v>
      </c>
      <c r="D125" s="1" t="s">
        <v>73</v>
      </c>
      <c r="F125" s="1" t="s">
        <v>74</v>
      </c>
      <c r="G125" s="3">
        <v>46363</v>
      </c>
      <c r="H125" s="3">
        <v>46363</v>
      </c>
      <c r="I125" s="1">
        <v>123</v>
      </c>
      <c r="J125" s="4">
        <v>0</v>
      </c>
      <c r="L125" s="1" t="s">
        <v>80</v>
      </c>
      <c r="M125" s="1" t="s">
        <v>47</v>
      </c>
      <c r="N125" s="1" t="s">
        <v>321</v>
      </c>
      <c r="O125" s="1" t="s">
        <v>198</v>
      </c>
      <c r="P125" s="5">
        <v>46195</v>
      </c>
      <c r="Q125" s="1" t="s">
        <v>38</v>
      </c>
      <c r="R125" s="1">
        <v>125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</row>
    <row r="126" spans="1:32" x14ac:dyDescent="0.25">
      <c r="A126" s="1">
        <v>125</v>
      </c>
      <c r="B126" s="1" t="s">
        <v>338</v>
      </c>
      <c r="C126" s="1" t="s">
        <v>335</v>
      </c>
      <c r="D126" s="1" t="s">
        <v>78</v>
      </c>
      <c r="F126" s="1" t="s">
        <v>69</v>
      </c>
      <c r="G126" s="3">
        <v>46364</v>
      </c>
      <c r="H126" s="3">
        <v>46365</v>
      </c>
      <c r="I126" s="1">
        <v>124</v>
      </c>
      <c r="J126" s="4">
        <v>0</v>
      </c>
      <c r="L126" s="1" t="s">
        <v>80</v>
      </c>
      <c r="M126" s="1" t="s">
        <v>47</v>
      </c>
      <c r="N126" s="1" t="s">
        <v>321</v>
      </c>
      <c r="O126" s="1" t="s">
        <v>101</v>
      </c>
      <c r="P126" s="5">
        <v>46197</v>
      </c>
      <c r="Q126" s="1" t="s">
        <v>38</v>
      </c>
      <c r="R126" s="1">
        <v>126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</row>
    <row r="127" spans="1:32" x14ac:dyDescent="0.25">
      <c r="A127" s="1">
        <v>126</v>
      </c>
      <c r="B127" s="1" t="s">
        <v>339</v>
      </c>
      <c r="C127" s="1" t="s">
        <v>335</v>
      </c>
      <c r="D127" s="1" t="s">
        <v>84</v>
      </c>
      <c r="F127" s="1" t="s">
        <v>74</v>
      </c>
      <c r="G127" s="3">
        <v>46366</v>
      </c>
      <c r="H127" s="3">
        <v>46366</v>
      </c>
      <c r="I127" s="1">
        <v>125</v>
      </c>
      <c r="J127" s="4">
        <v>0</v>
      </c>
      <c r="L127" s="1" t="s">
        <v>80</v>
      </c>
      <c r="M127" s="1" t="s">
        <v>47</v>
      </c>
      <c r="N127" s="1" t="s">
        <v>321</v>
      </c>
      <c r="O127" s="1" t="s">
        <v>201</v>
      </c>
      <c r="P127" s="5">
        <v>46198</v>
      </c>
      <c r="Q127" s="1" t="s">
        <v>38</v>
      </c>
      <c r="U127" s="1">
        <v>0</v>
      </c>
      <c r="V127" s="1">
        <v>0</v>
      </c>
      <c r="W127" s="1">
        <v>0</v>
      </c>
      <c r="X127" s="1">
        <v>0</v>
      </c>
      <c r="Y127" s="1">
        <v>1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</row>
    <row r="128" spans="1:32" x14ac:dyDescent="0.25">
      <c r="A128" s="1">
        <v>127</v>
      </c>
      <c r="B128" s="1" t="s">
        <v>340</v>
      </c>
      <c r="C128" s="1" t="s">
        <v>324</v>
      </c>
      <c r="D128" s="1" t="s">
        <v>341</v>
      </c>
      <c r="E128" s="1" t="s">
        <v>240</v>
      </c>
      <c r="F128" s="1" t="s">
        <v>126</v>
      </c>
      <c r="G128" s="3">
        <v>46209</v>
      </c>
      <c r="H128" s="3">
        <v>46219</v>
      </c>
      <c r="J128" s="4">
        <v>0</v>
      </c>
      <c r="L128" s="1" t="s">
        <v>64</v>
      </c>
      <c r="M128" s="1" t="s">
        <v>47</v>
      </c>
      <c r="N128" s="1" t="s">
        <v>321</v>
      </c>
      <c r="O128" s="1" t="s">
        <v>133</v>
      </c>
      <c r="P128" s="5">
        <v>46198</v>
      </c>
      <c r="Q128" s="1" t="s">
        <v>38</v>
      </c>
      <c r="S128" s="1" t="s">
        <v>65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</row>
    <row r="129" spans="1:32" x14ac:dyDescent="0.25">
      <c r="A129" s="1">
        <v>128</v>
      </c>
      <c r="B129" s="1" t="s">
        <v>342</v>
      </c>
      <c r="C129" s="1" t="s">
        <v>343</v>
      </c>
      <c r="D129" s="1" t="s">
        <v>68</v>
      </c>
      <c r="F129" s="1" t="s">
        <v>93</v>
      </c>
      <c r="G129" s="3">
        <v>46209</v>
      </c>
      <c r="H129" s="3">
        <v>46211</v>
      </c>
      <c r="J129" s="4">
        <v>0</v>
      </c>
      <c r="L129" s="1" t="s">
        <v>64</v>
      </c>
      <c r="M129" s="1" t="s">
        <v>47</v>
      </c>
      <c r="N129" s="1" t="s">
        <v>321</v>
      </c>
      <c r="O129" s="1" t="s">
        <v>133</v>
      </c>
      <c r="P129" s="5">
        <v>46192</v>
      </c>
      <c r="Q129" s="1" t="s">
        <v>38</v>
      </c>
      <c r="R129" s="1">
        <v>129</v>
      </c>
      <c r="U129" s="1">
        <v>0</v>
      </c>
      <c r="V129" s="1">
        <v>1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</row>
    <row r="130" spans="1:32" x14ac:dyDescent="0.25">
      <c r="A130" s="1">
        <v>129</v>
      </c>
      <c r="B130" s="1" t="s">
        <v>344</v>
      </c>
      <c r="C130" s="1" t="s">
        <v>343</v>
      </c>
      <c r="D130" s="1" t="s">
        <v>73</v>
      </c>
      <c r="F130" s="1" t="s">
        <v>74</v>
      </c>
      <c r="G130" s="3">
        <v>46216</v>
      </c>
      <c r="H130" s="3">
        <v>46216</v>
      </c>
      <c r="I130" s="1">
        <v>128</v>
      </c>
      <c r="J130" s="4">
        <v>0</v>
      </c>
      <c r="L130" s="1" t="s">
        <v>80</v>
      </c>
      <c r="M130" s="1" t="s">
        <v>47</v>
      </c>
      <c r="N130" s="1" t="s">
        <v>321</v>
      </c>
      <c r="O130" s="1" t="s">
        <v>198</v>
      </c>
      <c r="P130" s="5">
        <v>46195</v>
      </c>
      <c r="Q130" s="1" t="s">
        <v>38</v>
      </c>
      <c r="R130" s="1">
        <v>130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</row>
    <row r="131" spans="1:32" x14ac:dyDescent="0.25">
      <c r="A131" s="1">
        <v>130</v>
      </c>
      <c r="B131" s="1" t="s">
        <v>345</v>
      </c>
      <c r="C131" s="1" t="s">
        <v>343</v>
      </c>
      <c r="D131" s="1" t="s">
        <v>78</v>
      </c>
      <c r="F131" s="1" t="s">
        <v>69</v>
      </c>
      <c r="G131" s="3">
        <v>46217</v>
      </c>
      <c r="H131" s="3">
        <v>46218</v>
      </c>
      <c r="I131" s="1">
        <v>129</v>
      </c>
      <c r="J131" s="4">
        <v>0</v>
      </c>
      <c r="L131" s="1" t="s">
        <v>80</v>
      </c>
      <c r="M131" s="1" t="s">
        <v>47</v>
      </c>
      <c r="N131" s="1" t="s">
        <v>321</v>
      </c>
      <c r="O131" s="1" t="s">
        <v>101</v>
      </c>
      <c r="P131" s="5">
        <v>46197</v>
      </c>
      <c r="Q131" s="1" t="s">
        <v>38</v>
      </c>
      <c r="R131" s="1">
        <v>131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</row>
    <row r="132" spans="1:32" x14ac:dyDescent="0.25">
      <c r="A132" s="1">
        <v>131</v>
      </c>
      <c r="B132" s="1" t="s">
        <v>346</v>
      </c>
      <c r="C132" s="1" t="s">
        <v>343</v>
      </c>
      <c r="D132" s="1" t="s">
        <v>84</v>
      </c>
      <c r="F132" s="1" t="s">
        <v>74</v>
      </c>
      <c r="G132" s="3">
        <v>46219</v>
      </c>
      <c r="H132" s="3">
        <v>46219</v>
      </c>
      <c r="I132" s="1">
        <v>130</v>
      </c>
      <c r="J132" s="4">
        <v>0</v>
      </c>
      <c r="L132" s="1" t="s">
        <v>80</v>
      </c>
      <c r="M132" s="1" t="s">
        <v>47</v>
      </c>
      <c r="N132" s="1" t="s">
        <v>321</v>
      </c>
      <c r="O132" s="1" t="s">
        <v>201</v>
      </c>
      <c r="P132" s="5">
        <v>46198</v>
      </c>
      <c r="Q132" s="1" t="s">
        <v>38</v>
      </c>
      <c r="U132" s="1">
        <v>0</v>
      </c>
      <c r="V132" s="1">
        <v>0</v>
      </c>
      <c r="W132" s="1">
        <v>0</v>
      </c>
      <c r="X132" s="1">
        <v>0</v>
      </c>
      <c r="Y132" s="1">
        <v>1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</row>
    <row r="133" spans="1:32" x14ac:dyDescent="0.25">
      <c r="A133" s="1">
        <v>132</v>
      </c>
      <c r="B133" s="1" t="s">
        <v>347</v>
      </c>
      <c r="C133" s="1" t="s">
        <v>43</v>
      </c>
      <c r="D133" s="1" t="s">
        <v>348</v>
      </c>
      <c r="F133" s="1" t="s">
        <v>349</v>
      </c>
      <c r="G133" s="3">
        <v>46181</v>
      </c>
      <c r="H133" s="3">
        <v>46378</v>
      </c>
      <c r="J133" s="4">
        <v>0.28999999999999998</v>
      </c>
      <c r="L133" s="1" t="s">
        <v>34</v>
      </c>
      <c r="M133" s="1" t="s">
        <v>47</v>
      </c>
      <c r="N133" s="1" t="s">
        <v>350</v>
      </c>
      <c r="O133" s="1" t="s">
        <v>211</v>
      </c>
      <c r="P133" s="5">
        <v>46211</v>
      </c>
      <c r="Q133" s="1" t="s">
        <v>38</v>
      </c>
      <c r="U133" s="1">
        <v>0.28999999999999998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</row>
    <row r="134" spans="1:32" x14ac:dyDescent="0.25">
      <c r="A134" s="1">
        <v>133</v>
      </c>
      <c r="B134" s="1" t="s">
        <v>351</v>
      </c>
      <c r="C134" s="1" t="s">
        <v>352</v>
      </c>
      <c r="D134" s="1" t="s">
        <v>353</v>
      </c>
      <c r="E134" s="1" t="s">
        <v>180</v>
      </c>
      <c r="F134" s="1" t="s">
        <v>181</v>
      </c>
      <c r="G134" s="3">
        <v>46181</v>
      </c>
      <c r="H134" s="3">
        <v>46191</v>
      </c>
      <c r="J134" s="4">
        <v>0.8</v>
      </c>
      <c r="L134" s="1" t="s">
        <v>34</v>
      </c>
      <c r="M134" s="1" t="s">
        <v>47</v>
      </c>
      <c r="N134" s="1" t="s">
        <v>350</v>
      </c>
      <c r="O134" s="1" t="s">
        <v>182</v>
      </c>
      <c r="P134" s="5">
        <v>46192</v>
      </c>
      <c r="Q134" s="1" t="s">
        <v>38</v>
      </c>
      <c r="R134" s="1" t="s">
        <v>354</v>
      </c>
      <c r="U134" s="1">
        <v>0.8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</row>
    <row r="135" spans="1:32" x14ac:dyDescent="0.25">
      <c r="A135" s="1">
        <v>134</v>
      </c>
      <c r="B135" s="1" t="s">
        <v>355</v>
      </c>
      <c r="C135" s="1" t="s">
        <v>356</v>
      </c>
      <c r="D135" s="1" t="s">
        <v>68</v>
      </c>
      <c r="F135" s="1" t="s">
        <v>230</v>
      </c>
      <c r="G135" s="3">
        <v>46181</v>
      </c>
      <c r="H135" s="3">
        <v>46188</v>
      </c>
      <c r="I135" s="1" t="s">
        <v>233</v>
      </c>
      <c r="J135" s="4">
        <v>1</v>
      </c>
      <c r="K135" s="3">
        <v>46188</v>
      </c>
      <c r="L135" s="1" t="s">
        <v>46</v>
      </c>
      <c r="M135" s="1" t="s">
        <v>47</v>
      </c>
      <c r="N135" s="1" t="s">
        <v>350</v>
      </c>
      <c r="O135" s="1" t="s">
        <v>182</v>
      </c>
      <c r="P135" s="5">
        <v>46188</v>
      </c>
      <c r="Q135" s="1" t="s">
        <v>38</v>
      </c>
      <c r="R135" s="1">
        <v>135</v>
      </c>
      <c r="U135" s="1">
        <v>1</v>
      </c>
      <c r="V135" s="1">
        <v>1</v>
      </c>
      <c r="W135" s="1">
        <v>1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1</v>
      </c>
    </row>
    <row r="136" spans="1:32" x14ac:dyDescent="0.25">
      <c r="A136" s="1">
        <v>135</v>
      </c>
      <c r="B136" s="1" t="s">
        <v>357</v>
      </c>
      <c r="C136" s="1" t="s">
        <v>356</v>
      </c>
      <c r="D136" s="1" t="s">
        <v>73</v>
      </c>
      <c r="F136" s="1" t="s">
        <v>74</v>
      </c>
      <c r="G136" s="3">
        <v>46188</v>
      </c>
      <c r="H136" s="3">
        <v>46188</v>
      </c>
      <c r="I136" s="1">
        <v>134</v>
      </c>
      <c r="J136" s="4">
        <v>1</v>
      </c>
      <c r="K136" s="3">
        <v>46188</v>
      </c>
      <c r="L136" s="1" t="s">
        <v>46</v>
      </c>
      <c r="M136" s="1" t="s">
        <v>47</v>
      </c>
      <c r="N136" s="1" t="s">
        <v>350</v>
      </c>
      <c r="O136" s="1" t="s">
        <v>131</v>
      </c>
      <c r="P136" s="5">
        <v>46189</v>
      </c>
      <c r="Q136" s="1" t="s">
        <v>38</v>
      </c>
      <c r="R136" s="1">
        <v>136</v>
      </c>
      <c r="U136" s="1">
        <v>1</v>
      </c>
      <c r="V136" s="1">
        <v>0</v>
      </c>
      <c r="W136" s="1">
        <v>0</v>
      </c>
      <c r="X136" s="1">
        <v>0</v>
      </c>
      <c r="Y136" s="1">
        <v>0</v>
      </c>
      <c r="Z136" s="1">
        <v>1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</row>
    <row r="137" spans="1:32" x14ac:dyDescent="0.25">
      <c r="A137" s="1">
        <v>136</v>
      </c>
      <c r="B137" s="1" t="s">
        <v>358</v>
      </c>
      <c r="C137" s="1" t="s">
        <v>356</v>
      </c>
      <c r="D137" s="1" t="s">
        <v>78</v>
      </c>
      <c r="F137" s="1" t="s">
        <v>69</v>
      </c>
      <c r="G137" s="3">
        <v>46189</v>
      </c>
      <c r="H137" s="3">
        <v>46190</v>
      </c>
      <c r="I137" s="1">
        <v>135</v>
      </c>
      <c r="J137" s="4">
        <v>0.5</v>
      </c>
      <c r="L137" s="1" t="s">
        <v>34</v>
      </c>
      <c r="M137" s="1" t="s">
        <v>47</v>
      </c>
      <c r="N137" s="1" t="s">
        <v>350</v>
      </c>
      <c r="O137" s="1" t="s">
        <v>133</v>
      </c>
      <c r="P137" s="5">
        <v>46191</v>
      </c>
      <c r="Q137" s="1" t="s">
        <v>38</v>
      </c>
      <c r="R137" s="1">
        <v>137</v>
      </c>
      <c r="U137" s="1">
        <v>0.5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1</v>
      </c>
      <c r="AD137" s="1">
        <v>0</v>
      </c>
      <c r="AE137" s="1">
        <v>0</v>
      </c>
      <c r="AF137" s="1">
        <v>0</v>
      </c>
    </row>
    <row r="138" spans="1:32" x14ac:dyDescent="0.25">
      <c r="A138" s="1">
        <v>137</v>
      </c>
      <c r="B138" s="1" t="s">
        <v>359</v>
      </c>
      <c r="C138" s="1" t="s">
        <v>356</v>
      </c>
      <c r="D138" s="1" t="s">
        <v>84</v>
      </c>
      <c r="F138" s="1" t="s">
        <v>74</v>
      </c>
      <c r="G138" s="3">
        <v>46191</v>
      </c>
      <c r="H138" s="3">
        <v>46191</v>
      </c>
      <c r="I138" s="1">
        <v>136</v>
      </c>
      <c r="J138" s="4">
        <v>0</v>
      </c>
      <c r="L138" s="1" t="s">
        <v>34</v>
      </c>
      <c r="M138" s="1" t="s">
        <v>47</v>
      </c>
      <c r="N138" s="1" t="s">
        <v>350</v>
      </c>
      <c r="O138" s="1" t="s">
        <v>135</v>
      </c>
      <c r="P138" s="5">
        <v>46192</v>
      </c>
      <c r="Q138" s="1" t="s">
        <v>38</v>
      </c>
      <c r="U138" s="1">
        <v>0</v>
      </c>
      <c r="V138" s="1">
        <v>0</v>
      </c>
      <c r="W138" s="1">
        <v>0</v>
      </c>
      <c r="X138" s="1">
        <v>0</v>
      </c>
      <c r="Y138" s="1">
        <v>1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1</v>
      </c>
      <c r="AF138" s="1">
        <v>0</v>
      </c>
    </row>
    <row r="139" spans="1:32" x14ac:dyDescent="0.25">
      <c r="A139" s="1">
        <v>138</v>
      </c>
      <c r="B139" s="1" t="s">
        <v>360</v>
      </c>
      <c r="C139" s="1" t="s">
        <v>352</v>
      </c>
      <c r="D139" s="1" t="s">
        <v>361</v>
      </c>
      <c r="E139" s="1" t="s">
        <v>193</v>
      </c>
      <c r="F139" s="1" t="s">
        <v>362</v>
      </c>
      <c r="G139" s="3">
        <v>46364</v>
      </c>
      <c r="H139" s="3">
        <v>46378</v>
      </c>
      <c r="J139" s="4">
        <v>0</v>
      </c>
      <c r="L139" s="1" t="s">
        <v>80</v>
      </c>
      <c r="M139" s="1" t="s">
        <v>47</v>
      </c>
      <c r="N139" s="1" t="s">
        <v>350</v>
      </c>
      <c r="O139" s="1" t="s">
        <v>322</v>
      </c>
      <c r="P139" s="5">
        <v>46202</v>
      </c>
      <c r="Q139" s="1" t="s">
        <v>38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</row>
    <row r="140" spans="1:32" x14ac:dyDescent="0.25">
      <c r="A140" s="1">
        <v>139</v>
      </c>
      <c r="B140" s="1" t="s">
        <v>363</v>
      </c>
      <c r="C140" s="1" t="s">
        <v>364</v>
      </c>
      <c r="D140" s="1" t="s">
        <v>68</v>
      </c>
      <c r="F140" s="1" t="s">
        <v>126</v>
      </c>
      <c r="G140" s="3">
        <v>46364</v>
      </c>
      <c r="H140" s="3">
        <v>46372</v>
      </c>
      <c r="I140" s="1" t="s">
        <v>365</v>
      </c>
      <c r="J140" s="4">
        <v>0</v>
      </c>
      <c r="L140" s="1" t="s">
        <v>80</v>
      </c>
      <c r="M140" s="1" t="s">
        <v>47</v>
      </c>
      <c r="N140" s="1" t="s">
        <v>350</v>
      </c>
      <c r="O140" s="1" t="s">
        <v>322</v>
      </c>
      <c r="P140" s="5">
        <v>46196</v>
      </c>
      <c r="Q140" s="1" t="s">
        <v>38</v>
      </c>
      <c r="R140" s="1">
        <v>140</v>
      </c>
      <c r="U140" s="1">
        <v>0</v>
      </c>
      <c r="V140" s="1">
        <v>1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</row>
    <row r="141" spans="1:32" x14ac:dyDescent="0.25">
      <c r="A141" s="1">
        <v>140</v>
      </c>
      <c r="B141" s="1" t="s">
        <v>366</v>
      </c>
      <c r="C141" s="1" t="s">
        <v>364</v>
      </c>
      <c r="D141" s="1" t="s">
        <v>73</v>
      </c>
      <c r="F141" s="1" t="s">
        <v>74</v>
      </c>
      <c r="G141" s="3">
        <v>46373</v>
      </c>
      <c r="H141" s="3">
        <v>46373</v>
      </c>
      <c r="I141" s="1">
        <v>139</v>
      </c>
      <c r="J141" s="4">
        <v>0</v>
      </c>
      <c r="L141" s="1" t="s">
        <v>80</v>
      </c>
      <c r="M141" s="1" t="s">
        <v>47</v>
      </c>
      <c r="N141" s="1" t="s">
        <v>350</v>
      </c>
      <c r="O141" s="1" t="s">
        <v>103</v>
      </c>
      <c r="P141" s="5">
        <v>46197</v>
      </c>
      <c r="Q141" s="1" t="s">
        <v>38</v>
      </c>
      <c r="R141" s="1">
        <v>141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</row>
    <row r="142" spans="1:32" x14ac:dyDescent="0.25">
      <c r="A142" s="1">
        <v>141</v>
      </c>
      <c r="B142" s="1" t="s">
        <v>367</v>
      </c>
      <c r="C142" s="1" t="s">
        <v>364</v>
      </c>
      <c r="D142" s="1" t="s">
        <v>78</v>
      </c>
      <c r="F142" s="1" t="s">
        <v>69</v>
      </c>
      <c r="G142" s="3">
        <v>46374</v>
      </c>
      <c r="H142" s="3">
        <v>46377</v>
      </c>
      <c r="I142" s="1">
        <v>140</v>
      </c>
      <c r="J142" s="4">
        <v>0</v>
      </c>
      <c r="L142" s="1" t="s">
        <v>80</v>
      </c>
      <c r="M142" s="1" t="s">
        <v>47</v>
      </c>
      <c r="N142" s="1" t="s">
        <v>350</v>
      </c>
      <c r="O142" s="1" t="s">
        <v>201</v>
      </c>
      <c r="P142" s="5">
        <v>46199</v>
      </c>
      <c r="Q142" s="1" t="s">
        <v>38</v>
      </c>
      <c r="R142" s="1">
        <v>142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</row>
    <row r="143" spans="1:32" x14ac:dyDescent="0.25">
      <c r="A143" s="1">
        <v>142</v>
      </c>
      <c r="B143" s="1" t="s">
        <v>368</v>
      </c>
      <c r="C143" s="1" t="s">
        <v>364</v>
      </c>
      <c r="D143" s="1" t="s">
        <v>84</v>
      </c>
      <c r="F143" s="1" t="s">
        <v>74</v>
      </c>
      <c r="G143" s="3">
        <v>46378</v>
      </c>
      <c r="H143" s="3">
        <v>46378</v>
      </c>
      <c r="I143" s="1">
        <v>141</v>
      </c>
      <c r="J143" s="4">
        <v>0</v>
      </c>
      <c r="L143" s="1" t="s">
        <v>80</v>
      </c>
      <c r="M143" s="1" t="s">
        <v>47</v>
      </c>
      <c r="N143" s="1" t="s">
        <v>350</v>
      </c>
      <c r="O143" s="1" t="s">
        <v>369</v>
      </c>
      <c r="P143" s="5">
        <v>46202</v>
      </c>
      <c r="Q143" s="1" t="s">
        <v>38</v>
      </c>
      <c r="U143" s="1">
        <v>0</v>
      </c>
      <c r="V143" s="1">
        <v>0</v>
      </c>
      <c r="W143" s="1">
        <v>0</v>
      </c>
      <c r="X143" s="1">
        <v>0</v>
      </c>
      <c r="Y143" s="1">
        <v>1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</row>
    <row r="144" spans="1:32" x14ac:dyDescent="0.25">
      <c r="A144" s="1">
        <v>143</v>
      </c>
      <c r="B144" s="1" t="s">
        <v>370</v>
      </c>
      <c r="C144" s="1" t="s">
        <v>352</v>
      </c>
      <c r="D144" s="1" t="s">
        <v>371</v>
      </c>
      <c r="E144" s="1" t="s">
        <v>240</v>
      </c>
      <c r="F144" s="1" t="s">
        <v>126</v>
      </c>
      <c r="G144" s="3">
        <v>46209</v>
      </c>
      <c r="H144" s="3">
        <v>46219</v>
      </c>
      <c r="J144" s="4">
        <v>0</v>
      </c>
      <c r="L144" s="1" t="s">
        <v>64</v>
      </c>
      <c r="M144" s="1" t="s">
        <v>47</v>
      </c>
      <c r="N144" s="1" t="s">
        <v>350</v>
      </c>
      <c r="O144" s="1" t="s">
        <v>322</v>
      </c>
      <c r="P144" s="5">
        <v>46202</v>
      </c>
      <c r="Q144" s="1" t="s">
        <v>38</v>
      </c>
      <c r="S144" s="1" t="s">
        <v>65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</row>
    <row r="145" spans="1:32" x14ac:dyDescent="0.25">
      <c r="A145" s="1">
        <v>144</v>
      </c>
      <c r="B145" s="1" t="s">
        <v>372</v>
      </c>
      <c r="C145" s="1" t="s">
        <v>373</v>
      </c>
      <c r="D145" s="1" t="s">
        <v>68</v>
      </c>
      <c r="F145" s="1" t="s">
        <v>93</v>
      </c>
      <c r="G145" s="3">
        <v>46209</v>
      </c>
      <c r="H145" s="3">
        <v>46211</v>
      </c>
      <c r="J145" s="4">
        <v>0</v>
      </c>
      <c r="L145" s="1" t="s">
        <v>64</v>
      </c>
      <c r="M145" s="1" t="s">
        <v>47</v>
      </c>
      <c r="N145" s="1" t="s">
        <v>350</v>
      </c>
      <c r="O145" s="1" t="s">
        <v>322</v>
      </c>
      <c r="P145" s="5">
        <v>46196</v>
      </c>
      <c r="Q145" s="1" t="s">
        <v>38</v>
      </c>
      <c r="R145" s="1">
        <v>145</v>
      </c>
      <c r="U145" s="1">
        <v>0</v>
      </c>
      <c r="V145" s="1">
        <v>1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</row>
    <row r="146" spans="1:32" x14ac:dyDescent="0.25">
      <c r="A146" s="1">
        <v>145</v>
      </c>
      <c r="B146" s="1" t="s">
        <v>374</v>
      </c>
      <c r="C146" s="1" t="s">
        <v>373</v>
      </c>
      <c r="D146" s="1" t="s">
        <v>73</v>
      </c>
      <c r="F146" s="1" t="s">
        <v>74</v>
      </c>
      <c r="G146" s="3">
        <v>46216</v>
      </c>
      <c r="H146" s="3">
        <v>46216</v>
      </c>
      <c r="I146" s="1">
        <v>144</v>
      </c>
      <c r="J146" s="4">
        <v>0</v>
      </c>
      <c r="L146" s="1" t="s">
        <v>80</v>
      </c>
      <c r="M146" s="1" t="s">
        <v>47</v>
      </c>
      <c r="N146" s="1" t="s">
        <v>350</v>
      </c>
      <c r="O146" s="1" t="s">
        <v>103</v>
      </c>
      <c r="P146" s="5">
        <v>46197</v>
      </c>
      <c r="Q146" s="1" t="s">
        <v>38</v>
      </c>
      <c r="R146" s="1">
        <v>146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</row>
    <row r="147" spans="1:32" x14ac:dyDescent="0.25">
      <c r="A147" s="1">
        <v>146</v>
      </c>
      <c r="B147" s="1" t="s">
        <v>375</v>
      </c>
      <c r="C147" s="1" t="s">
        <v>373</v>
      </c>
      <c r="D147" s="1" t="s">
        <v>78</v>
      </c>
      <c r="F147" s="1" t="s">
        <v>69</v>
      </c>
      <c r="G147" s="3">
        <v>46217</v>
      </c>
      <c r="H147" s="3">
        <v>46218</v>
      </c>
      <c r="I147" s="1">
        <v>145</v>
      </c>
      <c r="J147" s="4">
        <v>0</v>
      </c>
      <c r="L147" s="1" t="s">
        <v>80</v>
      </c>
      <c r="M147" s="1" t="s">
        <v>47</v>
      </c>
      <c r="N147" s="1" t="s">
        <v>350</v>
      </c>
      <c r="O147" s="1" t="s">
        <v>201</v>
      </c>
      <c r="P147" s="5">
        <v>46199</v>
      </c>
      <c r="Q147" s="1" t="s">
        <v>38</v>
      </c>
      <c r="R147" s="1">
        <v>147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</row>
    <row r="148" spans="1:32" x14ac:dyDescent="0.25">
      <c r="A148" s="1">
        <v>147</v>
      </c>
      <c r="B148" s="1" t="s">
        <v>376</v>
      </c>
      <c r="C148" s="1" t="s">
        <v>373</v>
      </c>
      <c r="D148" s="1" t="s">
        <v>84</v>
      </c>
      <c r="F148" s="1" t="s">
        <v>74</v>
      </c>
      <c r="G148" s="3">
        <v>46219</v>
      </c>
      <c r="H148" s="3">
        <v>46219</v>
      </c>
      <c r="I148" s="1">
        <v>146</v>
      </c>
      <c r="J148" s="4">
        <v>0</v>
      </c>
      <c r="L148" s="1" t="s">
        <v>80</v>
      </c>
      <c r="M148" s="1" t="s">
        <v>47</v>
      </c>
      <c r="N148" s="1" t="s">
        <v>350</v>
      </c>
      <c r="O148" s="1" t="s">
        <v>369</v>
      </c>
      <c r="P148" s="5">
        <v>46202</v>
      </c>
      <c r="Q148" s="1" t="s">
        <v>38</v>
      </c>
      <c r="U148" s="1">
        <v>0</v>
      </c>
      <c r="V148" s="1">
        <v>0</v>
      </c>
      <c r="W148" s="1">
        <v>0</v>
      </c>
      <c r="X148" s="1">
        <v>0</v>
      </c>
      <c r="Y148" s="1">
        <v>1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</row>
    <row r="149" spans="1:32" x14ac:dyDescent="0.25">
      <c r="A149" s="1">
        <v>148</v>
      </c>
      <c r="B149" s="1" t="s">
        <v>377</v>
      </c>
      <c r="C149" s="1" t="s">
        <v>43</v>
      </c>
      <c r="D149" s="1" t="s">
        <v>378</v>
      </c>
      <c r="F149" s="1" t="s">
        <v>379</v>
      </c>
      <c r="G149" s="3">
        <v>46170</v>
      </c>
      <c r="H149" s="3">
        <v>46351</v>
      </c>
      <c r="J149" s="4">
        <v>0.23</v>
      </c>
      <c r="L149" s="1" t="s">
        <v>34</v>
      </c>
      <c r="M149" s="1" t="s">
        <v>47</v>
      </c>
      <c r="N149" s="1" t="s">
        <v>380</v>
      </c>
      <c r="O149" s="1" t="s">
        <v>209</v>
      </c>
      <c r="P149" s="5">
        <v>46211</v>
      </c>
      <c r="Q149" s="1" t="s">
        <v>38</v>
      </c>
      <c r="U149" s="1">
        <v>0.23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</row>
    <row r="150" spans="1:32" x14ac:dyDescent="0.25">
      <c r="A150" s="1">
        <v>149</v>
      </c>
      <c r="B150" s="1" t="s">
        <v>381</v>
      </c>
      <c r="C150" s="1" t="s">
        <v>382</v>
      </c>
      <c r="D150" s="1" t="s">
        <v>383</v>
      </c>
      <c r="E150" s="1" t="s">
        <v>180</v>
      </c>
      <c r="F150" s="1" t="s">
        <v>139</v>
      </c>
      <c r="G150" s="3">
        <v>46170</v>
      </c>
      <c r="H150" s="3">
        <v>46176</v>
      </c>
      <c r="J150" s="4">
        <v>0.5</v>
      </c>
      <c r="L150" s="1" t="s">
        <v>34</v>
      </c>
      <c r="M150" s="1" t="s">
        <v>47</v>
      </c>
      <c r="N150" s="1" t="s">
        <v>380</v>
      </c>
      <c r="O150" s="1" t="s">
        <v>182</v>
      </c>
      <c r="P150" s="5">
        <v>46192</v>
      </c>
      <c r="Q150" s="1" t="s">
        <v>38</v>
      </c>
      <c r="U150" s="1">
        <v>0.5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</row>
    <row r="151" spans="1:32" x14ac:dyDescent="0.25">
      <c r="A151" s="1">
        <v>150</v>
      </c>
      <c r="B151" s="1" t="s">
        <v>384</v>
      </c>
      <c r="C151" s="1" t="s">
        <v>385</v>
      </c>
      <c r="D151" s="1" t="s">
        <v>68</v>
      </c>
      <c r="F151" s="1" t="s">
        <v>45</v>
      </c>
      <c r="G151" s="3">
        <v>46170</v>
      </c>
      <c r="H151" s="3">
        <v>46170</v>
      </c>
      <c r="I151" s="1" t="s">
        <v>233</v>
      </c>
      <c r="J151" s="4">
        <v>1</v>
      </c>
      <c r="K151" s="3">
        <v>46170</v>
      </c>
      <c r="L151" s="1" t="s">
        <v>46</v>
      </c>
      <c r="M151" s="1" t="s">
        <v>47</v>
      </c>
      <c r="N151" s="1" t="s">
        <v>380</v>
      </c>
      <c r="O151" s="1" t="s">
        <v>182</v>
      </c>
      <c r="P151" s="5">
        <v>46188</v>
      </c>
      <c r="Q151" s="1" t="s">
        <v>38</v>
      </c>
      <c r="R151" s="1" t="s">
        <v>386</v>
      </c>
      <c r="U151" s="1">
        <v>1</v>
      </c>
      <c r="V151" s="1">
        <v>1</v>
      </c>
      <c r="W151" s="1">
        <v>1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1</v>
      </c>
    </row>
    <row r="152" spans="1:32" x14ac:dyDescent="0.25">
      <c r="A152" s="1">
        <v>151</v>
      </c>
      <c r="B152" s="1" t="s">
        <v>387</v>
      </c>
      <c r="C152" s="1" t="s">
        <v>385</v>
      </c>
      <c r="D152" s="1" t="s">
        <v>73</v>
      </c>
      <c r="F152" s="1" t="s">
        <v>74</v>
      </c>
      <c r="G152" s="3">
        <v>46171</v>
      </c>
      <c r="H152" s="3">
        <v>46171</v>
      </c>
      <c r="I152" s="1">
        <v>150</v>
      </c>
      <c r="J152" s="4">
        <v>1</v>
      </c>
      <c r="K152" s="3">
        <v>46171</v>
      </c>
      <c r="L152" s="1" t="s">
        <v>46</v>
      </c>
      <c r="M152" s="1" t="s">
        <v>47</v>
      </c>
      <c r="N152" s="1" t="s">
        <v>380</v>
      </c>
      <c r="O152" s="1" t="s">
        <v>131</v>
      </c>
      <c r="P152" s="5">
        <v>46189</v>
      </c>
      <c r="Q152" s="1" t="s">
        <v>38</v>
      </c>
      <c r="R152" s="1">
        <v>152</v>
      </c>
      <c r="U152" s="1">
        <v>1</v>
      </c>
      <c r="V152" s="1">
        <v>0</v>
      </c>
      <c r="W152" s="1">
        <v>0</v>
      </c>
      <c r="X152" s="1">
        <v>0</v>
      </c>
      <c r="Y152" s="1">
        <v>0</v>
      </c>
      <c r="Z152" s="1">
        <v>1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</row>
    <row r="153" spans="1:32" x14ac:dyDescent="0.25">
      <c r="A153" s="1">
        <v>152</v>
      </c>
      <c r="B153" s="1" t="s">
        <v>388</v>
      </c>
      <c r="C153" s="1" t="s">
        <v>385</v>
      </c>
      <c r="D153" s="1" t="s">
        <v>78</v>
      </c>
      <c r="F153" s="1" t="s">
        <v>69</v>
      </c>
      <c r="G153" s="3">
        <v>46174</v>
      </c>
      <c r="H153" s="3">
        <v>46175</v>
      </c>
      <c r="I153" s="1">
        <v>151</v>
      </c>
      <c r="J153" s="4">
        <v>0.5</v>
      </c>
      <c r="L153" s="1" t="s">
        <v>34</v>
      </c>
      <c r="M153" s="1" t="s">
        <v>47</v>
      </c>
      <c r="N153" s="1" t="s">
        <v>380</v>
      </c>
      <c r="O153" s="1" t="s">
        <v>133</v>
      </c>
      <c r="P153" s="5">
        <v>46191</v>
      </c>
      <c r="Q153" s="1" t="s">
        <v>38</v>
      </c>
      <c r="R153" s="1">
        <v>153</v>
      </c>
      <c r="U153" s="1">
        <v>0.5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1</v>
      </c>
      <c r="AD153" s="1">
        <v>0</v>
      </c>
      <c r="AE153" s="1">
        <v>0</v>
      </c>
      <c r="AF153" s="1">
        <v>0</v>
      </c>
    </row>
    <row r="154" spans="1:32" x14ac:dyDescent="0.25">
      <c r="A154" s="1">
        <v>153</v>
      </c>
      <c r="B154" s="1" t="s">
        <v>389</v>
      </c>
      <c r="C154" s="1" t="s">
        <v>385</v>
      </c>
      <c r="D154" s="1" t="s">
        <v>84</v>
      </c>
      <c r="F154" s="1" t="s">
        <v>74</v>
      </c>
      <c r="G154" s="3">
        <v>46176</v>
      </c>
      <c r="H154" s="3">
        <v>46176</v>
      </c>
      <c r="I154" s="1">
        <v>152</v>
      </c>
      <c r="J154" s="4">
        <v>0</v>
      </c>
      <c r="L154" s="1" t="s">
        <v>34</v>
      </c>
      <c r="M154" s="1" t="s">
        <v>47</v>
      </c>
      <c r="N154" s="1" t="s">
        <v>380</v>
      </c>
      <c r="O154" s="1" t="s">
        <v>135</v>
      </c>
      <c r="P154" s="5">
        <v>46192</v>
      </c>
      <c r="Q154" s="1" t="s">
        <v>38</v>
      </c>
      <c r="U154" s="1">
        <v>0</v>
      </c>
      <c r="V154" s="1">
        <v>0</v>
      </c>
      <c r="W154" s="1">
        <v>0</v>
      </c>
      <c r="X154" s="1">
        <v>0</v>
      </c>
      <c r="Y154" s="1">
        <v>1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1</v>
      </c>
      <c r="AF154" s="1">
        <v>0</v>
      </c>
    </row>
    <row r="155" spans="1:32" x14ac:dyDescent="0.25">
      <c r="A155" s="1">
        <v>154</v>
      </c>
      <c r="B155" s="1" t="s">
        <v>390</v>
      </c>
      <c r="C155" s="1" t="s">
        <v>382</v>
      </c>
      <c r="D155" s="1" t="s">
        <v>391</v>
      </c>
      <c r="E155" s="1" t="s">
        <v>180</v>
      </c>
      <c r="F155" s="1" t="s">
        <v>139</v>
      </c>
      <c r="G155" s="3">
        <v>46170</v>
      </c>
      <c r="H155" s="3">
        <v>46176</v>
      </c>
      <c r="J155" s="4">
        <v>0.5</v>
      </c>
      <c r="L155" s="1" t="s">
        <v>34</v>
      </c>
      <c r="M155" s="1" t="s">
        <v>47</v>
      </c>
      <c r="N155" s="1" t="s">
        <v>380</v>
      </c>
      <c r="O155" s="1" t="s">
        <v>182</v>
      </c>
      <c r="P155" s="5">
        <v>46192</v>
      </c>
      <c r="Q155" s="1" t="s">
        <v>38</v>
      </c>
      <c r="S155" s="1" t="s">
        <v>65</v>
      </c>
      <c r="U155" s="1">
        <v>0.5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</row>
    <row r="156" spans="1:32" x14ac:dyDescent="0.25">
      <c r="A156" s="1">
        <v>155</v>
      </c>
      <c r="B156" s="1" t="s">
        <v>392</v>
      </c>
      <c r="C156" s="1" t="s">
        <v>393</v>
      </c>
      <c r="D156" s="1" t="s">
        <v>68</v>
      </c>
      <c r="F156" s="1" t="s">
        <v>45</v>
      </c>
      <c r="G156" s="3">
        <v>46170</v>
      </c>
      <c r="H156" s="3">
        <v>46170</v>
      </c>
      <c r="I156" s="1" t="s">
        <v>233</v>
      </c>
      <c r="J156" s="4">
        <v>1</v>
      </c>
      <c r="K156" s="3">
        <v>46170</v>
      </c>
      <c r="L156" s="1" t="s">
        <v>46</v>
      </c>
      <c r="M156" s="1" t="s">
        <v>47</v>
      </c>
      <c r="N156" s="1" t="s">
        <v>380</v>
      </c>
      <c r="O156" s="1" t="s">
        <v>182</v>
      </c>
      <c r="P156" s="5">
        <v>46188</v>
      </c>
      <c r="Q156" s="1" t="s">
        <v>38</v>
      </c>
      <c r="R156" s="1" t="s">
        <v>394</v>
      </c>
      <c r="U156" s="1">
        <v>1</v>
      </c>
      <c r="V156" s="1">
        <v>1</v>
      </c>
      <c r="W156" s="1">
        <v>1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1</v>
      </c>
    </row>
    <row r="157" spans="1:32" x14ac:dyDescent="0.25">
      <c r="A157" s="1">
        <v>156</v>
      </c>
      <c r="B157" s="1" t="s">
        <v>395</v>
      </c>
      <c r="C157" s="1" t="s">
        <v>393</v>
      </c>
      <c r="D157" s="1" t="s">
        <v>73</v>
      </c>
      <c r="F157" s="1" t="s">
        <v>74</v>
      </c>
      <c r="G157" s="3">
        <v>46171</v>
      </c>
      <c r="H157" s="3">
        <v>46171</v>
      </c>
      <c r="I157" s="1">
        <v>155</v>
      </c>
      <c r="J157" s="4">
        <v>1</v>
      </c>
      <c r="K157" s="3">
        <v>46171</v>
      </c>
      <c r="L157" s="1" t="s">
        <v>46</v>
      </c>
      <c r="M157" s="1" t="s">
        <v>47</v>
      </c>
      <c r="N157" s="1" t="s">
        <v>380</v>
      </c>
      <c r="O157" s="1" t="s">
        <v>131</v>
      </c>
      <c r="P157" s="5">
        <v>46189</v>
      </c>
      <c r="Q157" s="1" t="s">
        <v>38</v>
      </c>
      <c r="R157" s="1">
        <v>157</v>
      </c>
      <c r="U157" s="1">
        <v>1</v>
      </c>
      <c r="V157" s="1">
        <v>0</v>
      </c>
      <c r="W157" s="1">
        <v>0</v>
      </c>
      <c r="X157" s="1">
        <v>0</v>
      </c>
      <c r="Y157" s="1">
        <v>0</v>
      </c>
      <c r="Z157" s="1">
        <v>1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</row>
    <row r="158" spans="1:32" x14ac:dyDescent="0.25">
      <c r="A158" s="1">
        <v>157</v>
      </c>
      <c r="B158" s="1" t="s">
        <v>396</v>
      </c>
      <c r="C158" s="1" t="s">
        <v>393</v>
      </c>
      <c r="D158" s="1" t="s">
        <v>78</v>
      </c>
      <c r="F158" s="1" t="s">
        <v>69</v>
      </c>
      <c r="G158" s="3">
        <v>46174</v>
      </c>
      <c r="H158" s="3">
        <v>46175</v>
      </c>
      <c r="I158" s="1">
        <v>156</v>
      </c>
      <c r="J158" s="4">
        <v>0.5</v>
      </c>
      <c r="L158" s="1" t="s">
        <v>34</v>
      </c>
      <c r="M158" s="1" t="s">
        <v>47</v>
      </c>
      <c r="N158" s="1" t="s">
        <v>380</v>
      </c>
      <c r="O158" s="1" t="s">
        <v>133</v>
      </c>
      <c r="P158" s="5">
        <v>46191</v>
      </c>
      <c r="Q158" s="1" t="s">
        <v>38</v>
      </c>
      <c r="R158" s="1">
        <v>158</v>
      </c>
      <c r="U158" s="1">
        <v>0.5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1</v>
      </c>
      <c r="AD158" s="1">
        <v>0</v>
      </c>
      <c r="AE158" s="1">
        <v>0</v>
      </c>
      <c r="AF158" s="1">
        <v>0</v>
      </c>
    </row>
    <row r="159" spans="1:32" x14ac:dyDescent="0.25">
      <c r="A159" s="1">
        <v>158</v>
      </c>
      <c r="B159" s="1" t="s">
        <v>397</v>
      </c>
      <c r="C159" s="1" t="s">
        <v>393</v>
      </c>
      <c r="D159" s="1" t="s">
        <v>84</v>
      </c>
      <c r="F159" s="1" t="s">
        <v>74</v>
      </c>
      <c r="G159" s="3">
        <v>46176</v>
      </c>
      <c r="H159" s="3">
        <v>46176</v>
      </c>
      <c r="I159" s="1">
        <v>157</v>
      </c>
      <c r="J159" s="4">
        <v>0</v>
      </c>
      <c r="L159" s="1" t="s">
        <v>34</v>
      </c>
      <c r="M159" s="1" t="s">
        <v>47</v>
      </c>
      <c r="N159" s="1" t="s">
        <v>380</v>
      </c>
      <c r="O159" s="1" t="s">
        <v>135</v>
      </c>
      <c r="P159" s="5">
        <v>46192</v>
      </c>
      <c r="Q159" s="1" t="s">
        <v>38</v>
      </c>
      <c r="U159" s="1">
        <v>0</v>
      </c>
      <c r="V159" s="1">
        <v>0</v>
      </c>
      <c r="W159" s="1">
        <v>0</v>
      </c>
      <c r="X159" s="1">
        <v>0</v>
      </c>
      <c r="Y159" s="1">
        <v>1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1</v>
      </c>
      <c r="AF159" s="1">
        <v>0</v>
      </c>
    </row>
    <row r="160" spans="1:32" x14ac:dyDescent="0.25">
      <c r="A160" s="1">
        <v>159</v>
      </c>
      <c r="B160" s="1" t="s">
        <v>398</v>
      </c>
      <c r="C160" s="1" t="s">
        <v>382</v>
      </c>
      <c r="D160" s="1" t="s">
        <v>399</v>
      </c>
      <c r="E160" s="1" t="s">
        <v>193</v>
      </c>
      <c r="F160" s="1" t="s">
        <v>126</v>
      </c>
      <c r="G160" s="3">
        <v>46343</v>
      </c>
      <c r="H160" s="3">
        <v>46351</v>
      </c>
      <c r="J160" s="4">
        <v>0</v>
      </c>
      <c r="L160" s="1" t="s">
        <v>80</v>
      </c>
      <c r="M160" s="1" t="s">
        <v>47</v>
      </c>
      <c r="N160" s="1" t="s">
        <v>380</v>
      </c>
      <c r="O160" s="1" t="s">
        <v>400</v>
      </c>
      <c r="P160" s="5">
        <v>46174</v>
      </c>
      <c r="Q160" s="1" t="s">
        <v>38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</row>
    <row r="161" spans="1:32" x14ac:dyDescent="0.25">
      <c r="A161" s="1">
        <v>160</v>
      </c>
      <c r="B161" s="1" t="s">
        <v>401</v>
      </c>
      <c r="C161" s="1" t="s">
        <v>402</v>
      </c>
      <c r="D161" s="1" t="s">
        <v>68</v>
      </c>
      <c r="F161" s="1" t="s">
        <v>93</v>
      </c>
      <c r="G161" s="3">
        <v>46343</v>
      </c>
      <c r="H161" s="3">
        <v>46345</v>
      </c>
      <c r="I161" s="1" t="s">
        <v>403</v>
      </c>
      <c r="J161" s="4">
        <v>0</v>
      </c>
      <c r="L161" s="1" t="s">
        <v>80</v>
      </c>
      <c r="M161" s="1" t="s">
        <v>47</v>
      </c>
      <c r="N161" s="1" t="s">
        <v>380</v>
      </c>
      <c r="O161" s="1" t="s">
        <v>400</v>
      </c>
      <c r="P161" s="5">
        <v>46168</v>
      </c>
      <c r="Q161" s="1" t="s">
        <v>38</v>
      </c>
      <c r="R161" s="1">
        <v>161</v>
      </c>
      <c r="U161" s="1">
        <v>0</v>
      </c>
      <c r="V161" s="1">
        <v>1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</row>
    <row r="162" spans="1:32" x14ac:dyDescent="0.25">
      <c r="A162" s="1">
        <v>161</v>
      </c>
      <c r="B162" s="1" t="s">
        <v>404</v>
      </c>
      <c r="C162" s="1" t="s">
        <v>402</v>
      </c>
      <c r="D162" s="1" t="s">
        <v>73</v>
      </c>
      <c r="F162" s="1" t="s">
        <v>74</v>
      </c>
      <c r="G162" s="3">
        <v>46346</v>
      </c>
      <c r="H162" s="3">
        <v>46346</v>
      </c>
      <c r="I162" s="1">
        <v>160</v>
      </c>
      <c r="J162" s="4">
        <v>0</v>
      </c>
      <c r="L162" s="1" t="s">
        <v>80</v>
      </c>
      <c r="M162" s="1" t="s">
        <v>47</v>
      </c>
      <c r="N162" s="1" t="s">
        <v>380</v>
      </c>
      <c r="O162" s="1" t="s">
        <v>405</v>
      </c>
      <c r="P162" s="5">
        <v>46169</v>
      </c>
      <c r="Q162" s="1" t="s">
        <v>38</v>
      </c>
      <c r="R162" s="1">
        <v>162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</row>
    <row r="163" spans="1:32" x14ac:dyDescent="0.25">
      <c r="A163" s="1">
        <v>162</v>
      </c>
      <c r="B163" s="1" t="s">
        <v>406</v>
      </c>
      <c r="C163" s="1" t="s">
        <v>402</v>
      </c>
      <c r="D163" s="1" t="s">
        <v>78</v>
      </c>
      <c r="F163" s="1" t="s">
        <v>69</v>
      </c>
      <c r="G163" s="3">
        <v>46349</v>
      </c>
      <c r="H163" s="3">
        <v>46350</v>
      </c>
      <c r="I163" s="1">
        <v>161</v>
      </c>
      <c r="J163" s="4">
        <v>0</v>
      </c>
      <c r="L163" s="1" t="s">
        <v>80</v>
      </c>
      <c r="M163" s="1" t="s">
        <v>47</v>
      </c>
      <c r="N163" s="1" t="s">
        <v>380</v>
      </c>
      <c r="O163" s="1" t="s">
        <v>246</v>
      </c>
      <c r="P163" s="5">
        <v>46171</v>
      </c>
      <c r="Q163" s="1" t="s">
        <v>38</v>
      </c>
      <c r="R163" s="1">
        <v>163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</row>
    <row r="164" spans="1:32" x14ac:dyDescent="0.25">
      <c r="A164" s="1">
        <v>163</v>
      </c>
      <c r="B164" s="1" t="s">
        <v>407</v>
      </c>
      <c r="C164" s="1" t="s">
        <v>402</v>
      </c>
      <c r="D164" s="1" t="s">
        <v>84</v>
      </c>
      <c r="F164" s="1" t="s">
        <v>74</v>
      </c>
      <c r="G164" s="3">
        <v>46351</v>
      </c>
      <c r="H164" s="3">
        <v>46351</v>
      </c>
      <c r="I164" s="1">
        <v>162</v>
      </c>
      <c r="J164" s="4">
        <v>0</v>
      </c>
      <c r="L164" s="1" t="s">
        <v>80</v>
      </c>
      <c r="M164" s="1" t="s">
        <v>47</v>
      </c>
      <c r="N164" s="1" t="s">
        <v>380</v>
      </c>
      <c r="O164" s="1" t="s">
        <v>408</v>
      </c>
      <c r="P164" s="5">
        <v>46174</v>
      </c>
      <c r="Q164" s="1" t="s">
        <v>38</v>
      </c>
      <c r="U164" s="1">
        <v>0</v>
      </c>
      <c r="V164" s="1">
        <v>0</v>
      </c>
      <c r="W164" s="1">
        <v>0</v>
      </c>
      <c r="X164" s="1">
        <v>0</v>
      </c>
      <c r="Y164" s="1">
        <v>1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</row>
    <row r="165" spans="1:32" x14ac:dyDescent="0.25">
      <c r="A165" s="1">
        <v>164</v>
      </c>
      <c r="B165" s="1" t="s">
        <v>409</v>
      </c>
      <c r="C165" s="1" t="s">
        <v>382</v>
      </c>
      <c r="D165" s="1" t="s">
        <v>410</v>
      </c>
      <c r="E165" s="1" t="s">
        <v>193</v>
      </c>
      <c r="F165" s="1" t="s">
        <v>126</v>
      </c>
      <c r="G165" s="3">
        <v>46209</v>
      </c>
      <c r="H165" s="3">
        <v>46219</v>
      </c>
      <c r="J165" s="4">
        <v>0</v>
      </c>
      <c r="L165" s="1" t="s">
        <v>64</v>
      </c>
      <c r="M165" s="1" t="s">
        <v>47</v>
      </c>
      <c r="N165" s="1" t="s">
        <v>380</v>
      </c>
      <c r="O165" s="1" t="s">
        <v>400</v>
      </c>
      <c r="P165" s="5">
        <v>46174</v>
      </c>
      <c r="Q165" s="1" t="s">
        <v>38</v>
      </c>
      <c r="S165" s="1" t="s">
        <v>65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</row>
    <row r="166" spans="1:32" x14ac:dyDescent="0.25">
      <c r="A166" s="1">
        <v>165</v>
      </c>
      <c r="B166" s="1" t="s">
        <v>411</v>
      </c>
      <c r="C166" s="1" t="s">
        <v>412</v>
      </c>
      <c r="D166" s="1" t="s">
        <v>68</v>
      </c>
      <c r="F166" s="1" t="s">
        <v>93</v>
      </c>
      <c r="G166" s="3">
        <v>46209</v>
      </c>
      <c r="H166" s="3">
        <v>46211</v>
      </c>
      <c r="J166" s="4">
        <v>0</v>
      </c>
      <c r="L166" s="1" t="s">
        <v>64</v>
      </c>
      <c r="M166" s="1" t="s">
        <v>47</v>
      </c>
      <c r="N166" s="1" t="s">
        <v>380</v>
      </c>
      <c r="O166" s="1" t="s">
        <v>400</v>
      </c>
      <c r="P166" s="5">
        <v>46168</v>
      </c>
      <c r="Q166" s="1" t="s">
        <v>38</v>
      </c>
      <c r="R166" s="1">
        <v>166</v>
      </c>
      <c r="U166" s="1">
        <v>0</v>
      </c>
      <c r="V166" s="1">
        <v>1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</row>
    <row r="167" spans="1:32" x14ac:dyDescent="0.25">
      <c r="A167" s="1">
        <v>166</v>
      </c>
      <c r="B167" s="1" t="s">
        <v>413</v>
      </c>
      <c r="C167" s="1" t="s">
        <v>412</v>
      </c>
      <c r="D167" s="1" t="s">
        <v>73</v>
      </c>
      <c r="F167" s="1" t="s">
        <v>74</v>
      </c>
      <c r="G167" s="3">
        <v>46216</v>
      </c>
      <c r="H167" s="3">
        <v>46216</v>
      </c>
      <c r="I167" s="1">
        <v>165</v>
      </c>
      <c r="J167" s="4">
        <v>0</v>
      </c>
      <c r="L167" s="1" t="s">
        <v>80</v>
      </c>
      <c r="M167" s="1" t="s">
        <v>47</v>
      </c>
      <c r="N167" s="1" t="s">
        <v>380</v>
      </c>
      <c r="O167" s="1" t="s">
        <v>405</v>
      </c>
      <c r="P167" s="5">
        <v>46169</v>
      </c>
      <c r="Q167" s="1" t="s">
        <v>38</v>
      </c>
      <c r="R167" s="1">
        <v>167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</row>
    <row r="168" spans="1:32" x14ac:dyDescent="0.25">
      <c r="A168" s="1">
        <v>167</v>
      </c>
      <c r="B168" s="1" t="s">
        <v>414</v>
      </c>
      <c r="C168" s="1" t="s">
        <v>412</v>
      </c>
      <c r="D168" s="1" t="s">
        <v>78</v>
      </c>
      <c r="F168" s="1" t="s">
        <v>69</v>
      </c>
      <c r="G168" s="3">
        <v>46217</v>
      </c>
      <c r="H168" s="3">
        <v>46218</v>
      </c>
      <c r="I168" s="1">
        <v>166</v>
      </c>
      <c r="J168" s="4">
        <v>0</v>
      </c>
      <c r="L168" s="1" t="s">
        <v>80</v>
      </c>
      <c r="M168" s="1" t="s">
        <v>47</v>
      </c>
      <c r="N168" s="1" t="s">
        <v>380</v>
      </c>
      <c r="O168" s="1" t="s">
        <v>246</v>
      </c>
      <c r="P168" s="5">
        <v>46171</v>
      </c>
      <c r="Q168" s="1" t="s">
        <v>38</v>
      </c>
      <c r="R168" s="1">
        <v>168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</row>
    <row r="169" spans="1:32" x14ac:dyDescent="0.25">
      <c r="A169" s="1">
        <v>168</v>
      </c>
      <c r="B169" s="1" t="s">
        <v>415</v>
      </c>
      <c r="C169" s="1" t="s">
        <v>412</v>
      </c>
      <c r="D169" s="1" t="s">
        <v>84</v>
      </c>
      <c r="F169" s="1" t="s">
        <v>74</v>
      </c>
      <c r="G169" s="3">
        <v>46219</v>
      </c>
      <c r="H169" s="3">
        <v>46219</v>
      </c>
      <c r="I169" s="1">
        <v>167</v>
      </c>
      <c r="J169" s="4">
        <v>0</v>
      </c>
      <c r="L169" s="1" t="s">
        <v>80</v>
      </c>
      <c r="M169" s="1" t="s">
        <v>47</v>
      </c>
      <c r="N169" s="1" t="s">
        <v>380</v>
      </c>
      <c r="O169" s="1" t="s">
        <v>408</v>
      </c>
      <c r="P169" s="5">
        <v>46174</v>
      </c>
      <c r="Q169" s="1" t="s">
        <v>38</v>
      </c>
      <c r="U169" s="1">
        <v>0</v>
      </c>
      <c r="V169" s="1">
        <v>0</v>
      </c>
      <c r="W169" s="1">
        <v>0</v>
      </c>
      <c r="X169" s="1">
        <v>0</v>
      </c>
      <c r="Y169" s="1">
        <v>1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</row>
    <row r="170" spans="1:32" x14ac:dyDescent="0.25">
      <c r="A170" s="1">
        <v>169</v>
      </c>
      <c r="B170" s="1" t="s">
        <v>416</v>
      </c>
      <c r="C170" s="1" t="s">
        <v>382</v>
      </c>
      <c r="D170" s="1" t="s">
        <v>417</v>
      </c>
      <c r="E170" s="1" t="s">
        <v>193</v>
      </c>
      <c r="F170" s="1" t="s">
        <v>126</v>
      </c>
      <c r="G170" s="3">
        <v>46205</v>
      </c>
      <c r="H170" s="3">
        <v>46217</v>
      </c>
      <c r="J170" s="4">
        <v>0.39</v>
      </c>
      <c r="L170" s="1" t="s">
        <v>64</v>
      </c>
      <c r="M170" s="1" t="s">
        <v>47</v>
      </c>
      <c r="N170" s="1" t="s">
        <v>380</v>
      </c>
      <c r="O170" s="1" t="s">
        <v>400</v>
      </c>
      <c r="P170" s="5">
        <v>46174</v>
      </c>
      <c r="Q170" s="1" t="s">
        <v>38</v>
      </c>
      <c r="S170" s="1" t="s">
        <v>65</v>
      </c>
      <c r="U170" s="1">
        <v>0.39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</row>
    <row r="171" spans="1:32" x14ac:dyDescent="0.25">
      <c r="A171" s="1">
        <v>170</v>
      </c>
      <c r="B171" s="1" t="s">
        <v>418</v>
      </c>
      <c r="C171" s="1" t="s">
        <v>419</v>
      </c>
      <c r="D171" s="1" t="s">
        <v>68</v>
      </c>
      <c r="F171" s="1" t="s">
        <v>93</v>
      </c>
      <c r="G171" s="3">
        <v>46205</v>
      </c>
      <c r="H171" s="3">
        <v>46209</v>
      </c>
      <c r="J171" s="4">
        <v>0.9</v>
      </c>
      <c r="L171" s="1" t="s">
        <v>64</v>
      </c>
      <c r="M171" s="1" t="s">
        <v>47</v>
      </c>
      <c r="N171" s="1" t="s">
        <v>380</v>
      </c>
      <c r="O171" s="1" t="s">
        <v>400</v>
      </c>
      <c r="P171" s="5">
        <v>46168</v>
      </c>
      <c r="Q171" s="1" t="s">
        <v>38</v>
      </c>
      <c r="R171" s="1">
        <v>171</v>
      </c>
      <c r="U171" s="1">
        <v>0.9</v>
      </c>
      <c r="V171" s="1">
        <v>1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</row>
    <row r="172" spans="1:32" x14ac:dyDescent="0.25">
      <c r="A172" s="1">
        <v>171</v>
      </c>
      <c r="B172" s="1" t="s">
        <v>420</v>
      </c>
      <c r="C172" s="1" t="s">
        <v>419</v>
      </c>
      <c r="D172" s="1" t="s">
        <v>73</v>
      </c>
      <c r="F172" s="1" t="s">
        <v>74</v>
      </c>
      <c r="G172" s="3">
        <v>46210</v>
      </c>
      <c r="H172" s="3">
        <v>46210</v>
      </c>
      <c r="I172" s="1">
        <v>170</v>
      </c>
      <c r="J172" s="4">
        <v>0</v>
      </c>
      <c r="L172" s="1" t="s">
        <v>80</v>
      </c>
      <c r="M172" s="1" t="s">
        <v>47</v>
      </c>
      <c r="N172" s="1" t="s">
        <v>380</v>
      </c>
      <c r="O172" s="1" t="s">
        <v>405</v>
      </c>
      <c r="P172" s="5">
        <v>46169</v>
      </c>
      <c r="Q172" s="1" t="s">
        <v>38</v>
      </c>
      <c r="R172" s="1">
        <v>172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</row>
    <row r="173" spans="1:32" x14ac:dyDescent="0.25">
      <c r="A173" s="1">
        <v>172</v>
      </c>
      <c r="B173" s="1" t="s">
        <v>421</v>
      </c>
      <c r="C173" s="1" t="s">
        <v>419</v>
      </c>
      <c r="D173" s="1" t="s">
        <v>78</v>
      </c>
      <c r="F173" s="1" t="s">
        <v>69</v>
      </c>
      <c r="G173" s="3">
        <v>46211</v>
      </c>
      <c r="H173" s="3">
        <v>46216</v>
      </c>
      <c r="I173" s="1">
        <v>171</v>
      </c>
      <c r="J173" s="4">
        <v>0</v>
      </c>
      <c r="L173" s="1" t="s">
        <v>80</v>
      </c>
      <c r="M173" s="1" t="s">
        <v>47</v>
      </c>
      <c r="N173" s="1" t="s">
        <v>380</v>
      </c>
      <c r="O173" s="1" t="s">
        <v>246</v>
      </c>
      <c r="P173" s="5">
        <v>46171</v>
      </c>
      <c r="Q173" s="1" t="s">
        <v>38</v>
      </c>
      <c r="R173" s="1">
        <v>173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</row>
    <row r="174" spans="1:32" x14ac:dyDescent="0.25">
      <c r="A174" s="1">
        <v>173</v>
      </c>
      <c r="B174" s="1" t="s">
        <v>422</v>
      </c>
      <c r="C174" s="1" t="s">
        <v>419</v>
      </c>
      <c r="D174" s="1" t="s">
        <v>84</v>
      </c>
      <c r="F174" s="1" t="s">
        <v>74</v>
      </c>
      <c r="G174" s="3">
        <v>46217</v>
      </c>
      <c r="H174" s="3">
        <v>46217</v>
      </c>
      <c r="I174" s="1">
        <v>172</v>
      </c>
      <c r="J174" s="4">
        <v>0</v>
      </c>
      <c r="L174" s="1" t="s">
        <v>80</v>
      </c>
      <c r="M174" s="1" t="s">
        <v>47</v>
      </c>
      <c r="N174" s="1" t="s">
        <v>380</v>
      </c>
      <c r="O174" s="1" t="s">
        <v>408</v>
      </c>
      <c r="P174" s="5">
        <v>46174</v>
      </c>
      <c r="Q174" s="1" t="s">
        <v>38</v>
      </c>
      <c r="U174" s="1">
        <v>0</v>
      </c>
      <c r="V174" s="1">
        <v>0</v>
      </c>
      <c r="W174" s="1">
        <v>0</v>
      </c>
      <c r="X174" s="1">
        <v>0</v>
      </c>
      <c r="Y174" s="1">
        <v>1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</row>
    <row r="175" spans="1:32" x14ac:dyDescent="0.25">
      <c r="A175" s="1">
        <v>174</v>
      </c>
      <c r="B175" s="1" t="s">
        <v>423</v>
      </c>
      <c r="C175" s="1" t="s">
        <v>43</v>
      </c>
      <c r="D175" s="1" t="s">
        <v>424</v>
      </c>
      <c r="F175" s="1" t="s">
        <v>126</v>
      </c>
      <c r="G175" s="3">
        <v>46274</v>
      </c>
      <c r="H175" s="3">
        <v>46282</v>
      </c>
      <c r="J175" s="4">
        <v>0</v>
      </c>
      <c r="L175" s="1" t="s">
        <v>80</v>
      </c>
      <c r="M175" s="1" t="s">
        <v>47</v>
      </c>
      <c r="N175" s="1" t="s">
        <v>425</v>
      </c>
      <c r="O175" s="1" t="s">
        <v>198</v>
      </c>
      <c r="P175" s="5">
        <v>46211</v>
      </c>
      <c r="Q175" s="1" t="s">
        <v>38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</row>
    <row r="176" spans="1:32" x14ac:dyDescent="0.25">
      <c r="A176" s="1">
        <v>175</v>
      </c>
      <c r="B176" s="1" t="s">
        <v>426</v>
      </c>
      <c r="C176" s="1" t="s">
        <v>427</v>
      </c>
      <c r="D176" s="1" t="s">
        <v>428</v>
      </c>
      <c r="F176" s="1" t="s">
        <v>126</v>
      </c>
      <c r="G176" s="3">
        <v>46274</v>
      </c>
      <c r="H176" s="3">
        <v>46282</v>
      </c>
      <c r="J176" s="4">
        <v>0</v>
      </c>
      <c r="L176" s="1" t="s">
        <v>80</v>
      </c>
      <c r="M176" s="1" t="s">
        <v>47</v>
      </c>
      <c r="N176" s="1" t="s">
        <v>425</v>
      </c>
      <c r="O176" s="1" t="s">
        <v>429</v>
      </c>
      <c r="P176" s="5">
        <v>46272</v>
      </c>
      <c r="Q176" s="1" t="s">
        <v>38</v>
      </c>
      <c r="S176" s="1" t="s">
        <v>65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</row>
    <row r="177" spans="1:32" x14ac:dyDescent="0.25">
      <c r="A177" s="1">
        <v>176</v>
      </c>
      <c r="B177" s="1" t="s">
        <v>430</v>
      </c>
      <c r="C177" s="1" t="s">
        <v>431</v>
      </c>
      <c r="D177" s="1" t="s">
        <v>68</v>
      </c>
      <c r="F177" s="1" t="s">
        <v>93</v>
      </c>
      <c r="G177" s="3">
        <v>46274</v>
      </c>
      <c r="H177" s="3">
        <v>46276</v>
      </c>
      <c r="I177" s="1" t="s">
        <v>432</v>
      </c>
      <c r="J177" s="4">
        <v>0</v>
      </c>
      <c r="L177" s="1" t="s">
        <v>80</v>
      </c>
      <c r="M177" s="1" t="s">
        <v>47</v>
      </c>
      <c r="N177" s="1" t="s">
        <v>425</v>
      </c>
      <c r="O177" s="1" t="s">
        <v>433</v>
      </c>
      <c r="P177" s="5">
        <v>46276</v>
      </c>
      <c r="Q177" s="1" t="s">
        <v>38</v>
      </c>
      <c r="R177" s="1">
        <v>177</v>
      </c>
      <c r="U177" s="1">
        <v>0</v>
      </c>
      <c r="V177" s="1">
        <v>1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</row>
    <row r="178" spans="1:32" x14ac:dyDescent="0.25">
      <c r="A178" s="1">
        <v>177</v>
      </c>
      <c r="B178" s="1" t="s">
        <v>434</v>
      </c>
      <c r="C178" s="1" t="s">
        <v>431</v>
      </c>
      <c r="D178" s="1" t="s">
        <v>73</v>
      </c>
      <c r="F178" s="1" t="s">
        <v>74</v>
      </c>
      <c r="G178" s="3">
        <v>46279</v>
      </c>
      <c r="H178" s="3">
        <v>46279</v>
      </c>
      <c r="I178" s="1">
        <v>176</v>
      </c>
      <c r="J178" s="4">
        <v>0</v>
      </c>
      <c r="L178" s="1" t="s">
        <v>80</v>
      </c>
      <c r="M178" s="1" t="s">
        <v>47</v>
      </c>
      <c r="N178" s="1" t="s">
        <v>425</v>
      </c>
      <c r="O178" s="1" t="s">
        <v>435</v>
      </c>
      <c r="P178" s="5">
        <v>46279</v>
      </c>
      <c r="Q178" s="1" t="s">
        <v>38</v>
      </c>
      <c r="R178" s="1">
        <v>178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</row>
    <row r="179" spans="1:32" x14ac:dyDescent="0.25">
      <c r="A179" s="1">
        <v>178</v>
      </c>
      <c r="B179" s="1" t="s">
        <v>436</v>
      </c>
      <c r="C179" s="1" t="s">
        <v>431</v>
      </c>
      <c r="D179" s="1" t="s">
        <v>78</v>
      </c>
      <c r="F179" s="1" t="s">
        <v>69</v>
      </c>
      <c r="G179" s="3">
        <v>46280</v>
      </c>
      <c r="H179" s="3">
        <v>46281</v>
      </c>
      <c r="I179" s="1">
        <v>177</v>
      </c>
      <c r="J179" s="4">
        <v>0</v>
      </c>
      <c r="L179" s="1" t="s">
        <v>80</v>
      </c>
      <c r="M179" s="1" t="s">
        <v>47</v>
      </c>
      <c r="N179" s="1" t="s">
        <v>425</v>
      </c>
      <c r="O179" s="1" t="s">
        <v>437</v>
      </c>
      <c r="P179" s="5">
        <v>46281</v>
      </c>
      <c r="Q179" s="1" t="s">
        <v>38</v>
      </c>
      <c r="R179" s="1">
        <v>179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</row>
    <row r="180" spans="1:32" x14ac:dyDescent="0.25">
      <c r="A180" s="1">
        <v>179</v>
      </c>
      <c r="B180" s="1" t="s">
        <v>438</v>
      </c>
      <c r="C180" s="1" t="s">
        <v>431</v>
      </c>
      <c r="D180" s="1" t="s">
        <v>84</v>
      </c>
      <c r="F180" s="1" t="s">
        <v>74</v>
      </c>
      <c r="G180" s="3">
        <v>46282</v>
      </c>
      <c r="H180" s="3">
        <v>46282</v>
      </c>
      <c r="I180" s="1">
        <v>178</v>
      </c>
      <c r="J180" s="4">
        <v>0</v>
      </c>
      <c r="L180" s="1" t="s">
        <v>80</v>
      </c>
      <c r="M180" s="1" t="s">
        <v>47</v>
      </c>
      <c r="N180" s="1" t="s">
        <v>425</v>
      </c>
      <c r="O180" s="1" t="s">
        <v>439</v>
      </c>
      <c r="P180" s="5">
        <v>46282</v>
      </c>
      <c r="Q180" s="1" t="s">
        <v>38</v>
      </c>
      <c r="U180" s="1">
        <v>0</v>
      </c>
      <c r="V180" s="1">
        <v>0</v>
      </c>
      <c r="W180" s="1">
        <v>0</v>
      </c>
      <c r="X180" s="1">
        <v>0</v>
      </c>
      <c r="Y180" s="1">
        <v>1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</row>
    <row r="181" spans="1:32" x14ac:dyDescent="0.25">
      <c r="A181" s="1">
        <v>7</v>
      </c>
      <c r="B181" s="1" t="s">
        <v>60</v>
      </c>
      <c r="C181" s="1" t="s">
        <v>61</v>
      </c>
      <c r="D181" s="1" t="s">
        <v>440</v>
      </c>
      <c r="F181" s="1" t="s">
        <v>441</v>
      </c>
      <c r="G181" s="3">
        <v>46174</v>
      </c>
      <c r="H181" s="3">
        <v>46380</v>
      </c>
      <c r="J181" s="4">
        <v>0</v>
      </c>
      <c r="L181" s="1" t="s">
        <v>80</v>
      </c>
      <c r="M181" s="1" t="s">
        <v>35</v>
      </c>
      <c r="N181" s="1" t="s">
        <v>442</v>
      </c>
      <c r="O181" s="1" t="s">
        <v>37</v>
      </c>
      <c r="P181" s="5">
        <v>46161</v>
      </c>
      <c r="Q181" s="1" t="s">
        <v>38</v>
      </c>
      <c r="S181" s="1" t="s">
        <v>443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</row>
    <row r="182" spans="1:32" x14ac:dyDescent="0.25">
      <c r="A182" s="1">
        <v>71</v>
      </c>
      <c r="B182" s="1" t="s">
        <v>309</v>
      </c>
      <c r="C182" s="1" t="s">
        <v>291</v>
      </c>
      <c r="D182" s="1" t="s">
        <v>444</v>
      </c>
      <c r="F182" s="1" t="s">
        <v>126</v>
      </c>
      <c r="G182" s="3">
        <v>46360</v>
      </c>
      <c r="H182" s="3">
        <v>46370</v>
      </c>
      <c r="J182" s="4">
        <v>0</v>
      </c>
      <c r="L182" s="1" t="s">
        <v>80</v>
      </c>
      <c r="M182" s="1" t="s">
        <v>47</v>
      </c>
      <c r="N182" s="1" t="s">
        <v>445</v>
      </c>
      <c r="O182" s="1" t="s">
        <v>246</v>
      </c>
      <c r="P182" s="5">
        <v>46178</v>
      </c>
      <c r="Q182" s="1" t="s">
        <v>38</v>
      </c>
      <c r="S182" s="1" t="s">
        <v>443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</row>
    <row r="183" spans="1:32" x14ac:dyDescent="0.25">
      <c r="A183" s="1">
        <v>76</v>
      </c>
      <c r="B183" s="1" t="s">
        <v>446</v>
      </c>
      <c r="C183" s="1" t="s">
        <v>291</v>
      </c>
      <c r="D183" s="1" t="s">
        <v>447</v>
      </c>
      <c r="F183" s="1" t="s">
        <v>126</v>
      </c>
      <c r="G183" s="3">
        <v>46360</v>
      </c>
      <c r="H183" s="3">
        <v>46370</v>
      </c>
      <c r="J183" s="4">
        <v>0</v>
      </c>
      <c r="L183" s="1" t="s">
        <v>80</v>
      </c>
      <c r="M183" s="1" t="s">
        <v>47</v>
      </c>
      <c r="N183" s="1" t="s">
        <v>445</v>
      </c>
      <c r="O183" s="1" t="s">
        <v>250</v>
      </c>
      <c r="P183" s="5">
        <v>46183</v>
      </c>
      <c r="Q183" s="1" t="s">
        <v>38</v>
      </c>
      <c r="S183" s="1" t="s">
        <v>443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</row>
    <row r="184" spans="1:32" x14ac:dyDescent="0.25">
      <c r="A184" s="1">
        <v>115</v>
      </c>
      <c r="B184" s="1" t="s">
        <v>426</v>
      </c>
      <c r="C184" s="1" t="s">
        <v>427</v>
      </c>
      <c r="D184" s="1" t="s">
        <v>448</v>
      </c>
      <c r="F184" s="1" t="s">
        <v>45</v>
      </c>
      <c r="G184" s="3">
        <v>46272</v>
      </c>
      <c r="H184" s="3">
        <v>46272</v>
      </c>
      <c r="I184" s="1" t="s">
        <v>449</v>
      </c>
      <c r="J184" s="4">
        <v>0</v>
      </c>
      <c r="L184" s="1" t="s">
        <v>80</v>
      </c>
      <c r="M184" s="1" t="s">
        <v>47</v>
      </c>
      <c r="N184" s="1" t="s">
        <v>425</v>
      </c>
      <c r="O184" s="1" t="s">
        <v>429</v>
      </c>
      <c r="P184" s="5">
        <v>46272</v>
      </c>
      <c r="Q184" s="1" t="s">
        <v>38</v>
      </c>
      <c r="S184" s="1" t="s">
        <v>443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zoomScale="70" zoomScaleNormal="70" workbookViewId="0">
      <selection activeCell="G33" sqref="G33"/>
    </sheetView>
  </sheetViews>
  <sheetFormatPr defaultRowHeight="15" x14ac:dyDescent="0.25"/>
  <cols>
    <col min="1" max="1" width="32.140625" style="1" bestFit="1" customWidth="1"/>
    <col min="2" max="2" width="27" style="1" bestFit="1" customWidth="1"/>
    <col min="3" max="3" width="29.42578125" style="1" bestFit="1" customWidth="1"/>
    <col min="4" max="4" width="26.140625" style="1" bestFit="1" customWidth="1"/>
    <col min="5" max="5" width="32.7109375" style="1" bestFit="1" customWidth="1"/>
    <col min="6" max="6" width="40.5703125" style="1" bestFit="1" customWidth="1"/>
    <col min="7" max="7" width="24" style="1" bestFit="1" customWidth="1"/>
    <col min="8" max="8" width="9.5703125" style="1" bestFit="1" customWidth="1"/>
    <col min="9" max="16384" width="9.140625" style="1"/>
  </cols>
  <sheetData>
    <row r="1" spans="1:8" x14ac:dyDescent="0.25">
      <c r="A1" s="1" t="s">
        <v>450</v>
      </c>
      <c r="B1" s="1">
        <v>33</v>
      </c>
    </row>
    <row r="2" spans="1:8" x14ac:dyDescent="0.25">
      <c r="A2" s="1" t="s">
        <v>451</v>
      </c>
      <c r="B2" s="2">
        <v>0.35483870967741937</v>
      </c>
    </row>
    <row r="3" spans="1:8" x14ac:dyDescent="0.25">
      <c r="A3" s="1" t="s">
        <v>13</v>
      </c>
      <c r="B3" s="1" t="s">
        <v>21</v>
      </c>
      <c r="C3" s="1" t="s">
        <v>22</v>
      </c>
      <c r="D3" s="1" t="s">
        <v>452</v>
      </c>
      <c r="E3" s="1" t="s">
        <v>25</v>
      </c>
      <c r="F3" s="1" t="s">
        <v>27</v>
      </c>
      <c r="G3" s="1" t="s">
        <v>29</v>
      </c>
      <c r="H3" s="1" t="s">
        <v>453</v>
      </c>
    </row>
    <row r="4" spans="1:8" x14ac:dyDescent="0.25">
      <c r="A4" s="1" t="s">
        <v>380</v>
      </c>
      <c r="B4" s="1">
        <v>5</v>
      </c>
      <c r="C4" s="1">
        <v>2</v>
      </c>
      <c r="D4" s="2">
        <v>0.4</v>
      </c>
      <c r="E4" s="1">
        <v>2</v>
      </c>
      <c r="F4" s="1">
        <v>0</v>
      </c>
      <c r="G4" s="1">
        <v>0</v>
      </c>
      <c r="H4" s="2">
        <v>0</v>
      </c>
    </row>
    <row r="5" spans="1:8" x14ac:dyDescent="0.25">
      <c r="A5" s="1" t="s">
        <v>425</v>
      </c>
      <c r="B5" s="1">
        <v>1</v>
      </c>
      <c r="C5" s="1">
        <v>0</v>
      </c>
      <c r="D5" s="2">
        <v>0</v>
      </c>
      <c r="E5" s="1">
        <v>0</v>
      </c>
      <c r="F5" s="1">
        <v>0</v>
      </c>
      <c r="G5" s="1">
        <v>0</v>
      </c>
      <c r="H5" s="2">
        <v>0</v>
      </c>
    </row>
    <row r="6" spans="1:8" x14ac:dyDescent="0.25">
      <c r="A6" s="1" t="s">
        <v>121</v>
      </c>
      <c r="B6" s="1">
        <v>4</v>
      </c>
      <c r="C6" s="1">
        <v>2</v>
      </c>
      <c r="D6" s="2">
        <v>0.5</v>
      </c>
      <c r="E6" s="1">
        <v>2</v>
      </c>
      <c r="F6" s="1">
        <v>0</v>
      </c>
      <c r="G6" s="1">
        <v>0</v>
      </c>
      <c r="H6" s="2">
        <v>0</v>
      </c>
    </row>
    <row r="7" spans="1:8" x14ac:dyDescent="0.25">
      <c r="A7" s="1" t="s">
        <v>350</v>
      </c>
      <c r="B7" s="1">
        <v>3</v>
      </c>
      <c r="C7" s="1">
        <v>1</v>
      </c>
      <c r="D7" s="2">
        <v>0.33333333333333331</v>
      </c>
      <c r="E7" s="1">
        <v>1</v>
      </c>
      <c r="F7" s="1">
        <v>0</v>
      </c>
      <c r="G7" s="1">
        <v>0</v>
      </c>
      <c r="H7" s="2">
        <v>0</v>
      </c>
    </row>
    <row r="8" spans="1:8" x14ac:dyDescent="0.25">
      <c r="A8" s="1" t="s">
        <v>321</v>
      </c>
      <c r="B8" s="1">
        <v>3</v>
      </c>
      <c r="C8" s="1">
        <v>0</v>
      </c>
      <c r="D8" s="2">
        <v>0</v>
      </c>
      <c r="E8" s="1">
        <v>0</v>
      </c>
      <c r="F8" s="1">
        <v>0</v>
      </c>
      <c r="G8" s="1">
        <v>0</v>
      </c>
      <c r="H8" s="2">
        <v>0</v>
      </c>
    </row>
    <row r="9" spans="1:8" x14ac:dyDescent="0.25">
      <c r="A9" s="1" t="s">
        <v>36</v>
      </c>
      <c r="B9" s="1">
        <v>0</v>
      </c>
      <c r="C9" s="1">
        <v>0</v>
      </c>
      <c r="D9" s="2">
        <v>0</v>
      </c>
      <c r="E9" s="1">
        <v>0</v>
      </c>
      <c r="F9" s="1">
        <v>0</v>
      </c>
      <c r="G9" s="1">
        <v>0</v>
      </c>
      <c r="H9" s="2">
        <v>0</v>
      </c>
    </row>
    <row r="10" spans="1:8" x14ac:dyDescent="0.25">
      <c r="A10" s="1" t="s">
        <v>226</v>
      </c>
      <c r="B10" s="1">
        <v>7</v>
      </c>
      <c r="C10" s="1">
        <v>1</v>
      </c>
      <c r="D10" s="2">
        <v>0.14285714285714279</v>
      </c>
      <c r="E10" s="1">
        <v>1</v>
      </c>
      <c r="F10" s="1">
        <v>0</v>
      </c>
      <c r="G10" s="1">
        <v>0</v>
      </c>
      <c r="H10" s="2">
        <v>0</v>
      </c>
    </row>
    <row r="11" spans="1:8" x14ac:dyDescent="0.25">
      <c r="A11" s="1" t="s">
        <v>51</v>
      </c>
      <c r="B11" s="1">
        <v>0</v>
      </c>
      <c r="C11" s="1">
        <v>0</v>
      </c>
      <c r="D11" s="2">
        <v>0</v>
      </c>
      <c r="E11" s="1">
        <v>0</v>
      </c>
      <c r="F11" s="1">
        <v>0</v>
      </c>
      <c r="G11" s="1">
        <v>0</v>
      </c>
      <c r="H11" s="2">
        <v>0</v>
      </c>
    </row>
    <row r="12" spans="1:8" x14ac:dyDescent="0.25">
      <c r="A12" s="1" t="s">
        <v>59</v>
      </c>
      <c r="B12" s="1">
        <v>3</v>
      </c>
      <c r="C12" s="1">
        <v>3</v>
      </c>
      <c r="D12" s="2">
        <v>1</v>
      </c>
      <c r="E12" s="1">
        <v>3</v>
      </c>
      <c r="F12" s="1">
        <v>0</v>
      </c>
      <c r="G12" s="1">
        <v>0</v>
      </c>
      <c r="H12" s="2">
        <v>0</v>
      </c>
    </row>
    <row r="13" spans="1:8" x14ac:dyDescent="0.25">
      <c r="A13" s="1" t="s">
        <v>442</v>
      </c>
      <c r="B13" s="1">
        <v>0</v>
      </c>
      <c r="C13" s="1">
        <v>0</v>
      </c>
      <c r="D13" s="2">
        <v>0</v>
      </c>
      <c r="E13" s="1">
        <v>0</v>
      </c>
      <c r="F13" s="1">
        <v>0</v>
      </c>
      <c r="G13" s="1">
        <v>0</v>
      </c>
      <c r="H13" s="2">
        <v>0</v>
      </c>
    </row>
    <row r="14" spans="1:8" x14ac:dyDescent="0.25">
      <c r="A14" s="1" t="s">
        <v>176</v>
      </c>
      <c r="B14" s="1">
        <v>4</v>
      </c>
      <c r="C14" s="1">
        <v>2</v>
      </c>
      <c r="D14" s="2">
        <v>0.5</v>
      </c>
      <c r="E14" s="1">
        <v>2</v>
      </c>
      <c r="F14" s="1">
        <v>0</v>
      </c>
      <c r="G14" s="1">
        <v>0</v>
      </c>
      <c r="H14" s="2">
        <v>0</v>
      </c>
    </row>
    <row r="15" spans="1:8" x14ac:dyDescent="0.25">
      <c r="A15" s="1" t="s">
        <v>289</v>
      </c>
      <c r="B15" s="1">
        <v>3</v>
      </c>
      <c r="C15" s="1">
        <v>1</v>
      </c>
      <c r="D15" s="2">
        <v>0.33333333333333331</v>
      </c>
      <c r="E15" s="1">
        <v>1</v>
      </c>
      <c r="F15" s="1">
        <v>1</v>
      </c>
      <c r="G15" s="1">
        <v>1</v>
      </c>
      <c r="H15" s="2">
        <v>0.33333333333333331</v>
      </c>
    </row>
    <row r="16" spans="1:8" x14ac:dyDescent="0.25">
      <c r="A16" s="1" t="s">
        <v>445</v>
      </c>
      <c r="B16" s="1">
        <v>0</v>
      </c>
      <c r="C16" s="1">
        <v>0</v>
      </c>
      <c r="D16" s="2">
        <v>0</v>
      </c>
      <c r="E16" s="1">
        <v>0</v>
      </c>
      <c r="F16" s="1">
        <v>0</v>
      </c>
      <c r="G16" s="1">
        <v>0</v>
      </c>
      <c r="H16" s="2">
        <v>0</v>
      </c>
    </row>
    <row r="17" spans="1:8" x14ac:dyDescent="0.25">
      <c r="A17" s="1" t="s">
        <v>470</v>
      </c>
      <c r="B17" s="1">
        <f>SUBTOTAL(109,Tabela1[Emissão inicial total])</f>
        <v>33</v>
      </c>
      <c r="C17" s="1">
        <f>SUBTOTAL(109,Tabela1[Emissão inicial concluída])</f>
        <v>12</v>
      </c>
      <c r="D17" s="2"/>
      <c r="E17" s="1">
        <f>SUBTOTAL(109,Tabela1[Avaliação do cliente concluída])</f>
        <v>12</v>
      </c>
      <c r="F17" s="1">
        <f>SUBTOTAL(109,Tabela1[Atendimento de comentário concluído])</f>
        <v>1</v>
      </c>
      <c r="G17" s="1">
        <f>SUBTOTAL(109,Tabela1[Aprovação concluída])</f>
        <v>1</v>
      </c>
      <c r="H17" s="2"/>
    </row>
    <row r="22" spans="1:8" x14ac:dyDescent="0.25">
      <c r="A22" s="1" t="s">
        <v>13</v>
      </c>
      <c r="B22" s="1" t="s">
        <v>23</v>
      </c>
      <c r="C22" s="1" t="s">
        <v>26</v>
      </c>
      <c r="D22" s="1" t="s">
        <v>28</v>
      </c>
      <c r="E22" s="1" t="s">
        <v>30</v>
      </c>
    </row>
    <row r="23" spans="1:8" x14ac:dyDescent="0.25">
      <c r="A23" s="1" t="s">
        <v>380</v>
      </c>
      <c r="B23" s="1">
        <v>0</v>
      </c>
      <c r="C23" s="1">
        <v>0</v>
      </c>
      <c r="D23" s="1">
        <v>2</v>
      </c>
      <c r="E23" s="1">
        <v>2</v>
      </c>
    </row>
    <row r="24" spans="1:8" x14ac:dyDescent="0.25">
      <c r="A24" s="1" t="s">
        <v>425</v>
      </c>
      <c r="B24" s="1">
        <v>0</v>
      </c>
      <c r="C24" s="1">
        <v>0</v>
      </c>
      <c r="D24" s="1">
        <v>0</v>
      </c>
      <c r="E24" s="1">
        <v>0</v>
      </c>
    </row>
    <row r="25" spans="1:8" x14ac:dyDescent="0.25">
      <c r="A25" s="1" t="s">
        <v>121</v>
      </c>
      <c r="B25" s="1">
        <v>2</v>
      </c>
      <c r="C25" s="1">
        <v>2</v>
      </c>
      <c r="D25" s="1">
        <v>3</v>
      </c>
      <c r="E25" s="1">
        <v>3</v>
      </c>
    </row>
    <row r="26" spans="1:8" x14ac:dyDescent="0.25">
      <c r="A26" s="1" t="s">
        <v>350</v>
      </c>
      <c r="B26" s="1">
        <v>0</v>
      </c>
      <c r="C26" s="1">
        <v>0</v>
      </c>
      <c r="D26" s="1">
        <v>1</v>
      </c>
      <c r="E26" s="1">
        <v>1</v>
      </c>
    </row>
    <row r="27" spans="1:8" x14ac:dyDescent="0.25">
      <c r="A27" s="1" t="s">
        <v>321</v>
      </c>
      <c r="B27" s="1">
        <v>1</v>
      </c>
      <c r="C27" s="1">
        <v>1</v>
      </c>
      <c r="D27" s="1">
        <v>1</v>
      </c>
      <c r="E27" s="1">
        <v>1</v>
      </c>
    </row>
    <row r="28" spans="1:8" x14ac:dyDescent="0.25">
      <c r="A28" s="1" t="s">
        <v>36</v>
      </c>
      <c r="B28" s="1">
        <v>0</v>
      </c>
      <c r="C28" s="1">
        <v>0</v>
      </c>
      <c r="D28" s="1">
        <v>0</v>
      </c>
      <c r="E28" s="1">
        <v>0</v>
      </c>
    </row>
    <row r="29" spans="1:8" x14ac:dyDescent="0.25">
      <c r="A29" s="1" t="s">
        <v>226</v>
      </c>
      <c r="B29" s="1">
        <v>0</v>
      </c>
      <c r="C29" s="1">
        <v>0</v>
      </c>
      <c r="D29" s="1">
        <v>1</v>
      </c>
      <c r="E29" s="1">
        <v>1</v>
      </c>
    </row>
    <row r="30" spans="1:8" x14ac:dyDescent="0.25">
      <c r="A30" s="1" t="s">
        <v>51</v>
      </c>
      <c r="B30" s="1">
        <v>0</v>
      </c>
      <c r="C30" s="1">
        <v>0</v>
      </c>
      <c r="D30" s="1">
        <v>0</v>
      </c>
      <c r="E30" s="1">
        <v>0</v>
      </c>
    </row>
    <row r="31" spans="1:8" x14ac:dyDescent="0.25">
      <c r="A31" s="1" t="s">
        <v>59</v>
      </c>
      <c r="B31" s="1">
        <v>0</v>
      </c>
      <c r="C31" s="1">
        <v>0</v>
      </c>
      <c r="D31" s="1">
        <v>2</v>
      </c>
      <c r="E31" s="1">
        <v>2</v>
      </c>
    </row>
    <row r="32" spans="1:8" x14ac:dyDescent="0.25">
      <c r="A32" s="1" t="s">
        <v>442</v>
      </c>
      <c r="B32" s="1">
        <v>0</v>
      </c>
      <c r="C32" s="1">
        <v>0</v>
      </c>
      <c r="D32" s="1">
        <v>0</v>
      </c>
      <c r="E32" s="1">
        <v>0</v>
      </c>
    </row>
    <row r="33" spans="1:5" x14ac:dyDescent="0.25">
      <c r="A33" s="1" t="s">
        <v>176</v>
      </c>
      <c r="B33" s="1">
        <v>1</v>
      </c>
      <c r="C33" s="1">
        <v>1</v>
      </c>
      <c r="D33" s="1">
        <v>3</v>
      </c>
      <c r="E33" s="1">
        <v>3</v>
      </c>
    </row>
    <row r="34" spans="1:5" x14ac:dyDescent="0.25">
      <c r="A34" s="1" t="s">
        <v>289</v>
      </c>
      <c r="B34" s="1">
        <v>0</v>
      </c>
      <c r="C34" s="1">
        <v>0</v>
      </c>
      <c r="D34" s="1">
        <v>0</v>
      </c>
      <c r="E34" s="1">
        <v>0</v>
      </c>
    </row>
    <row r="35" spans="1:5" x14ac:dyDescent="0.25">
      <c r="A35" s="1" t="s">
        <v>445</v>
      </c>
      <c r="B35" s="1">
        <v>0</v>
      </c>
      <c r="C35" s="1">
        <v>0</v>
      </c>
      <c r="D35" s="1">
        <v>0</v>
      </c>
      <c r="E35" s="1">
        <v>0</v>
      </c>
    </row>
    <row r="36" spans="1:5" x14ac:dyDescent="0.25">
      <c r="A36" s="1" t="s">
        <v>470</v>
      </c>
      <c r="B36" s="1">
        <f>SUBTOTAL(109,Tabela2[Emissão Inicial Atrasada])</f>
        <v>4</v>
      </c>
      <c r="C36" s="1">
        <f>SUBTOTAL(109,Tabela2[Avaliação Cliente Atrasada])</f>
        <v>4</v>
      </c>
      <c r="D36" s="1">
        <f>SUBTOTAL(109,Tabela2[Atendimento Atrasado])</f>
        <v>13</v>
      </c>
      <c r="E36" s="1">
        <f>SUBTOTAL(109,Tabela2[Aprovação Atrasada])</f>
        <v>13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87"/>
  <sheetViews>
    <sheetView zoomScale="85" zoomScaleNormal="85" workbookViewId="0">
      <selection activeCell="L23" sqref="L23"/>
    </sheetView>
  </sheetViews>
  <sheetFormatPr defaultColWidth="13" defaultRowHeight="15" x14ac:dyDescent="0.25"/>
  <cols>
    <col min="1" max="1" width="13" style="7"/>
    <col min="2" max="9" width="13" style="6"/>
    <col min="10" max="11" width="13" style="8"/>
    <col min="12" max="12" width="13" style="6"/>
    <col min="13" max="14" width="13" style="8"/>
    <col min="15" max="16384" width="13" style="6"/>
  </cols>
  <sheetData>
    <row r="1" spans="1:15" ht="45" x14ac:dyDescent="0.25">
      <c r="A1" s="7" t="s">
        <v>454</v>
      </c>
      <c r="B1" s="6" t="s">
        <v>455</v>
      </c>
      <c r="C1" s="6" t="s">
        <v>456</v>
      </c>
      <c r="D1" s="6" t="s">
        <v>457</v>
      </c>
      <c r="E1" s="6" t="s">
        <v>458</v>
      </c>
      <c r="F1" s="6" t="s">
        <v>459</v>
      </c>
      <c r="G1" s="6" t="s">
        <v>460</v>
      </c>
      <c r="H1" s="6" t="s">
        <v>461</v>
      </c>
      <c r="I1" s="6" t="s">
        <v>462</v>
      </c>
      <c r="J1" s="8" t="s">
        <v>463</v>
      </c>
      <c r="K1" s="8" t="s">
        <v>464</v>
      </c>
      <c r="L1" s="6" t="s">
        <v>465</v>
      </c>
      <c r="M1" s="8" t="s">
        <v>466</v>
      </c>
      <c r="N1" s="8" t="s">
        <v>467</v>
      </c>
      <c r="O1" s="6" t="s">
        <v>468</v>
      </c>
    </row>
    <row r="2" spans="1:15" x14ac:dyDescent="0.25">
      <c r="A2" s="7">
        <v>46101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8">
        <v>0</v>
      </c>
      <c r="K2" s="8">
        <v>0</v>
      </c>
      <c r="L2" s="6">
        <v>0</v>
      </c>
      <c r="M2" s="8">
        <v>0</v>
      </c>
      <c r="N2" s="8">
        <v>0</v>
      </c>
      <c r="O2" s="6">
        <v>0</v>
      </c>
    </row>
    <row r="3" spans="1:15" x14ac:dyDescent="0.25">
      <c r="A3" s="7">
        <v>46102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8">
        <v>0</v>
      </c>
      <c r="K3" s="8">
        <v>0</v>
      </c>
      <c r="L3" s="6">
        <v>0</v>
      </c>
      <c r="M3" s="8">
        <v>0</v>
      </c>
      <c r="N3" s="8">
        <v>0</v>
      </c>
      <c r="O3" s="6">
        <v>0</v>
      </c>
    </row>
    <row r="4" spans="1:15" x14ac:dyDescent="0.25">
      <c r="A4" s="7">
        <v>46103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8">
        <v>0</v>
      </c>
      <c r="K4" s="8">
        <v>0</v>
      </c>
      <c r="L4" s="6">
        <v>0</v>
      </c>
      <c r="M4" s="8">
        <v>0</v>
      </c>
      <c r="N4" s="8">
        <v>0</v>
      </c>
      <c r="O4" s="6">
        <v>0</v>
      </c>
    </row>
    <row r="5" spans="1:15" x14ac:dyDescent="0.25">
      <c r="A5" s="7">
        <v>46104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8">
        <v>0</v>
      </c>
      <c r="K5" s="8">
        <v>0</v>
      </c>
      <c r="L5" s="6">
        <v>0</v>
      </c>
      <c r="M5" s="8">
        <v>0</v>
      </c>
      <c r="N5" s="8">
        <v>0</v>
      </c>
      <c r="O5" s="6">
        <v>0</v>
      </c>
    </row>
    <row r="6" spans="1:15" x14ac:dyDescent="0.25">
      <c r="A6" s="7">
        <v>46105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8">
        <v>0</v>
      </c>
      <c r="K6" s="8">
        <v>0</v>
      </c>
      <c r="L6" s="6">
        <v>0</v>
      </c>
      <c r="M6" s="8">
        <v>0</v>
      </c>
      <c r="N6" s="8">
        <v>0</v>
      </c>
      <c r="O6" s="6">
        <v>0</v>
      </c>
    </row>
    <row r="7" spans="1:15" x14ac:dyDescent="0.25">
      <c r="A7" s="7">
        <v>46106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8">
        <v>0</v>
      </c>
      <c r="K7" s="8">
        <v>0</v>
      </c>
      <c r="L7" s="6">
        <v>0</v>
      </c>
      <c r="M7" s="8">
        <v>0</v>
      </c>
      <c r="N7" s="8">
        <v>0</v>
      </c>
      <c r="O7" s="6">
        <v>0</v>
      </c>
    </row>
    <row r="8" spans="1:15" x14ac:dyDescent="0.25">
      <c r="A8" s="7">
        <v>46107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8">
        <v>0</v>
      </c>
      <c r="K8" s="8">
        <v>0</v>
      </c>
      <c r="L8" s="6">
        <v>0</v>
      </c>
      <c r="M8" s="8">
        <v>0</v>
      </c>
      <c r="N8" s="8">
        <v>0</v>
      </c>
      <c r="O8" s="6">
        <v>0</v>
      </c>
    </row>
    <row r="9" spans="1:15" x14ac:dyDescent="0.25">
      <c r="A9" s="7">
        <v>46108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8">
        <v>0</v>
      </c>
      <c r="K9" s="8">
        <v>0</v>
      </c>
      <c r="L9" s="6">
        <v>0</v>
      </c>
      <c r="M9" s="8">
        <v>0</v>
      </c>
      <c r="N9" s="8">
        <v>0</v>
      </c>
      <c r="O9" s="6">
        <v>0</v>
      </c>
    </row>
    <row r="10" spans="1:15" x14ac:dyDescent="0.25">
      <c r="A10" s="7">
        <v>46109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8">
        <v>0</v>
      </c>
      <c r="K10" s="8">
        <v>0</v>
      </c>
      <c r="L10" s="6">
        <v>0</v>
      </c>
      <c r="M10" s="8">
        <v>0</v>
      </c>
      <c r="N10" s="8">
        <v>0</v>
      </c>
      <c r="O10" s="6">
        <v>0</v>
      </c>
    </row>
    <row r="11" spans="1:15" x14ac:dyDescent="0.25">
      <c r="A11" s="7">
        <v>46110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8">
        <v>0</v>
      </c>
      <c r="K11" s="8">
        <v>0</v>
      </c>
      <c r="L11" s="6">
        <v>0</v>
      </c>
      <c r="M11" s="8">
        <v>0</v>
      </c>
      <c r="N11" s="8">
        <v>0</v>
      </c>
      <c r="O11" s="6">
        <v>0</v>
      </c>
    </row>
    <row r="12" spans="1:15" x14ac:dyDescent="0.25">
      <c r="A12" s="7">
        <v>46111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8">
        <v>0</v>
      </c>
      <c r="K12" s="8">
        <v>0</v>
      </c>
      <c r="L12" s="6">
        <v>0</v>
      </c>
      <c r="M12" s="8">
        <v>0</v>
      </c>
      <c r="N12" s="8">
        <v>0</v>
      </c>
      <c r="O12" s="6">
        <v>0</v>
      </c>
    </row>
    <row r="13" spans="1:15" x14ac:dyDescent="0.25">
      <c r="A13" s="7">
        <v>46112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8">
        <v>0</v>
      </c>
      <c r="K13" s="8">
        <v>0</v>
      </c>
      <c r="L13" s="6">
        <v>0</v>
      </c>
      <c r="M13" s="8">
        <v>0</v>
      </c>
      <c r="N13" s="8">
        <v>0</v>
      </c>
      <c r="O13" s="6">
        <v>0</v>
      </c>
    </row>
    <row r="14" spans="1:15" x14ac:dyDescent="0.25">
      <c r="A14" s="7">
        <v>46113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8">
        <v>0</v>
      </c>
      <c r="K14" s="8">
        <v>0</v>
      </c>
      <c r="L14" s="6">
        <v>0</v>
      </c>
      <c r="M14" s="8">
        <v>0</v>
      </c>
      <c r="N14" s="8">
        <v>0</v>
      </c>
      <c r="O14" s="6">
        <v>0</v>
      </c>
    </row>
    <row r="15" spans="1:15" x14ac:dyDescent="0.25">
      <c r="A15" s="7">
        <v>46114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8">
        <v>0</v>
      </c>
      <c r="K15" s="8">
        <v>0</v>
      </c>
      <c r="L15" s="6">
        <v>0</v>
      </c>
      <c r="M15" s="8">
        <v>0</v>
      </c>
      <c r="N15" s="8">
        <v>0</v>
      </c>
      <c r="O15" s="6">
        <v>0</v>
      </c>
    </row>
    <row r="16" spans="1:15" x14ac:dyDescent="0.25">
      <c r="A16" s="7">
        <v>46115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8">
        <v>0</v>
      </c>
      <c r="K16" s="8">
        <v>0</v>
      </c>
      <c r="L16" s="6">
        <v>0</v>
      </c>
      <c r="M16" s="8">
        <v>0</v>
      </c>
      <c r="N16" s="8">
        <v>0</v>
      </c>
      <c r="O16" s="6">
        <v>0</v>
      </c>
    </row>
    <row r="17" spans="1:15" x14ac:dyDescent="0.25">
      <c r="A17" s="7">
        <v>46116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8">
        <v>0</v>
      </c>
      <c r="K17" s="8">
        <v>0</v>
      </c>
      <c r="L17" s="6">
        <v>0</v>
      </c>
      <c r="M17" s="8">
        <v>0</v>
      </c>
      <c r="N17" s="8">
        <v>0</v>
      </c>
      <c r="O17" s="6">
        <v>0</v>
      </c>
    </row>
    <row r="18" spans="1:15" x14ac:dyDescent="0.25">
      <c r="A18" s="7">
        <v>46117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8">
        <v>0</v>
      </c>
      <c r="K18" s="8">
        <v>0</v>
      </c>
      <c r="L18" s="6">
        <v>0</v>
      </c>
      <c r="M18" s="8">
        <v>0</v>
      </c>
      <c r="N18" s="8">
        <v>0</v>
      </c>
      <c r="O18" s="6">
        <v>0</v>
      </c>
    </row>
    <row r="19" spans="1:15" x14ac:dyDescent="0.25">
      <c r="A19" s="7">
        <v>46118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8">
        <v>0</v>
      </c>
      <c r="K19" s="8">
        <v>0</v>
      </c>
      <c r="L19" s="6">
        <v>0</v>
      </c>
      <c r="M19" s="8">
        <v>0</v>
      </c>
      <c r="N19" s="8">
        <v>0</v>
      </c>
      <c r="O19" s="6">
        <v>0</v>
      </c>
    </row>
    <row r="20" spans="1:15" x14ac:dyDescent="0.25">
      <c r="A20" s="7">
        <v>46119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8">
        <v>0</v>
      </c>
      <c r="K20" s="8">
        <v>0</v>
      </c>
      <c r="L20" s="6">
        <v>0</v>
      </c>
      <c r="M20" s="8">
        <v>0</v>
      </c>
      <c r="N20" s="8">
        <v>0</v>
      </c>
      <c r="O20" s="6">
        <v>0</v>
      </c>
    </row>
    <row r="21" spans="1:15" x14ac:dyDescent="0.25">
      <c r="A21" s="7">
        <v>46120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8">
        <v>0</v>
      </c>
      <c r="K21" s="8">
        <v>0</v>
      </c>
      <c r="L21" s="6">
        <v>0</v>
      </c>
      <c r="M21" s="8">
        <v>0</v>
      </c>
      <c r="N21" s="8">
        <v>0</v>
      </c>
      <c r="O21" s="6">
        <v>0</v>
      </c>
    </row>
    <row r="22" spans="1:15" x14ac:dyDescent="0.25">
      <c r="A22" s="7">
        <v>46121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8">
        <v>0</v>
      </c>
      <c r="K22" s="8">
        <v>0</v>
      </c>
      <c r="L22" s="6">
        <v>0</v>
      </c>
      <c r="M22" s="8">
        <v>0</v>
      </c>
      <c r="N22" s="8">
        <v>0</v>
      </c>
      <c r="O22" s="6">
        <v>0</v>
      </c>
    </row>
    <row r="23" spans="1:15" x14ac:dyDescent="0.25">
      <c r="A23" s="7">
        <v>46122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8">
        <v>0</v>
      </c>
      <c r="K23" s="8">
        <v>0</v>
      </c>
      <c r="L23" s="6">
        <v>0</v>
      </c>
      <c r="M23" s="8">
        <v>0</v>
      </c>
      <c r="N23" s="8">
        <v>0</v>
      </c>
      <c r="O23" s="6">
        <v>0</v>
      </c>
    </row>
    <row r="24" spans="1:15" x14ac:dyDescent="0.25">
      <c r="A24" s="7">
        <v>46123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8">
        <v>0</v>
      </c>
      <c r="K24" s="8">
        <v>0</v>
      </c>
      <c r="L24" s="6">
        <v>0</v>
      </c>
      <c r="M24" s="8">
        <v>0</v>
      </c>
      <c r="N24" s="8">
        <v>0</v>
      </c>
      <c r="O24" s="6">
        <v>0</v>
      </c>
    </row>
    <row r="25" spans="1:15" x14ac:dyDescent="0.25">
      <c r="A25" s="7">
        <v>46124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8">
        <v>0</v>
      </c>
      <c r="K25" s="8">
        <v>0</v>
      </c>
      <c r="L25" s="6">
        <v>0</v>
      </c>
      <c r="M25" s="8">
        <v>0</v>
      </c>
      <c r="N25" s="8">
        <v>0</v>
      </c>
      <c r="O25" s="6">
        <v>0</v>
      </c>
    </row>
    <row r="26" spans="1:15" x14ac:dyDescent="0.25">
      <c r="A26" s="7">
        <v>46125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8">
        <v>0</v>
      </c>
      <c r="K26" s="8">
        <v>0</v>
      </c>
      <c r="L26" s="6">
        <v>0</v>
      </c>
      <c r="M26" s="8">
        <v>0</v>
      </c>
      <c r="N26" s="8">
        <v>0</v>
      </c>
      <c r="O26" s="6">
        <v>0</v>
      </c>
    </row>
    <row r="27" spans="1:15" x14ac:dyDescent="0.25">
      <c r="A27" s="7">
        <v>46126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8">
        <v>0</v>
      </c>
      <c r="K27" s="8">
        <v>0</v>
      </c>
      <c r="L27" s="6">
        <v>0</v>
      </c>
      <c r="M27" s="8">
        <v>0</v>
      </c>
      <c r="N27" s="8">
        <v>0</v>
      </c>
      <c r="O27" s="6">
        <v>0</v>
      </c>
    </row>
    <row r="28" spans="1:15" x14ac:dyDescent="0.25">
      <c r="A28" s="7">
        <v>46127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8">
        <v>0</v>
      </c>
      <c r="K28" s="8">
        <v>0</v>
      </c>
      <c r="L28" s="6">
        <v>0</v>
      </c>
      <c r="M28" s="8">
        <v>0</v>
      </c>
      <c r="N28" s="8">
        <v>0</v>
      </c>
      <c r="O28" s="6">
        <v>0</v>
      </c>
    </row>
    <row r="29" spans="1:15" x14ac:dyDescent="0.25">
      <c r="A29" s="7">
        <v>46128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8">
        <v>0</v>
      </c>
      <c r="K29" s="8">
        <v>0</v>
      </c>
      <c r="L29" s="6">
        <v>0</v>
      </c>
      <c r="M29" s="8">
        <v>0</v>
      </c>
      <c r="N29" s="8">
        <v>0</v>
      </c>
      <c r="O29" s="6">
        <v>0</v>
      </c>
    </row>
    <row r="30" spans="1:15" x14ac:dyDescent="0.25">
      <c r="A30" s="7">
        <v>46129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8">
        <v>0</v>
      </c>
      <c r="K30" s="8">
        <v>0</v>
      </c>
      <c r="L30" s="6">
        <v>0</v>
      </c>
      <c r="M30" s="8">
        <v>0</v>
      </c>
      <c r="N30" s="8">
        <v>0</v>
      </c>
      <c r="O30" s="6">
        <v>0</v>
      </c>
    </row>
    <row r="31" spans="1:15" x14ac:dyDescent="0.25">
      <c r="A31" s="7">
        <v>46130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8">
        <v>0</v>
      </c>
      <c r="K31" s="8">
        <v>0</v>
      </c>
      <c r="L31" s="6">
        <v>0</v>
      </c>
      <c r="M31" s="8">
        <v>0</v>
      </c>
      <c r="N31" s="8">
        <v>0</v>
      </c>
      <c r="O31" s="6">
        <v>0</v>
      </c>
    </row>
    <row r="32" spans="1:15" x14ac:dyDescent="0.25">
      <c r="A32" s="7">
        <v>46131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8">
        <v>0</v>
      </c>
      <c r="K32" s="8">
        <v>0</v>
      </c>
      <c r="L32" s="6">
        <v>0</v>
      </c>
      <c r="M32" s="8">
        <v>0</v>
      </c>
      <c r="N32" s="8">
        <v>0</v>
      </c>
      <c r="O32" s="6">
        <v>0</v>
      </c>
    </row>
    <row r="33" spans="1:15" x14ac:dyDescent="0.25">
      <c r="A33" s="7">
        <v>46132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8">
        <v>0</v>
      </c>
      <c r="K33" s="8">
        <v>0</v>
      </c>
      <c r="L33" s="6">
        <v>0</v>
      </c>
      <c r="M33" s="8">
        <v>0</v>
      </c>
      <c r="N33" s="8">
        <v>0</v>
      </c>
      <c r="O33" s="6">
        <v>0</v>
      </c>
    </row>
    <row r="34" spans="1:15" x14ac:dyDescent="0.25">
      <c r="A34" s="7">
        <v>46133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8">
        <v>0</v>
      </c>
      <c r="K34" s="8">
        <v>0</v>
      </c>
      <c r="L34" s="6">
        <v>0</v>
      </c>
      <c r="M34" s="8">
        <v>0</v>
      </c>
      <c r="N34" s="8">
        <v>0</v>
      </c>
      <c r="O34" s="6">
        <v>0</v>
      </c>
    </row>
    <row r="35" spans="1:15" x14ac:dyDescent="0.25">
      <c r="A35" s="7">
        <v>46134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8">
        <v>0</v>
      </c>
      <c r="K35" s="8">
        <v>0</v>
      </c>
      <c r="L35" s="6">
        <v>0</v>
      </c>
      <c r="M35" s="8">
        <v>0</v>
      </c>
      <c r="N35" s="8">
        <v>0</v>
      </c>
      <c r="O35" s="6">
        <v>0</v>
      </c>
    </row>
    <row r="36" spans="1:15" x14ac:dyDescent="0.25">
      <c r="A36" s="7">
        <v>46135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8">
        <v>0</v>
      </c>
      <c r="K36" s="8">
        <v>0</v>
      </c>
      <c r="L36" s="6">
        <v>0</v>
      </c>
      <c r="M36" s="8">
        <v>0</v>
      </c>
      <c r="N36" s="8">
        <v>0</v>
      </c>
      <c r="O36" s="6">
        <v>0</v>
      </c>
    </row>
    <row r="37" spans="1:15" x14ac:dyDescent="0.25">
      <c r="A37" s="7">
        <v>46136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8">
        <v>0</v>
      </c>
      <c r="K37" s="8">
        <v>0</v>
      </c>
      <c r="L37" s="6">
        <v>0</v>
      </c>
      <c r="M37" s="8">
        <v>0</v>
      </c>
      <c r="N37" s="8">
        <v>0</v>
      </c>
      <c r="O37" s="6">
        <v>0</v>
      </c>
    </row>
    <row r="38" spans="1:15" x14ac:dyDescent="0.25">
      <c r="A38" s="7">
        <v>46137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8">
        <v>0</v>
      </c>
      <c r="K38" s="8">
        <v>0</v>
      </c>
      <c r="L38" s="6">
        <v>0</v>
      </c>
      <c r="M38" s="8">
        <v>0</v>
      </c>
      <c r="N38" s="8">
        <v>0</v>
      </c>
      <c r="O38" s="6">
        <v>0</v>
      </c>
    </row>
    <row r="39" spans="1:15" x14ac:dyDescent="0.25">
      <c r="A39" s="7">
        <v>46138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8">
        <v>0</v>
      </c>
      <c r="K39" s="8">
        <v>0</v>
      </c>
      <c r="L39" s="6">
        <v>0</v>
      </c>
      <c r="M39" s="8">
        <v>0</v>
      </c>
      <c r="N39" s="8">
        <v>0</v>
      </c>
      <c r="O39" s="6">
        <v>0</v>
      </c>
    </row>
    <row r="40" spans="1:15" x14ac:dyDescent="0.25">
      <c r="A40" s="7">
        <v>46139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8">
        <v>0</v>
      </c>
      <c r="K40" s="8">
        <v>0</v>
      </c>
      <c r="L40" s="6">
        <v>0</v>
      </c>
      <c r="M40" s="8">
        <v>0</v>
      </c>
      <c r="N40" s="8">
        <v>0</v>
      </c>
      <c r="O40" s="6">
        <v>0</v>
      </c>
    </row>
    <row r="41" spans="1:15" x14ac:dyDescent="0.25">
      <c r="A41" s="7">
        <v>46140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8">
        <v>0</v>
      </c>
      <c r="K41" s="8">
        <v>0</v>
      </c>
      <c r="L41" s="6">
        <v>0</v>
      </c>
      <c r="M41" s="8">
        <v>0</v>
      </c>
      <c r="N41" s="8">
        <v>0</v>
      </c>
      <c r="O41" s="6">
        <v>0</v>
      </c>
    </row>
    <row r="42" spans="1:15" x14ac:dyDescent="0.25">
      <c r="A42" s="7">
        <v>46141</v>
      </c>
      <c r="B42" s="6">
        <v>2</v>
      </c>
      <c r="C42" s="6">
        <v>2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8">
        <v>6.0606060606060608E-2</v>
      </c>
      <c r="K42" s="8">
        <v>0</v>
      </c>
      <c r="L42" s="6">
        <v>-1</v>
      </c>
      <c r="M42" s="8">
        <v>0</v>
      </c>
      <c r="N42" s="8">
        <v>0</v>
      </c>
      <c r="O42" s="6">
        <v>0</v>
      </c>
    </row>
    <row r="43" spans="1:15" x14ac:dyDescent="0.25">
      <c r="A43" s="7">
        <v>46142</v>
      </c>
      <c r="B43" s="6">
        <v>0</v>
      </c>
      <c r="C43" s="6">
        <v>2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8">
        <v>6.0606060606060608E-2</v>
      </c>
      <c r="K43" s="8">
        <v>0</v>
      </c>
      <c r="L43" s="6">
        <v>-1</v>
      </c>
      <c r="M43" s="8">
        <v>0</v>
      </c>
      <c r="N43" s="8">
        <v>0</v>
      </c>
      <c r="O43" s="6">
        <v>0</v>
      </c>
    </row>
    <row r="44" spans="1:15" x14ac:dyDescent="0.25">
      <c r="A44" s="7">
        <v>46143</v>
      </c>
      <c r="B44" s="6">
        <v>0</v>
      </c>
      <c r="C44" s="6">
        <v>2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8">
        <v>6.0606060606060608E-2</v>
      </c>
      <c r="K44" s="8">
        <v>0</v>
      </c>
      <c r="L44" s="6">
        <v>-1</v>
      </c>
      <c r="M44" s="8">
        <v>0</v>
      </c>
      <c r="N44" s="8">
        <v>0</v>
      </c>
      <c r="O44" s="6">
        <v>0</v>
      </c>
    </row>
    <row r="45" spans="1:15" x14ac:dyDescent="0.25">
      <c r="A45" s="7">
        <v>46144</v>
      </c>
      <c r="B45" s="6">
        <v>0</v>
      </c>
      <c r="C45" s="6">
        <v>2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8">
        <v>6.0606060606060608E-2</v>
      </c>
      <c r="K45" s="8">
        <v>0</v>
      </c>
      <c r="L45" s="6">
        <v>-1</v>
      </c>
      <c r="M45" s="8">
        <v>0</v>
      </c>
      <c r="N45" s="8">
        <v>0</v>
      </c>
      <c r="O45" s="6">
        <v>0</v>
      </c>
    </row>
    <row r="46" spans="1:15" x14ac:dyDescent="0.25">
      <c r="A46" s="7">
        <v>46145</v>
      </c>
      <c r="B46" s="6">
        <v>0</v>
      </c>
      <c r="C46" s="6">
        <v>2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8">
        <v>6.0606060606060608E-2</v>
      </c>
      <c r="K46" s="8">
        <v>0</v>
      </c>
      <c r="L46" s="6">
        <v>-1</v>
      </c>
      <c r="M46" s="8">
        <v>0</v>
      </c>
      <c r="N46" s="8">
        <v>0</v>
      </c>
      <c r="O46" s="6">
        <v>0</v>
      </c>
    </row>
    <row r="47" spans="1:15" x14ac:dyDescent="0.25">
      <c r="A47" s="7">
        <v>46146</v>
      </c>
      <c r="B47" s="6">
        <v>1</v>
      </c>
      <c r="C47" s="6">
        <v>3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8">
        <v>9.0909090909090912E-2</v>
      </c>
      <c r="K47" s="8">
        <v>0</v>
      </c>
      <c r="L47" s="6">
        <v>-1</v>
      </c>
      <c r="M47" s="8">
        <v>0</v>
      </c>
      <c r="N47" s="8">
        <v>0</v>
      </c>
      <c r="O47" s="6">
        <v>0</v>
      </c>
    </row>
    <row r="48" spans="1:15" x14ac:dyDescent="0.25">
      <c r="A48" s="7">
        <v>46147</v>
      </c>
      <c r="B48" s="6">
        <v>0</v>
      </c>
      <c r="C48" s="6">
        <v>3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8">
        <v>9.0909090909090912E-2</v>
      </c>
      <c r="K48" s="8">
        <v>0</v>
      </c>
      <c r="L48" s="6">
        <v>-1</v>
      </c>
      <c r="M48" s="8">
        <v>0</v>
      </c>
      <c r="N48" s="8">
        <v>0</v>
      </c>
      <c r="O48" s="6">
        <v>0</v>
      </c>
    </row>
    <row r="49" spans="1:15" x14ac:dyDescent="0.25">
      <c r="A49" s="7">
        <v>46148</v>
      </c>
      <c r="B49" s="6">
        <v>0</v>
      </c>
      <c r="C49" s="6">
        <v>3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8">
        <v>9.0909090909090912E-2</v>
      </c>
      <c r="K49" s="8">
        <v>0</v>
      </c>
      <c r="L49" s="6">
        <v>-1</v>
      </c>
      <c r="M49" s="8">
        <v>0</v>
      </c>
      <c r="N49" s="8">
        <v>0</v>
      </c>
      <c r="O49" s="6">
        <v>0</v>
      </c>
    </row>
    <row r="50" spans="1:15" x14ac:dyDescent="0.25">
      <c r="A50" s="7">
        <v>46149</v>
      </c>
      <c r="B50" s="6">
        <v>0</v>
      </c>
      <c r="C50" s="6">
        <v>3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8">
        <v>9.0909090909090912E-2</v>
      </c>
      <c r="K50" s="8">
        <v>0</v>
      </c>
      <c r="L50" s="6">
        <v>-1</v>
      </c>
      <c r="M50" s="8">
        <v>0</v>
      </c>
      <c r="N50" s="8">
        <v>0</v>
      </c>
      <c r="O50" s="6">
        <v>0</v>
      </c>
    </row>
    <row r="51" spans="1:15" x14ac:dyDescent="0.25">
      <c r="A51" s="7">
        <v>46150</v>
      </c>
      <c r="B51" s="6">
        <v>0</v>
      </c>
      <c r="C51" s="6">
        <v>3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8">
        <v>9.0909090909090912E-2</v>
      </c>
      <c r="K51" s="8">
        <v>0</v>
      </c>
      <c r="L51" s="6">
        <v>-1</v>
      </c>
      <c r="M51" s="8">
        <v>0</v>
      </c>
      <c r="N51" s="8">
        <v>0</v>
      </c>
      <c r="O51" s="6">
        <v>0</v>
      </c>
    </row>
    <row r="52" spans="1:15" x14ac:dyDescent="0.25">
      <c r="A52" s="7">
        <v>46151</v>
      </c>
      <c r="B52" s="6">
        <v>0</v>
      </c>
      <c r="C52" s="6">
        <v>3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8">
        <v>9.0909090909090912E-2</v>
      </c>
      <c r="K52" s="8">
        <v>0</v>
      </c>
      <c r="L52" s="6">
        <v>-1</v>
      </c>
      <c r="M52" s="8">
        <v>0</v>
      </c>
      <c r="N52" s="8">
        <v>0</v>
      </c>
      <c r="O52" s="6">
        <v>0</v>
      </c>
    </row>
    <row r="53" spans="1:15" x14ac:dyDescent="0.25">
      <c r="A53" s="7">
        <v>46152</v>
      </c>
      <c r="B53" s="6">
        <v>0</v>
      </c>
      <c r="C53" s="6">
        <v>3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8">
        <v>9.0909090909090912E-2</v>
      </c>
      <c r="K53" s="8">
        <v>0</v>
      </c>
      <c r="L53" s="6">
        <v>-1</v>
      </c>
      <c r="M53" s="8">
        <v>0</v>
      </c>
      <c r="N53" s="8">
        <v>0</v>
      </c>
      <c r="O53" s="6">
        <v>0</v>
      </c>
    </row>
    <row r="54" spans="1:15" x14ac:dyDescent="0.25">
      <c r="A54" s="7">
        <v>46153</v>
      </c>
      <c r="B54" s="6">
        <v>0</v>
      </c>
      <c r="C54" s="6">
        <v>3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8">
        <v>9.0909090909090912E-2</v>
      </c>
      <c r="K54" s="8">
        <v>0</v>
      </c>
      <c r="L54" s="6">
        <v>-1</v>
      </c>
      <c r="M54" s="8">
        <v>0</v>
      </c>
      <c r="N54" s="8">
        <v>0</v>
      </c>
      <c r="O54" s="6">
        <v>0</v>
      </c>
    </row>
    <row r="55" spans="1:15" x14ac:dyDescent="0.25">
      <c r="A55" s="7">
        <v>46154</v>
      </c>
      <c r="B55" s="6">
        <v>0</v>
      </c>
      <c r="C55" s="6">
        <v>3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8">
        <v>9.0909090909090912E-2</v>
      </c>
      <c r="K55" s="8">
        <v>0</v>
      </c>
      <c r="L55" s="6">
        <v>-1</v>
      </c>
      <c r="M55" s="8">
        <v>0</v>
      </c>
      <c r="N55" s="8">
        <v>0</v>
      </c>
      <c r="O55" s="6">
        <v>0</v>
      </c>
    </row>
    <row r="56" spans="1:15" x14ac:dyDescent="0.25">
      <c r="A56" s="7">
        <v>46155</v>
      </c>
      <c r="B56" s="6">
        <v>0</v>
      </c>
      <c r="C56" s="6">
        <v>3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8">
        <v>9.0909090909090912E-2</v>
      </c>
      <c r="K56" s="8">
        <v>0</v>
      </c>
      <c r="L56" s="6">
        <v>-1</v>
      </c>
      <c r="M56" s="8">
        <v>0</v>
      </c>
      <c r="N56" s="8">
        <v>0</v>
      </c>
      <c r="O56" s="6">
        <v>0</v>
      </c>
    </row>
    <row r="57" spans="1:15" x14ac:dyDescent="0.25">
      <c r="A57" s="7">
        <v>46156</v>
      </c>
      <c r="B57" s="6">
        <v>0</v>
      </c>
      <c r="C57" s="6">
        <v>3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8">
        <v>9.0909090909090912E-2</v>
      </c>
      <c r="K57" s="8">
        <v>0</v>
      </c>
      <c r="L57" s="6">
        <v>-1</v>
      </c>
      <c r="M57" s="8">
        <v>0</v>
      </c>
      <c r="N57" s="8">
        <v>0</v>
      </c>
      <c r="O57" s="6">
        <v>0</v>
      </c>
    </row>
    <row r="58" spans="1:15" x14ac:dyDescent="0.25">
      <c r="A58" s="7">
        <v>46157</v>
      </c>
      <c r="B58" s="6">
        <v>0</v>
      </c>
      <c r="C58" s="6">
        <v>3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8">
        <v>9.0909090909090912E-2</v>
      </c>
      <c r="K58" s="8">
        <v>0</v>
      </c>
      <c r="L58" s="6">
        <v>-1</v>
      </c>
      <c r="M58" s="8">
        <v>0</v>
      </c>
      <c r="N58" s="8">
        <v>0</v>
      </c>
      <c r="O58" s="6">
        <v>0</v>
      </c>
    </row>
    <row r="59" spans="1:15" x14ac:dyDescent="0.25">
      <c r="A59" s="7">
        <v>46158</v>
      </c>
      <c r="B59" s="6">
        <v>0</v>
      </c>
      <c r="C59" s="6">
        <v>3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8">
        <v>9.0909090909090912E-2</v>
      </c>
      <c r="K59" s="8">
        <v>0</v>
      </c>
      <c r="L59" s="6">
        <v>-1</v>
      </c>
      <c r="M59" s="8">
        <v>0</v>
      </c>
      <c r="N59" s="8">
        <v>0</v>
      </c>
      <c r="O59" s="6">
        <v>0</v>
      </c>
    </row>
    <row r="60" spans="1:15" x14ac:dyDescent="0.25">
      <c r="A60" s="7">
        <v>46159</v>
      </c>
      <c r="B60" s="6">
        <v>0</v>
      </c>
      <c r="C60" s="6">
        <v>3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8">
        <v>9.0909090909090912E-2</v>
      </c>
      <c r="K60" s="8">
        <v>0</v>
      </c>
      <c r="L60" s="6">
        <v>-1</v>
      </c>
      <c r="M60" s="8">
        <v>0</v>
      </c>
      <c r="N60" s="8">
        <v>0</v>
      </c>
      <c r="O60" s="6">
        <v>0</v>
      </c>
    </row>
    <row r="61" spans="1:15" x14ac:dyDescent="0.25">
      <c r="A61" s="7">
        <v>46160</v>
      </c>
      <c r="B61" s="6">
        <v>0</v>
      </c>
      <c r="C61" s="6">
        <v>3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8">
        <v>9.0909090909090912E-2</v>
      </c>
      <c r="K61" s="8">
        <v>0</v>
      </c>
      <c r="L61" s="6">
        <v>-1</v>
      </c>
      <c r="M61" s="8">
        <v>0</v>
      </c>
      <c r="N61" s="8">
        <v>0</v>
      </c>
      <c r="O61" s="6">
        <v>0</v>
      </c>
    </row>
    <row r="62" spans="1:15" x14ac:dyDescent="0.25">
      <c r="A62" s="7">
        <v>46161</v>
      </c>
      <c r="B62" s="6">
        <v>2</v>
      </c>
      <c r="C62" s="6">
        <v>5</v>
      </c>
      <c r="D62" s="6">
        <v>1</v>
      </c>
      <c r="E62" s="6">
        <v>1</v>
      </c>
      <c r="F62" s="6">
        <v>2</v>
      </c>
      <c r="G62" s="6">
        <v>0</v>
      </c>
      <c r="H62" s="6">
        <v>2</v>
      </c>
      <c r="I62" s="6">
        <v>0</v>
      </c>
      <c r="J62" s="8">
        <v>0.15151515151515149</v>
      </c>
      <c r="K62" s="8">
        <v>3.03030303030303E-2</v>
      </c>
      <c r="L62" s="6">
        <v>-1</v>
      </c>
      <c r="M62" s="8">
        <v>6.0606060606060608E-2</v>
      </c>
      <c r="N62" s="8">
        <v>0</v>
      </c>
      <c r="O62" s="6">
        <v>-1</v>
      </c>
    </row>
    <row r="63" spans="1:15" x14ac:dyDescent="0.25">
      <c r="A63" s="7">
        <v>46162</v>
      </c>
      <c r="B63" s="6">
        <v>0</v>
      </c>
      <c r="C63" s="6">
        <v>5</v>
      </c>
      <c r="D63" s="6">
        <v>0</v>
      </c>
      <c r="E63" s="6">
        <v>1</v>
      </c>
      <c r="F63" s="6">
        <v>0</v>
      </c>
      <c r="G63" s="6">
        <v>0</v>
      </c>
      <c r="H63" s="6">
        <v>2</v>
      </c>
      <c r="I63" s="6">
        <v>0</v>
      </c>
      <c r="J63" s="8">
        <v>0.15151515151515149</v>
      </c>
      <c r="K63" s="8">
        <v>3.03030303030303E-2</v>
      </c>
      <c r="L63" s="6">
        <v>-1</v>
      </c>
      <c r="M63" s="8">
        <v>6.0606060606060608E-2</v>
      </c>
      <c r="N63" s="8">
        <v>0</v>
      </c>
      <c r="O63" s="6">
        <v>-1</v>
      </c>
    </row>
    <row r="64" spans="1:15" x14ac:dyDescent="0.25">
      <c r="A64" s="7">
        <v>46163</v>
      </c>
      <c r="B64" s="6">
        <v>0</v>
      </c>
      <c r="C64" s="6">
        <v>5</v>
      </c>
      <c r="D64" s="6">
        <v>0</v>
      </c>
      <c r="E64" s="6">
        <v>1</v>
      </c>
      <c r="F64" s="6">
        <v>0</v>
      </c>
      <c r="G64" s="6">
        <v>0</v>
      </c>
      <c r="H64" s="6">
        <v>2</v>
      </c>
      <c r="I64" s="6">
        <v>0</v>
      </c>
      <c r="J64" s="8">
        <v>0.15151515151515149</v>
      </c>
      <c r="K64" s="8">
        <v>3.03030303030303E-2</v>
      </c>
      <c r="L64" s="6">
        <v>-1</v>
      </c>
      <c r="M64" s="8">
        <v>6.0606060606060608E-2</v>
      </c>
      <c r="N64" s="8">
        <v>0</v>
      </c>
      <c r="O64" s="6">
        <v>-1</v>
      </c>
    </row>
    <row r="65" spans="1:15" x14ac:dyDescent="0.25">
      <c r="A65" s="7">
        <v>46164</v>
      </c>
      <c r="B65" s="6">
        <v>0</v>
      </c>
      <c r="C65" s="6">
        <v>5</v>
      </c>
      <c r="D65" s="6">
        <v>0</v>
      </c>
      <c r="E65" s="6">
        <v>1</v>
      </c>
      <c r="F65" s="6">
        <v>0</v>
      </c>
      <c r="G65" s="6">
        <v>0</v>
      </c>
      <c r="H65" s="6">
        <v>2</v>
      </c>
      <c r="I65" s="6">
        <v>0</v>
      </c>
      <c r="J65" s="8">
        <v>0.15151515151515149</v>
      </c>
      <c r="K65" s="8">
        <v>3.03030303030303E-2</v>
      </c>
      <c r="L65" s="6">
        <v>-1</v>
      </c>
      <c r="M65" s="8">
        <v>6.0606060606060608E-2</v>
      </c>
      <c r="N65" s="8">
        <v>0</v>
      </c>
      <c r="O65" s="6">
        <v>-1</v>
      </c>
    </row>
    <row r="66" spans="1:15" x14ac:dyDescent="0.25">
      <c r="A66" s="7">
        <v>46165</v>
      </c>
      <c r="B66" s="6">
        <v>0</v>
      </c>
      <c r="C66" s="6">
        <v>5</v>
      </c>
      <c r="D66" s="6">
        <v>0</v>
      </c>
      <c r="E66" s="6">
        <v>1</v>
      </c>
      <c r="F66" s="6">
        <v>0</v>
      </c>
      <c r="G66" s="6">
        <v>0</v>
      </c>
      <c r="H66" s="6">
        <v>2</v>
      </c>
      <c r="I66" s="6">
        <v>0</v>
      </c>
      <c r="J66" s="8">
        <v>0.15151515151515149</v>
      </c>
      <c r="K66" s="8">
        <v>3.03030303030303E-2</v>
      </c>
      <c r="L66" s="6">
        <v>-1</v>
      </c>
      <c r="M66" s="8">
        <v>6.0606060606060608E-2</v>
      </c>
      <c r="N66" s="8">
        <v>0</v>
      </c>
      <c r="O66" s="6">
        <v>-1</v>
      </c>
    </row>
    <row r="67" spans="1:15" x14ac:dyDescent="0.25">
      <c r="A67" s="7">
        <v>46166</v>
      </c>
      <c r="B67" s="6">
        <v>0</v>
      </c>
      <c r="C67" s="6">
        <v>5</v>
      </c>
      <c r="D67" s="6">
        <v>0</v>
      </c>
      <c r="E67" s="6">
        <v>1</v>
      </c>
      <c r="F67" s="6">
        <v>0</v>
      </c>
      <c r="G67" s="6">
        <v>0</v>
      </c>
      <c r="H67" s="6">
        <v>2</v>
      </c>
      <c r="I67" s="6">
        <v>0</v>
      </c>
      <c r="J67" s="8">
        <v>0.15151515151515149</v>
      </c>
      <c r="K67" s="8">
        <v>3.03030303030303E-2</v>
      </c>
      <c r="L67" s="6">
        <v>-1</v>
      </c>
      <c r="M67" s="8">
        <v>6.0606060606060608E-2</v>
      </c>
      <c r="N67" s="8">
        <v>0</v>
      </c>
      <c r="O67" s="6">
        <v>-1</v>
      </c>
    </row>
    <row r="68" spans="1:15" x14ac:dyDescent="0.25">
      <c r="A68" s="7">
        <v>46167</v>
      </c>
      <c r="B68" s="6">
        <v>0</v>
      </c>
      <c r="C68" s="6">
        <v>5</v>
      </c>
      <c r="D68" s="6">
        <v>0</v>
      </c>
      <c r="E68" s="6">
        <v>1</v>
      </c>
      <c r="F68" s="6">
        <v>2</v>
      </c>
      <c r="G68" s="6">
        <v>0</v>
      </c>
      <c r="H68" s="6">
        <v>4</v>
      </c>
      <c r="I68" s="6">
        <v>0</v>
      </c>
      <c r="J68" s="8">
        <v>0.15151515151515149</v>
      </c>
      <c r="K68" s="8">
        <v>3.03030303030303E-2</v>
      </c>
      <c r="L68" s="6">
        <v>-1</v>
      </c>
      <c r="M68" s="8">
        <v>0.1212121212121212</v>
      </c>
      <c r="N68" s="8">
        <v>0</v>
      </c>
      <c r="O68" s="6">
        <v>-1</v>
      </c>
    </row>
    <row r="69" spans="1:15" x14ac:dyDescent="0.25">
      <c r="A69" s="7">
        <v>46168</v>
      </c>
      <c r="B69" s="6">
        <v>3</v>
      </c>
      <c r="C69" s="6">
        <v>8</v>
      </c>
      <c r="D69" s="6">
        <v>0</v>
      </c>
      <c r="E69" s="6">
        <v>1</v>
      </c>
      <c r="F69" s="6">
        <v>0</v>
      </c>
      <c r="G69" s="6">
        <v>0</v>
      </c>
      <c r="H69" s="6">
        <v>4</v>
      </c>
      <c r="I69" s="6">
        <v>0</v>
      </c>
      <c r="J69" s="8">
        <v>0.2424242424242424</v>
      </c>
      <c r="K69" s="8">
        <v>3.03030303030303E-2</v>
      </c>
      <c r="L69" s="6">
        <v>-1</v>
      </c>
      <c r="M69" s="8">
        <v>0.1212121212121212</v>
      </c>
      <c r="N69" s="8">
        <v>0</v>
      </c>
      <c r="O69" s="6">
        <v>-1</v>
      </c>
    </row>
    <row r="70" spans="1:15" x14ac:dyDescent="0.25">
      <c r="A70" s="7">
        <v>46169</v>
      </c>
      <c r="B70" s="6">
        <v>6</v>
      </c>
      <c r="C70" s="6">
        <v>14</v>
      </c>
      <c r="D70" s="6">
        <v>0</v>
      </c>
      <c r="E70" s="6">
        <v>1</v>
      </c>
      <c r="F70" s="6">
        <v>0</v>
      </c>
      <c r="G70" s="6">
        <v>0</v>
      </c>
      <c r="H70" s="6">
        <v>4</v>
      </c>
      <c r="I70" s="6">
        <v>0</v>
      </c>
      <c r="J70" s="8">
        <v>0.42424242424242431</v>
      </c>
      <c r="K70" s="8">
        <v>3.03030303030303E-2</v>
      </c>
      <c r="L70" s="6">
        <v>-1</v>
      </c>
      <c r="M70" s="8">
        <v>0.1212121212121212</v>
      </c>
      <c r="N70" s="8">
        <v>0</v>
      </c>
      <c r="O70" s="6">
        <v>-1</v>
      </c>
    </row>
    <row r="71" spans="1:15" x14ac:dyDescent="0.25">
      <c r="A71" s="7">
        <v>46170</v>
      </c>
      <c r="B71" s="6">
        <v>0</v>
      </c>
      <c r="C71" s="6">
        <v>14</v>
      </c>
      <c r="D71" s="6">
        <v>4</v>
      </c>
      <c r="E71" s="6">
        <v>5</v>
      </c>
      <c r="F71" s="6">
        <v>0</v>
      </c>
      <c r="G71" s="6">
        <v>0</v>
      </c>
      <c r="H71" s="6">
        <v>4</v>
      </c>
      <c r="I71" s="6">
        <v>0</v>
      </c>
      <c r="J71" s="8">
        <v>0.42424242424242431</v>
      </c>
      <c r="K71" s="8">
        <v>0.15151515151515149</v>
      </c>
      <c r="L71" s="6">
        <v>-1</v>
      </c>
      <c r="M71" s="8">
        <v>0.1212121212121212</v>
      </c>
      <c r="N71" s="8">
        <v>0</v>
      </c>
      <c r="O71" s="6">
        <v>-1</v>
      </c>
    </row>
    <row r="72" spans="1:15" x14ac:dyDescent="0.25">
      <c r="A72" s="7">
        <v>46171</v>
      </c>
      <c r="B72" s="6">
        <v>0</v>
      </c>
      <c r="C72" s="6">
        <v>14</v>
      </c>
      <c r="D72" s="6">
        <v>0</v>
      </c>
      <c r="E72" s="6">
        <v>5</v>
      </c>
      <c r="F72" s="6">
        <v>0</v>
      </c>
      <c r="G72" s="6">
        <v>0</v>
      </c>
      <c r="H72" s="6">
        <v>4</v>
      </c>
      <c r="I72" s="6">
        <v>0</v>
      </c>
      <c r="J72" s="8">
        <v>0.42424242424242431</v>
      </c>
      <c r="K72" s="8">
        <v>0.15151515151515149</v>
      </c>
      <c r="L72" s="6">
        <v>-1</v>
      </c>
      <c r="M72" s="8">
        <v>0.1212121212121212</v>
      </c>
      <c r="N72" s="8">
        <v>0</v>
      </c>
      <c r="O72" s="6">
        <v>-1</v>
      </c>
    </row>
    <row r="73" spans="1:15" x14ac:dyDescent="0.25">
      <c r="A73" s="7">
        <v>46172</v>
      </c>
      <c r="B73" s="6">
        <v>0</v>
      </c>
      <c r="C73" s="6">
        <v>14</v>
      </c>
      <c r="D73" s="6">
        <v>0</v>
      </c>
      <c r="E73" s="6">
        <v>5</v>
      </c>
      <c r="F73" s="6">
        <v>0</v>
      </c>
      <c r="G73" s="6">
        <v>0</v>
      </c>
      <c r="H73" s="6">
        <v>4</v>
      </c>
      <c r="I73" s="6">
        <v>0</v>
      </c>
      <c r="J73" s="8">
        <v>0.42424242424242431</v>
      </c>
      <c r="K73" s="8">
        <v>0.15151515151515149</v>
      </c>
      <c r="L73" s="6">
        <v>-1</v>
      </c>
      <c r="M73" s="8">
        <v>0.1212121212121212</v>
      </c>
      <c r="N73" s="8">
        <v>0</v>
      </c>
      <c r="O73" s="6">
        <v>-1</v>
      </c>
    </row>
    <row r="74" spans="1:15" x14ac:dyDescent="0.25">
      <c r="A74" s="7">
        <v>46173</v>
      </c>
      <c r="B74" s="6">
        <v>0</v>
      </c>
      <c r="C74" s="6">
        <v>14</v>
      </c>
      <c r="D74" s="6">
        <v>0</v>
      </c>
      <c r="E74" s="6">
        <v>5</v>
      </c>
      <c r="F74" s="6">
        <v>0</v>
      </c>
      <c r="G74" s="6">
        <v>0</v>
      </c>
      <c r="H74" s="6">
        <v>4</v>
      </c>
      <c r="I74" s="6">
        <v>0</v>
      </c>
      <c r="J74" s="8">
        <v>0.42424242424242431</v>
      </c>
      <c r="K74" s="8">
        <v>0.15151515151515149</v>
      </c>
      <c r="L74" s="6">
        <v>-1</v>
      </c>
      <c r="M74" s="8">
        <v>0.1212121212121212</v>
      </c>
      <c r="N74" s="8">
        <v>0</v>
      </c>
      <c r="O74" s="6">
        <v>-1</v>
      </c>
    </row>
    <row r="75" spans="1:15" x14ac:dyDescent="0.25">
      <c r="A75" s="7">
        <v>46174</v>
      </c>
      <c r="B75" s="6">
        <v>0</v>
      </c>
      <c r="C75" s="6">
        <v>14</v>
      </c>
      <c r="D75" s="6">
        <v>0</v>
      </c>
      <c r="E75" s="6">
        <v>5</v>
      </c>
      <c r="F75" s="6">
        <v>3</v>
      </c>
      <c r="G75" s="6">
        <v>0</v>
      </c>
      <c r="H75" s="6">
        <v>7</v>
      </c>
      <c r="I75" s="6">
        <v>0</v>
      </c>
      <c r="J75" s="8">
        <v>0.42424242424242431</v>
      </c>
      <c r="K75" s="8">
        <v>0.15151515151515149</v>
      </c>
      <c r="L75" s="6">
        <v>-1</v>
      </c>
      <c r="M75" s="8">
        <v>0.2121212121212121</v>
      </c>
      <c r="N75" s="8">
        <v>0</v>
      </c>
      <c r="O75" s="6">
        <v>-1</v>
      </c>
    </row>
    <row r="76" spans="1:15" x14ac:dyDescent="0.25">
      <c r="A76" s="7">
        <v>46175</v>
      </c>
      <c r="B76" s="6">
        <v>0</v>
      </c>
      <c r="C76" s="6">
        <v>14</v>
      </c>
      <c r="D76" s="6">
        <v>1</v>
      </c>
      <c r="E76" s="6">
        <v>6</v>
      </c>
      <c r="F76" s="6">
        <v>6</v>
      </c>
      <c r="G76" s="6">
        <v>0</v>
      </c>
      <c r="H76" s="6">
        <v>13</v>
      </c>
      <c r="I76" s="6">
        <v>0</v>
      </c>
      <c r="J76" s="8">
        <v>0.42424242424242431</v>
      </c>
      <c r="K76" s="8">
        <v>0.1818181818181818</v>
      </c>
      <c r="L76" s="6">
        <v>-1</v>
      </c>
      <c r="M76" s="8">
        <v>0.39393939393939392</v>
      </c>
      <c r="N76" s="8">
        <v>0</v>
      </c>
      <c r="O76" s="6">
        <v>-1</v>
      </c>
    </row>
    <row r="77" spans="1:15" x14ac:dyDescent="0.25">
      <c r="A77" s="7">
        <v>46176</v>
      </c>
      <c r="B77" s="6">
        <v>0</v>
      </c>
      <c r="C77" s="6">
        <v>14</v>
      </c>
      <c r="D77" s="6">
        <v>1</v>
      </c>
      <c r="E77" s="6">
        <v>7</v>
      </c>
      <c r="F77" s="6">
        <v>0</v>
      </c>
      <c r="G77" s="6">
        <v>0</v>
      </c>
      <c r="H77" s="6">
        <v>13</v>
      </c>
      <c r="I77" s="6">
        <v>0</v>
      </c>
      <c r="J77" s="8">
        <v>0.42424242424242431</v>
      </c>
      <c r="K77" s="8">
        <v>0.2121212121212121</v>
      </c>
      <c r="L77" s="6">
        <v>-1</v>
      </c>
      <c r="M77" s="8">
        <v>0.39393939393939392</v>
      </c>
      <c r="N77" s="8">
        <v>0</v>
      </c>
      <c r="O77" s="6">
        <v>-1</v>
      </c>
    </row>
    <row r="78" spans="1:15" x14ac:dyDescent="0.25">
      <c r="A78" s="7">
        <v>46177</v>
      </c>
      <c r="B78" s="6">
        <v>1</v>
      </c>
      <c r="C78" s="6">
        <v>15</v>
      </c>
      <c r="D78" s="6">
        <v>0</v>
      </c>
      <c r="E78" s="6">
        <v>7</v>
      </c>
      <c r="F78" s="6">
        <v>0</v>
      </c>
      <c r="G78" s="6">
        <v>0</v>
      </c>
      <c r="H78" s="6">
        <v>13</v>
      </c>
      <c r="I78" s="6">
        <v>0</v>
      </c>
      <c r="J78" s="8">
        <v>0.45454545454545447</v>
      </c>
      <c r="K78" s="8">
        <v>0.2121212121212121</v>
      </c>
      <c r="L78" s="6">
        <v>-1</v>
      </c>
      <c r="M78" s="8">
        <v>0.39393939393939392</v>
      </c>
      <c r="N78" s="8">
        <v>0</v>
      </c>
      <c r="O78" s="6">
        <v>-1</v>
      </c>
    </row>
    <row r="79" spans="1:15" x14ac:dyDescent="0.25">
      <c r="A79" s="7">
        <v>46178</v>
      </c>
      <c r="B79" s="6">
        <v>1</v>
      </c>
      <c r="C79" s="6">
        <v>16</v>
      </c>
      <c r="D79" s="6">
        <v>2</v>
      </c>
      <c r="E79" s="6">
        <v>9</v>
      </c>
      <c r="F79" s="6">
        <v>0</v>
      </c>
      <c r="G79" s="6">
        <v>0</v>
      </c>
      <c r="H79" s="6">
        <v>13</v>
      </c>
      <c r="I79" s="6">
        <v>0</v>
      </c>
      <c r="J79" s="8">
        <v>0.48484848484848492</v>
      </c>
      <c r="K79" s="8">
        <v>0.27272727272727271</v>
      </c>
      <c r="L79" s="6">
        <v>-1</v>
      </c>
      <c r="M79" s="8">
        <v>0.39393939393939392</v>
      </c>
      <c r="N79" s="8">
        <v>0</v>
      </c>
      <c r="O79" s="6">
        <v>-1</v>
      </c>
    </row>
    <row r="80" spans="1:15" x14ac:dyDescent="0.25">
      <c r="A80" s="7">
        <v>46179</v>
      </c>
      <c r="B80" s="6">
        <v>0</v>
      </c>
      <c r="C80" s="6">
        <v>16</v>
      </c>
      <c r="D80" s="6">
        <v>0</v>
      </c>
      <c r="E80" s="6">
        <v>9</v>
      </c>
      <c r="F80" s="6">
        <v>0</v>
      </c>
      <c r="G80" s="6">
        <v>0</v>
      </c>
      <c r="H80" s="6">
        <v>13</v>
      </c>
      <c r="I80" s="6">
        <v>0</v>
      </c>
      <c r="J80" s="8">
        <v>0.48484848484848492</v>
      </c>
      <c r="K80" s="8">
        <v>0.27272727272727271</v>
      </c>
      <c r="L80" s="6">
        <v>-1</v>
      </c>
      <c r="M80" s="8">
        <v>0.39393939393939392</v>
      </c>
      <c r="N80" s="8">
        <v>0</v>
      </c>
      <c r="O80" s="6">
        <v>-1</v>
      </c>
    </row>
    <row r="81" spans="1:15" x14ac:dyDescent="0.25">
      <c r="A81" s="7">
        <v>46180</v>
      </c>
      <c r="B81" s="6">
        <v>0</v>
      </c>
      <c r="C81" s="6">
        <v>16</v>
      </c>
      <c r="D81" s="6">
        <v>0</v>
      </c>
      <c r="E81" s="6">
        <v>9</v>
      </c>
      <c r="F81" s="6">
        <v>0</v>
      </c>
      <c r="G81" s="6">
        <v>0</v>
      </c>
      <c r="H81" s="6">
        <v>13</v>
      </c>
      <c r="I81" s="6">
        <v>0</v>
      </c>
      <c r="J81" s="8">
        <v>0.48484848484848492</v>
      </c>
      <c r="K81" s="8">
        <v>0.27272727272727271</v>
      </c>
      <c r="L81" s="6">
        <v>-1</v>
      </c>
      <c r="M81" s="8">
        <v>0.39393939393939392</v>
      </c>
      <c r="N81" s="8">
        <v>0</v>
      </c>
      <c r="O81" s="6">
        <v>-1</v>
      </c>
    </row>
    <row r="82" spans="1:15" x14ac:dyDescent="0.25">
      <c r="A82" s="7">
        <v>46181</v>
      </c>
      <c r="B82" s="6">
        <v>0</v>
      </c>
      <c r="C82" s="6">
        <v>16</v>
      </c>
      <c r="D82" s="6">
        <v>0</v>
      </c>
      <c r="E82" s="6">
        <v>9</v>
      </c>
      <c r="F82" s="6">
        <v>0</v>
      </c>
      <c r="G82" s="6">
        <v>0</v>
      </c>
      <c r="H82" s="6">
        <v>13</v>
      </c>
      <c r="I82" s="6">
        <v>0</v>
      </c>
      <c r="J82" s="8">
        <v>0.48484848484848492</v>
      </c>
      <c r="K82" s="8">
        <v>0.27272727272727271</v>
      </c>
      <c r="L82" s="6">
        <v>-1</v>
      </c>
      <c r="M82" s="8">
        <v>0.39393939393939392</v>
      </c>
      <c r="N82" s="8">
        <v>0</v>
      </c>
      <c r="O82" s="6">
        <v>-1</v>
      </c>
    </row>
    <row r="83" spans="1:15" x14ac:dyDescent="0.25">
      <c r="A83" s="7">
        <v>46182</v>
      </c>
      <c r="B83" s="6">
        <v>0</v>
      </c>
      <c r="C83" s="6">
        <v>16</v>
      </c>
      <c r="D83" s="6">
        <v>0</v>
      </c>
      <c r="E83" s="6">
        <v>9</v>
      </c>
      <c r="F83" s="6">
        <v>0</v>
      </c>
      <c r="G83" s="6">
        <v>0</v>
      </c>
      <c r="H83" s="6">
        <v>13</v>
      </c>
      <c r="I83" s="6">
        <v>0</v>
      </c>
      <c r="J83" s="8">
        <v>0.48484848484848492</v>
      </c>
      <c r="K83" s="8">
        <v>0.27272727272727271</v>
      </c>
      <c r="L83" s="6">
        <v>-1</v>
      </c>
      <c r="M83" s="8">
        <v>0.39393939393939392</v>
      </c>
      <c r="N83" s="8">
        <v>0</v>
      </c>
      <c r="O83" s="6">
        <v>-1</v>
      </c>
    </row>
    <row r="84" spans="1:15" x14ac:dyDescent="0.25">
      <c r="A84" s="7">
        <v>46183</v>
      </c>
      <c r="B84" s="6">
        <v>0</v>
      </c>
      <c r="C84" s="6">
        <v>16</v>
      </c>
      <c r="D84" s="6">
        <v>0</v>
      </c>
      <c r="E84" s="6">
        <v>9</v>
      </c>
      <c r="F84" s="6">
        <v>1</v>
      </c>
      <c r="G84" s="6">
        <v>0</v>
      </c>
      <c r="H84" s="6">
        <v>14</v>
      </c>
      <c r="I84" s="6">
        <v>0</v>
      </c>
      <c r="J84" s="8">
        <v>0.48484848484848492</v>
      </c>
      <c r="K84" s="8">
        <v>0.27272727272727271</v>
      </c>
      <c r="L84" s="6">
        <v>-1</v>
      </c>
      <c r="M84" s="8">
        <v>0.42424242424242431</v>
      </c>
      <c r="N84" s="8">
        <v>0</v>
      </c>
      <c r="O84" s="6">
        <v>-1</v>
      </c>
    </row>
    <row r="85" spans="1:15" x14ac:dyDescent="0.25">
      <c r="A85" s="7">
        <v>46184</v>
      </c>
      <c r="B85" s="6">
        <v>0</v>
      </c>
      <c r="C85" s="6">
        <v>16</v>
      </c>
      <c r="D85" s="6">
        <v>0</v>
      </c>
      <c r="E85" s="6">
        <v>9</v>
      </c>
      <c r="F85" s="6">
        <v>0</v>
      </c>
      <c r="G85" s="6">
        <v>0</v>
      </c>
      <c r="H85" s="6">
        <v>14</v>
      </c>
      <c r="I85" s="6">
        <v>0</v>
      </c>
      <c r="J85" s="8">
        <v>0.48484848484848492</v>
      </c>
      <c r="K85" s="8">
        <v>0.27272727272727271</v>
      </c>
      <c r="L85" s="6">
        <v>-1</v>
      </c>
      <c r="M85" s="8">
        <v>0.42424242424242431</v>
      </c>
      <c r="N85" s="8">
        <v>0</v>
      </c>
      <c r="O85" s="6">
        <v>-1</v>
      </c>
    </row>
    <row r="86" spans="1:15" x14ac:dyDescent="0.25">
      <c r="A86" s="7">
        <v>46185</v>
      </c>
      <c r="B86" s="6">
        <v>0</v>
      </c>
      <c r="C86" s="6">
        <v>16</v>
      </c>
      <c r="D86" s="6">
        <v>1</v>
      </c>
      <c r="E86" s="6">
        <v>10</v>
      </c>
      <c r="F86" s="6">
        <v>0</v>
      </c>
      <c r="G86" s="6">
        <v>0</v>
      </c>
      <c r="H86" s="6">
        <v>14</v>
      </c>
      <c r="I86" s="6">
        <v>0</v>
      </c>
      <c r="J86" s="8">
        <v>0.48484848484848492</v>
      </c>
      <c r="K86" s="8">
        <v>0.30303030303030298</v>
      </c>
      <c r="L86" s="6">
        <v>-1</v>
      </c>
      <c r="M86" s="8">
        <v>0.42424242424242431</v>
      </c>
      <c r="N86" s="8">
        <v>0</v>
      </c>
      <c r="O86" s="6">
        <v>-1</v>
      </c>
    </row>
    <row r="87" spans="1:15" x14ac:dyDescent="0.25">
      <c r="A87" s="7">
        <v>46186</v>
      </c>
      <c r="B87" s="6">
        <v>0</v>
      </c>
      <c r="C87" s="6">
        <v>16</v>
      </c>
      <c r="D87" s="6">
        <v>0</v>
      </c>
      <c r="E87" s="6">
        <v>10</v>
      </c>
      <c r="F87" s="6">
        <v>0</v>
      </c>
      <c r="G87" s="6">
        <v>0</v>
      </c>
      <c r="H87" s="6">
        <v>14</v>
      </c>
      <c r="I87" s="6">
        <v>0</v>
      </c>
      <c r="J87" s="8">
        <v>0.48484848484848492</v>
      </c>
      <c r="K87" s="8">
        <v>0.30303030303030298</v>
      </c>
      <c r="L87" s="6">
        <v>-1</v>
      </c>
      <c r="M87" s="8">
        <v>0.42424242424242431</v>
      </c>
      <c r="N87" s="8">
        <v>0</v>
      </c>
      <c r="O87" s="6">
        <v>-1</v>
      </c>
    </row>
    <row r="88" spans="1:15" x14ac:dyDescent="0.25">
      <c r="A88" s="7">
        <v>46187</v>
      </c>
      <c r="B88" s="6">
        <v>0</v>
      </c>
      <c r="C88" s="6">
        <v>16</v>
      </c>
      <c r="D88" s="6">
        <v>0</v>
      </c>
      <c r="E88" s="6">
        <v>10</v>
      </c>
      <c r="F88" s="6">
        <v>0</v>
      </c>
      <c r="G88" s="6">
        <v>0</v>
      </c>
      <c r="H88" s="6">
        <v>14</v>
      </c>
      <c r="I88" s="6">
        <v>0</v>
      </c>
      <c r="J88" s="8">
        <v>0.48484848484848492</v>
      </c>
      <c r="K88" s="8">
        <v>0.30303030303030298</v>
      </c>
      <c r="L88" s="6">
        <v>-1</v>
      </c>
      <c r="M88" s="8">
        <v>0.42424242424242431</v>
      </c>
      <c r="N88" s="8">
        <v>0</v>
      </c>
      <c r="O88" s="6">
        <v>-1</v>
      </c>
    </row>
    <row r="89" spans="1:15" x14ac:dyDescent="0.25">
      <c r="A89" s="7">
        <v>46188</v>
      </c>
      <c r="B89" s="6">
        <v>8</v>
      </c>
      <c r="C89" s="6">
        <v>24</v>
      </c>
      <c r="D89" s="6">
        <v>1</v>
      </c>
      <c r="E89" s="6">
        <v>11</v>
      </c>
      <c r="F89" s="6">
        <v>0</v>
      </c>
      <c r="G89" s="6">
        <v>0</v>
      </c>
      <c r="H89" s="6">
        <v>14</v>
      </c>
      <c r="I89" s="6">
        <v>0</v>
      </c>
      <c r="J89" s="8">
        <v>0.72727272727272729</v>
      </c>
      <c r="K89" s="8">
        <v>0.33333333333333331</v>
      </c>
      <c r="L89" s="6">
        <v>-1</v>
      </c>
      <c r="M89" s="8">
        <v>0.42424242424242431</v>
      </c>
      <c r="N89" s="8">
        <v>0</v>
      </c>
      <c r="O89" s="6">
        <v>-1</v>
      </c>
    </row>
    <row r="90" spans="1:15" x14ac:dyDescent="0.25">
      <c r="A90" s="7">
        <v>46189</v>
      </c>
      <c r="B90" s="6">
        <v>0</v>
      </c>
      <c r="C90" s="6">
        <v>24</v>
      </c>
      <c r="D90" s="6">
        <v>0</v>
      </c>
      <c r="E90" s="6">
        <v>11</v>
      </c>
      <c r="F90" s="6">
        <v>1</v>
      </c>
      <c r="G90" s="6">
        <v>0</v>
      </c>
      <c r="H90" s="6">
        <v>15</v>
      </c>
      <c r="I90" s="6">
        <v>0</v>
      </c>
      <c r="J90" s="8">
        <v>0.72727272727272729</v>
      </c>
      <c r="K90" s="8">
        <v>0.33333333333333331</v>
      </c>
      <c r="L90" s="6">
        <v>-1</v>
      </c>
      <c r="M90" s="8">
        <v>0.45454545454545447</v>
      </c>
      <c r="N90" s="8">
        <v>0</v>
      </c>
      <c r="O90" s="6">
        <v>-1</v>
      </c>
    </row>
    <row r="91" spans="1:15" x14ac:dyDescent="0.25">
      <c r="A91" s="7">
        <v>46190</v>
      </c>
      <c r="B91" s="6">
        <v>0</v>
      </c>
      <c r="C91" s="6">
        <v>24</v>
      </c>
      <c r="D91" s="6">
        <v>0</v>
      </c>
      <c r="E91" s="6">
        <v>11</v>
      </c>
      <c r="F91" s="6">
        <v>0</v>
      </c>
      <c r="G91" s="6">
        <v>0</v>
      </c>
      <c r="H91" s="6">
        <v>15</v>
      </c>
      <c r="I91" s="6">
        <v>0</v>
      </c>
      <c r="J91" s="8">
        <v>0.72727272727272729</v>
      </c>
      <c r="K91" s="8">
        <v>0.33333333333333331</v>
      </c>
      <c r="L91" s="6">
        <v>-1</v>
      </c>
      <c r="M91" s="8">
        <v>0.45454545454545447</v>
      </c>
      <c r="N91" s="8">
        <v>0</v>
      </c>
      <c r="O91" s="6">
        <v>-1</v>
      </c>
    </row>
    <row r="92" spans="1:15" x14ac:dyDescent="0.25">
      <c r="A92" s="7">
        <v>46191</v>
      </c>
      <c r="B92" s="6">
        <v>0</v>
      </c>
      <c r="C92" s="6">
        <v>24</v>
      </c>
      <c r="D92" s="6">
        <v>0</v>
      </c>
      <c r="E92" s="6">
        <v>11</v>
      </c>
      <c r="F92" s="6">
        <v>0</v>
      </c>
      <c r="G92" s="6">
        <v>1</v>
      </c>
      <c r="H92" s="6">
        <v>15</v>
      </c>
      <c r="I92" s="6">
        <v>1</v>
      </c>
      <c r="J92" s="8">
        <v>0.72727272727272729</v>
      </c>
      <c r="K92" s="8">
        <v>0.33333333333333331</v>
      </c>
      <c r="L92" s="6">
        <v>-1</v>
      </c>
      <c r="M92" s="8">
        <v>0.45454545454545447</v>
      </c>
      <c r="N92" s="8">
        <v>3.03030303030303E-2</v>
      </c>
      <c r="O92" s="6">
        <v>-1</v>
      </c>
    </row>
    <row r="93" spans="1:15" x14ac:dyDescent="0.25">
      <c r="A93" s="7">
        <v>46192</v>
      </c>
      <c r="B93" s="6">
        <v>3</v>
      </c>
      <c r="C93" s="6">
        <v>27</v>
      </c>
      <c r="D93" s="6">
        <v>0</v>
      </c>
      <c r="E93" s="6">
        <v>11</v>
      </c>
      <c r="F93" s="6">
        <v>8</v>
      </c>
      <c r="G93" s="6">
        <v>0</v>
      </c>
      <c r="H93" s="6">
        <v>23</v>
      </c>
      <c r="I93" s="6">
        <v>1</v>
      </c>
      <c r="J93" s="8">
        <v>0.81818181818181823</v>
      </c>
      <c r="K93" s="8">
        <v>0.33333333333333331</v>
      </c>
      <c r="L93" s="6">
        <v>-1</v>
      </c>
      <c r="M93" s="8">
        <v>0.69696969696969702</v>
      </c>
      <c r="N93" s="8">
        <v>3.03030303030303E-2</v>
      </c>
      <c r="O93" s="6">
        <v>-1</v>
      </c>
    </row>
    <row r="94" spans="1:15" x14ac:dyDescent="0.25">
      <c r="A94" s="7">
        <v>46193</v>
      </c>
      <c r="B94" s="6">
        <v>0</v>
      </c>
      <c r="C94" s="6">
        <v>27</v>
      </c>
      <c r="D94" s="6">
        <v>0</v>
      </c>
      <c r="E94" s="6">
        <v>11</v>
      </c>
      <c r="F94" s="6">
        <v>0</v>
      </c>
      <c r="G94" s="6">
        <v>0</v>
      </c>
      <c r="H94" s="6">
        <v>23</v>
      </c>
      <c r="I94" s="6">
        <v>1</v>
      </c>
      <c r="J94" s="8">
        <v>0.81818181818181823</v>
      </c>
      <c r="K94" s="8">
        <v>0.33333333333333331</v>
      </c>
      <c r="L94" s="6">
        <v>-1</v>
      </c>
      <c r="M94" s="8">
        <v>0.69696969696969702</v>
      </c>
      <c r="N94" s="8">
        <v>3.03030303030303E-2</v>
      </c>
      <c r="O94" s="6">
        <v>-1</v>
      </c>
    </row>
    <row r="95" spans="1:15" x14ac:dyDescent="0.25">
      <c r="A95" s="7">
        <v>46194</v>
      </c>
      <c r="B95" s="6">
        <v>0</v>
      </c>
      <c r="C95" s="6">
        <v>27</v>
      </c>
      <c r="D95" s="6">
        <v>0</v>
      </c>
      <c r="E95" s="6">
        <v>11</v>
      </c>
      <c r="F95" s="6">
        <v>0</v>
      </c>
      <c r="G95" s="6">
        <v>0</v>
      </c>
      <c r="H95" s="6">
        <v>23</v>
      </c>
      <c r="I95" s="6">
        <v>1</v>
      </c>
      <c r="J95" s="8">
        <v>0.81818181818181823</v>
      </c>
      <c r="K95" s="8">
        <v>0.33333333333333331</v>
      </c>
      <c r="L95" s="6">
        <v>-1</v>
      </c>
      <c r="M95" s="8">
        <v>0.69696969696969702</v>
      </c>
      <c r="N95" s="8">
        <v>3.03030303030303E-2</v>
      </c>
      <c r="O95" s="6">
        <v>-1</v>
      </c>
    </row>
    <row r="96" spans="1:15" x14ac:dyDescent="0.25">
      <c r="A96" s="7">
        <v>46195</v>
      </c>
      <c r="B96" s="6">
        <v>1</v>
      </c>
      <c r="C96" s="6">
        <v>28</v>
      </c>
      <c r="D96" s="6">
        <v>0</v>
      </c>
      <c r="E96" s="6">
        <v>11</v>
      </c>
      <c r="F96" s="6">
        <v>0</v>
      </c>
      <c r="G96" s="6">
        <v>0</v>
      </c>
      <c r="H96" s="6">
        <v>23</v>
      </c>
      <c r="I96" s="6">
        <v>1</v>
      </c>
      <c r="J96" s="8">
        <v>0.84848484848484851</v>
      </c>
      <c r="K96" s="8">
        <v>0.33333333333333331</v>
      </c>
      <c r="L96" s="6">
        <v>-1</v>
      </c>
      <c r="M96" s="8">
        <v>0.69696969696969702</v>
      </c>
      <c r="N96" s="8">
        <v>3.03030303030303E-2</v>
      </c>
      <c r="O96" s="6">
        <v>-1</v>
      </c>
    </row>
    <row r="97" spans="1:15" x14ac:dyDescent="0.25">
      <c r="A97" s="7">
        <v>46196</v>
      </c>
      <c r="B97" s="6">
        <v>2</v>
      </c>
      <c r="C97" s="6">
        <v>30</v>
      </c>
      <c r="D97" s="6">
        <v>0</v>
      </c>
      <c r="E97" s="6">
        <v>11</v>
      </c>
      <c r="F97" s="6">
        <v>0</v>
      </c>
      <c r="G97" s="6">
        <v>0</v>
      </c>
      <c r="H97" s="6">
        <v>23</v>
      </c>
      <c r="I97" s="6">
        <v>1</v>
      </c>
      <c r="J97" s="8">
        <v>0.90909090909090906</v>
      </c>
      <c r="K97" s="8">
        <v>0.33333333333333331</v>
      </c>
      <c r="L97" s="6">
        <v>-1</v>
      </c>
      <c r="M97" s="8">
        <v>0.69696969696969702</v>
      </c>
      <c r="N97" s="8">
        <v>3.03030303030303E-2</v>
      </c>
      <c r="O97" s="6">
        <v>-1</v>
      </c>
    </row>
    <row r="98" spans="1:15" x14ac:dyDescent="0.25">
      <c r="A98" s="7">
        <v>46197</v>
      </c>
      <c r="B98" s="6">
        <v>0</v>
      </c>
      <c r="C98" s="6">
        <v>30</v>
      </c>
      <c r="D98" s="6">
        <v>1</v>
      </c>
      <c r="E98" s="6">
        <v>12</v>
      </c>
      <c r="F98" s="6">
        <v>1</v>
      </c>
      <c r="G98" s="6">
        <v>0</v>
      </c>
      <c r="H98" s="6">
        <v>24</v>
      </c>
      <c r="I98" s="6">
        <v>1</v>
      </c>
      <c r="J98" s="8">
        <v>0.90909090909090906</v>
      </c>
      <c r="K98" s="8">
        <v>0.36363636363636359</v>
      </c>
      <c r="L98" s="6">
        <v>-1</v>
      </c>
      <c r="M98" s="8">
        <v>0.72727272727272729</v>
      </c>
      <c r="N98" s="8">
        <v>3.03030303030303E-2</v>
      </c>
      <c r="O98" s="6">
        <v>-1</v>
      </c>
    </row>
    <row r="99" spans="1:15" x14ac:dyDescent="0.25">
      <c r="A99" s="7">
        <v>46198</v>
      </c>
      <c r="B99" s="6">
        <v>0</v>
      </c>
      <c r="C99" s="6">
        <v>30</v>
      </c>
      <c r="D99" s="6">
        <v>0</v>
      </c>
      <c r="E99" s="6">
        <v>12</v>
      </c>
      <c r="F99" s="6">
        <v>3</v>
      </c>
      <c r="G99" s="6">
        <v>0</v>
      </c>
      <c r="H99" s="6">
        <v>27</v>
      </c>
      <c r="I99" s="6">
        <v>1</v>
      </c>
      <c r="J99" s="8">
        <v>0.90909090909090906</v>
      </c>
      <c r="K99" s="8">
        <v>0.36363636363636359</v>
      </c>
      <c r="L99" s="6">
        <v>-1</v>
      </c>
      <c r="M99" s="8">
        <v>0.81818181818181823</v>
      </c>
      <c r="N99" s="8">
        <v>3.03030303030303E-2</v>
      </c>
      <c r="O99" s="6">
        <v>-1</v>
      </c>
    </row>
    <row r="100" spans="1:15" x14ac:dyDescent="0.25">
      <c r="A100" s="7">
        <v>46199</v>
      </c>
      <c r="B100" s="6">
        <v>0</v>
      </c>
      <c r="C100" s="6">
        <v>30</v>
      </c>
      <c r="D100" s="6">
        <v>0</v>
      </c>
      <c r="E100" s="6">
        <v>12</v>
      </c>
      <c r="F100" s="6">
        <v>1</v>
      </c>
      <c r="G100" s="6">
        <v>0</v>
      </c>
      <c r="H100" s="6">
        <v>28</v>
      </c>
      <c r="I100" s="6">
        <v>1</v>
      </c>
      <c r="J100" s="8">
        <v>0.90909090909090906</v>
      </c>
      <c r="K100" s="8">
        <v>0.36363636363636359</v>
      </c>
      <c r="L100" s="6">
        <v>-1</v>
      </c>
      <c r="M100" s="8">
        <v>0.84848484848484851</v>
      </c>
      <c r="N100" s="8">
        <v>3.03030303030303E-2</v>
      </c>
      <c r="O100" s="6">
        <v>-1</v>
      </c>
    </row>
    <row r="101" spans="1:15" x14ac:dyDescent="0.25">
      <c r="A101" s="7">
        <v>46200</v>
      </c>
      <c r="B101" s="6">
        <v>0</v>
      </c>
      <c r="C101" s="6">
        <v>30</v>
      </c>
      <c r="D101" s="6">
        <v>0</v>
      </c>
      <c r="E101" s="6">
        <v>12</v>
      </c>
      <c r="F101" s="6">
        <v>0</v>
      </c>
      <c r="G101" s="6">
        <v>0</v>
      </c>
      <c r="H101" s="6">
        <v>28</v>
      </c>
      <c r="I101" s="6">
        <v>1</v>
      </c>
      <c r="J101" s="8">
        <v>0.90909090909090906</v>
      </c>
      <c r="K101" s="8">
        <v>0.36363636363636359</v>
      </c>
      <c r="L101" s="6">
        <v>-1</v>
      </c>
      <c r="M101" s="8">
        <v>0.84848484848484851</v>
      </c>
      <c r="N101" s="8">
        <v>3.03030303030303E-2</v>
      </c>
      <c r="O101" s="6">
        <v>-1</v>
      </c>
    </row>
    <row r="102" spans="1:15" x14ac:dyDescent="0.25">
      <c r="A102" s="7">
        <v>46201</v>
      </c>
      <c r="B102" s="6">
        <v>0</v>
      </c>
      <c r="C102" s="6">
        <v>30</v>
      </c>
      <c r="D102" s="6">
        <v>0</v>
      </c>
      <c r="E102" s="6">
        <v>12</v>
      </c>
      <c r="F102" s="6">
        <v>0</v>
      </c>
      <c r="G102" s="6">
        <v>0</v>
      </c>
      <c r="H102" s="6">
        <v>28</v>
      </c>
      <c r="I102" s="6">
        <v>1</v>
      </c>
      <c r="J102" s="8">
        <v>0.90909090909090906</v>
      </c>
      <c r="K102" s="8">
        <v>0.36363636363636359</v>
      </c>
      <c r="L102" s="6">
        <v>-1</v>
      </c>
      <c r="M102" s="8">
        <v>0.84848484848484851</v>
      </c>
      <c r="N102" s="8">
        <v>3.03030303030303E-2</v>
      </c>
      <c r="O102" s="6">
        <v>-1</v>
      </c>
    </row>
    <row r="103" spans="1:15" x14ac:dyDescent="0.25">
      <c r="A103" s="7">
        <v>46202</v>
      </c>
      <c r="B103" s="6">
        <v>0</v>
      </c>
      <c r="C103" s="6">
        <v>30</v>
      </c>
      <c r="D103" s="6">
        <v>0</v>
      </c>
      <c r="E103" s="6">
        <v>12</v>
      </c>
      <c r="F103" s="6">
        <v>2</v>
      </c>
      <c r="G103" s="6">
        <v>0</v>
      </c>
      <c r="H103" s="6">
        <v>30</v>
      </c>
      <c r="I103" s="6">
        <v>1</v>
      </c>
      <c r="J103" s="8">
        <v>0.90909090909090906</v>
      </c>
      <c r="K103" s="8">
        <v>0.36363636363636359</v>
      </c>
      <c r="L103" s="6">
        <v>-1</v>
      </c>
      <c r="M103" s="8">
        <v>0.90909090909090906</v>
      </c>
      <c r="N103" s="8">
        <v>3.03030303030303E-2</v>
      </c>
      <c r="O103" s="6">
        <v>-1</v>
      </c>
    </row>
    <row r="104" spans="1:15" x14ac:dyDescent="0.25">
      <c r="A104" s="7">
        <v>46203</v>
      </c>
      <c r="B104" s="6">
        <v>0</v>
      </c>
      <c r="C104" s="6">
        <v>30</v>
      </c>
      <c r="D104" s="6">
        <v>0</v>
      </c>
      <c r="E104" s="6">
        <v>12</v>
      </c>
      <c r="F104" s="6">
        <v>0</v>
      </c>
      <c r="G104" s="6">
        <v>0</v>
      </c>
      <c r="H104" s="6">
        <v>30</v>
      </c>
      <c r="I104" s="6">
        <v>1</v>
      </c>
      <c r="J104" s="8">
        <v>0.90909090909090906</v>
      </c>
      <c r="K104" s="8">
        <v>0.36363636363636359</v>
      </c>
      <c r="L104" s="6">
        <v>-1</v>
      </c>
      <c r="M104" s="8">
        <v>0.90909090909090906</v>
      </c>
      <c r="N104" s="8">
        <v>3.03030303030303E-2</v>
      </c>
      <c r="O104" s="6">
        <v>-1</v>
      </c>
    </row>
    <row r="105" spans="1:15" x14ac:dyDescent="0.25">
      <c r="A105" s="7">
        <v>46204</v>
      </c>
      <c r="B105" s="6">
        <v>0</v>
      </c>
      <c r="C105" s="6">
        <v>30</v>
      </c>
      <c r="D105" s="6">
        <v>0</v>
      </c>
      <c r="E105" s="6">
        <v>12</v>
      </c>
      <c r="F105" s="6">
        <v>0</v>
      </c>
      <c r="G105" s="6">
        <v>0</v>
      </c>
      <c r="H105" s="6">
        <v>30</v>
      </c>
      <c r="I105" s="6">
        <v>1</v>
      </c>
      <c r="J105" s="8">
        <v>0.90909090909090906</v>
      </c>
      <c r="K105" s="8">
        <v>0.36363636363636359</v>
      </c>
      <c r="L105" s="6">
        <v>-1</v>
      </c>
      <c r="M105" s="8">
        <v>0.90909090909090906</v>
      </c>
      <c r="N105" s="8">
        <v>3.03030303030303E-2</v>
      </c>
      <c r="O105" s="6">
        <v>-1</v>
      </c>
    </row>
    <row r="106" spans="1:15" x14ac:dyDescent="0.25">
      <c r="A106" s="7">
        <v>46205</v>
      </c>
      <c r="B106" s="6">
        <v>1</v>
      </c>
      <c r="C106" s="6">
        <v>31</v>
      </c>
      <c r="D106" s="6">
        <v>0</v>
      </c>
      <c r="E106" s="6">
        <v>12</v>
      </c>
      <c r="F106" s="6">
        <v>0</v>
      </c>
      <c r="G106" s="6">
        <v>0</v>
      </c>
      <c r="H106" s="6">
        <v>30</v>
      </c>
      <c r="I106" s="6">
        <v>1</v>
      </c>
      <c r="J106" s="8">
        <v>0.93939393939393945</v>
      </c>
      <c r="K106" s="8">
        <v>0.36363636363636359</v>
      </c>
      <c r="L106" s="6">
        <v>-1</v>
      </c>
      <c r="M106" s="8">
        <v>0.90909090909090906</v>
      </c>
      <c r="N106" s="8">
        <v>3.03030303030303E-2</v>
      </c>
      <c r="O106" s="6">
        <v>-1</v>
      </c>
    </row>
    <row r="107" spans="1:15" x14ac:dyDescent="0.25">
      <c r="A107" s="7">
        <v>46206</v>
      </c>
      <c r="B107" s="6">
        <v>0</v>
      </c>
      <c r="C107" s="6">
        <v>31</v>
      </c>
      <c r="D107" s="6">
        <v>0</v>
      </c>
      <c r="E107" s="6">
        <v>12</v>
      </c>
      <c r="F107" s="6">
        <v>0</v>
      </c>
      <c r="G107" s="6">
        <v>0</v>
      </c>
      <c r="H107" s="6">
        <v>30</v>
      </c>
      <c r="I107" s="6">
        <v>1</v>
      </c>
      <c r="J107" s="8">
        <v>0.93939393939393945</v>
      </c>
      <c r="K107" s="8">
        <v>0.36363636363636359</v>
      </c>
      <c r="L107" s="6">
        <v>-1</v>
      </c>
      <c r="M107" s="8">
        <v>0.90909090909090906</v>
      </c>
      <c r="N107" s="8">
        <v>3.03030303030303E-2</v>
      </c>
      <c r="O107" s="6">
        <v>-1</v>
      </c>
    </row>
    <row r="108" spans="1:15" x14ac:dyDescent="0.25">
      <c r="A108" s="7">
        <v>46207</v>
      </c>
      <c r="B108" s="6">
        <v>0</v>
      </c>
      <c r="C108" s="6">
        <v>31</v>
      </c>
      <c r="D108" s="6">
        <v>0</v>
      </c>
      <c r="E108" s="6">
        <v>12</v>
      </c>
      <c r="F108" s="6">
        <v>0</v>
      </c>
      <c r="G108" s="6">
        <v>0</v>
      </c>
      <c r="H108" s="6">
        <v>30</v>
      </c>
      <c r="I108" s="6">
        <v>1</v>
      </c>
      <c r="J108" s="8">
        <v>0.93939393939393945</v>
      </c>
      <c r="K108" s="8">
        <v>0.36363636363636359</v>
      </c>
      <c r="L108" s="6">
        <v>-1</v>
      </c>
      <c r="M108" s="8">
        <v>0.90909090909090906</v>
      </c>
      <c r="N108" s="8">
        <v>3.03030303030303E-2</v>
      </c>
      <c r="O108" s="6">
        <v>-1</v>
      </c>
    </row>
    <row r="109" spans="1:15" x14ac:dyDescent="0.25">
      <c r="A109" s="7">
        <v>46208</v>
      </c>
      <c r="B109" s="6">
        <v>0</v>
      </c>
      <c r="C109" s="6">
        <v>31</v>
      </c>
      <c r="D109" s="6">
        <v>0</v>
      </c>
      <c r="E109" s="6">
        <v>12</v>
      </c>
      <c r="F109" s="6">
        <v>0</v>
      </c>
      <c r="G109" s="6">
        <v>0</v>
      </c>
      <c r="H109" s="6">
        <v>30</v>
      </c>
      <c r="I109" s="6">
        <v>1</v>
      </c>
      <c r="J109" s="8">
        <v>0.93939393939393945</v>
      </c>
      <c r="K109" s="8">
        <v>0.36363636363636359</v>
      </c>
      <c r="L109" s="6">
        <v>-1</v>
      </c>
      <c r="M109" s="8">
        <v>0.90909090909090906</v>
      </c>
      <c r="N109" s="8">
        <v>3.03030303030303E-2</v>
      </c>
      <c r="O109" s="6">
        <v>-1</v>
      </c>
    </row>
    <row r="110" spans="1:15" x14ac:dyDescent="0.25">
      <c r="A110" s="7">
        <v>46209</v>
      </c>
      <c r="B110" s="6">
        <v>0</v>
      </c>
      <c r="C110" s="6">
        <v>31</v>
      </c>
      <c r="D110" s="6">
        <v>0</v>
      </c>
      <c r="E110" s="6">
        <v>12</v>
      </c>
      <c r="F110" s="6">
        <v>0</v>
      </c>
      <c r="G110" s="6">
        <v>0</v>
      </c>
      <c r="H110" s="6">
        <v>30</v>
      </c>
      <c r="I110" s="6">
        <v>1</v>
      </c>
      <c r="J110" s="8">
        <v>0.93939393939393945</v>
      </c>
      <c r="K110" s="8">
        <v>0.36363636363636359</v>
      </c>
      <c r="L110" s="6">
        <v>-1</v>
      </c>
      <c r="M110" s="8">
        <v>0.90909090909090906</v>
      </c>
      <c r="N110" s="8">
        <v>3.03030303030303E-2</v>
      </c>
      <c r="O110" s="6">
        <v>-1</v>
      </c>
    </row>
    <row r="111" spans="1:15" x14ac:dyDescent="0.25">
      <c r="A111" s="9">
        <v>46210</v>
      </c>
      <c r="B111" s="10">
        <v>0</v>
      </c>
      <c r="C111" s="10">
        <v>31</v>
      </c>
      <c r="D111" s="10">
        <v>0</v>
      </c>
      <c r="E111" s="10">
        <v>12</v>
      </c>
      <c r="F111" s="10">
        <v>0</v>
      </c>
      <c r="G111" s="10">
        <v>0</v>
      </c>
      <c r="H111" s="10">
        <v>30</v>
      </c>
      <c r="I111" s="10">
        <v>1</v>
      </c>
      <c r="J111" s="11">
        <v>0.93939393939393945</v>
      </c>
      <c r="K111" s="11">
        <v>0.36363636363636359</v>
      </c>
      <c r="L111" s="10">
        <v>-1</v>
      </c>
      <c r="M111" s="11">
        <v>0.90909090909090906</v>
      </c>
      <c r="N111" s="11">
        <v>3.03030303030303E-2</v>
      </c>
      <c r="O111" s="10">
        <v>-1</v>
      </c>
    </row>
    <row r="112" spans="1:15" x14ac:dyDescent="0.25">
      <c r="A112" s="7">
        <v>46211</v>
      </c>
      <c r="B112" s="6">
        <v>0</v>
      </c>
      <c r="C112" s="6">
        <v>31</v>
      </c>
      <c r="D112" s="6">
        <v>0</v>
      </c>
      <c r="F112" s="6">
        <v>1</v>
      </c>
      <c r="G112" s="6">
        <v>0</v>
      </c>
      <c r="H112" s="6">
        <v>31</v>
      </c>
      <c r="J112" s="8">
        <v>0.93939393939393945</v>
      </c>
      <c r="K112" s="8">
        <v>0.36363636363636359</v>
      </c>
      <c r="L112" s="6">
        <v>-1</v>
      </c>
      <c r="M112" s="8">
        <v>0.93939393939393945</v>
      </c>
      <c r="N112" s="8">
        <v>3.03030303030303E-2</v>
      </c>
      <c r="O112" s="6">
        <v>-1</v>
      </c>
    </row>
    <row r="113" spans="1:15" x14ac:dyDescent="0.25">
      <c r="A113" s="7">
        <v>46212</v>
      </c>
      <c r="B113" s="6">
        <v>0</v>
      </c>
      <c r="C113" s="6">
        <v>31</v>
      </c>
      <c r="D113" s="6">
        <v>0</v>
      </c>
      <c r="F113" s="6">
        <v>0</v>
      </c>
      <c r="G113" s="6">
        <v>0</v>
      </c>
      <c r="H113" s="6">
        <v>31</v>
      </c>
      <c r="J113" s="8">
        <v>0.93939393939393945</v>
      </c>
      <c r="K113" s="8">
        <v>0.36363636363636359</v>
      </c>
      <c r="L113" s="6">
        <v>-1</v>
      </c>
      <c r="M113" s="8">
        <v>0.93939393939393945</v>
      </c>
      <c r="N113" s="8">
        <v>3.03030303030303E-2</v>
      </c>
      <c r="O113" s="6">
        <v>-1</v>
      </c>
    </row>
    <row r="114" spans="1:15" x14ac:dyDescent="0.25">
      <c r="A114" s="7">
        <v>46213</v>
      </c>
      <c r="B114" s="6">
        <v>0</v>
      </c>
      <c r="C114" s="6">
        <v>31</v>
      </c>
      <c r="D114" s="6">
        <v>0</v>
      </c>
      <c r="F114" s="6">
        <v>0</v>
      </c>
      <c r="G114" s="6">
        <v>0</v>
      </c>
      <c r="H114" s="6">
        <v>31</v>
      </c>
      <c r="J114" s="8">
        <v>0.93939393939393945</v>
      </c>
      <c r="K114" s="8">
        <v>0.36363636363636359</v>
      </c>
      <c r="L114" s="6">
        <v>-1</v>
      </c>
      <c r="M114" s="8">
        <v>0.93939393939393945</v>
      </c>
      <c r="N114" s="8">
        <v>3.03030303030303E-2</v>
      </c>
      <c r="O114" s="6">
        <v>-1</v>
      </c>
    </row>
    <row r="115" spans="1:15" x14ac:dyDescent="0.25">
      <c r="A115" s="7">
        <v>46214</v>
      </c>
      <c r="B115" s="6">
        <v>0</v>
      </c>
      <c r="C115" s="6">
        <v>31</v>
      </c>
      <c r="D115" s="6">
        <v>0</v>
      </c>
      <c r="F115" s="6">
        <v>0</v>
      </c>
      <c r="G115" s="6">
        <v>0</v>
      </c>
      <c r="H115" s="6">
        <v>31</v>
      </c>
      <c r="J115" s="8">
        <v>0.93939393939393945</v>
      </c>
      <c r="K115" s="8">
        <v>0.36363636363636359</v>
      </c>
      <c r="L115" s="6">
        <v>-1</v>
      </c>
      <c r="M115" s="8">
        <v>0.93939393939393945</v>
      </c>
      <c r="N115" s="8">
        <v>3.03030303030303E-2</v>
      </c>
      <c r="O115" s="6">
        <v>-1</v>
      </c>
    </row>
    <row r="116" spans="1:15" x14ac:dyDescent="0.25">
      <c r="A116" s="7">
        <v>46215</v>
      </c>
      <c r="B116" s="6">
        <v>0</v>
      </c>
      <c r="C116" s="6">
        <v>31</v>
      </c>
      <c r="D116" s="6">
        <v>0</v>
      </c>
      <c r="F116" s="6">
        <v>0</v>
      </c>
      <c r="G116" s="6">
        <v>0</v>
      </c>
      <c r="H116" s="6">
        <v>31</v>
      </c>
      <c r="J116" s="8">
        <v>0.93939393939393945</v>
      </c>
      <c r="K116" s="8">
        <v>0.36363636363636359</v>
      </c>
      <c r="L116" s="6">
        <v>-1</v>
      </c>
      <c r="M116" s="8">
        <v>0.93939393939393945</v>
      </c>
      <c r="N116" s="8">
        <v>3.03030303030303E-2</v>
      </c>
      <c r="O116" s="6">
        <v>-1</v>
      </c>
    </row>
    <row r="117" spans="1:15" x14ac:dyDescent="0.25">
      <c r="A117" s="7">
        <v>46216</v>
      </c>
      <c r="B117" s="6">
        <v>0</v>
      </c>
      <c r="C117" s="6">
        <v>31</v>
      </c>
      <c r="D117" s="6">
        <v>0</v>
      </c>
      <c r="F117" s="6">
        <v>0</v>
      </c>
      <c r="G117" s="6">
        <v>0</v>
      </c>
      <c r="H117" s="6">
        <v>31</v>
      </c>
      <c r="J117" s="8">
        <v>0.93939393939393945</v>
      </c>
      <c r="K117" s="8">
        <v>0.36363636363636359</v>
      </c>
      <c r="L117" s="6">
        <v>-1</v>
      </c>
      <c r="M117" s="8">
        <v>0.93939393939393945</v>
      </c>
      <c r="N117" s="8">
        <v>3.03030303030303E-2</v>
      </c>
      <c r="O117" s="6">
        <v>-1</v>
      </c>
    </row>
    <row r="118" spans="1:15" x14ac:dyDescent="0.25">
      <c r="A118" s="7">
        <v>46217</v>
      </c>
      <c r="B118" s="6">
        <v>0</v>
      </c>
      <c r="C118" s="6">
        <v>31</v>
      </c>
      <c r="D118" s="6">
        <v>0</v>
      </c>
      <c r="F118" s="6">
        <v>0</v>
      </c>
      <c r="G118" s="6">
        <v>0</v>
      </c>
      <c r="H118" s="6">
        <v>31</v>
      </c>
      <c r="J118" s="8">
        <v>0.93939393939393945</v>
      </c>
      <c r="K118" s="8">
        <v>0.36363636363636359</v>
      </c>
      <c r="L118" s="6">
        <v>-1</v>
      </c>
      <c r="M118" s="8">
        <v>0.93939393939393945</v>
      </c>
      <c r="N118" s="8">
        <v>3.03030303030303E-2</v>
      </c>
      <c r="O118" s="6">
        <v>-1</v>
      </c>
    </row>
    <row r="119" spans="1:15" x14ac:dyDescent="0.25">
      <c r="A119" s="7">
        <v>46218</v>
      </c>
      <c r="B119" s="6">
        <v>0</v>
      </c>
      <c r="C119" s="6">
        <v>31</v>
      </c>
      <c r="D119" s="6">
        <v>0</v>
      </c>
      <c r="F119" s="6">
        <v>0</v>
      </c>
      <c r="G119" s="6">
        <v>0</v>
      </c>
      <c r="H119" s="6">
        <v>31</v>
      </c>
      <c r="J119" s="8">
        <v>0.93939393939393945</v>
      </c>
      <c r="K119" s="8">
        <v>0.36363636363636359</v>
      </c>
      <c r="L119" s="6">
        <v>-1</v>
      </c>
      <c r="M119" s="8">
        <v>0.93939393939393945</v>
      </c>
      <c r="N119" s="8">
        <v>3.03030303030303E-2</v>
      </c>
      <c r="O119" s="6">
        <v>-1</v>
      </c>
    </row>
    <row r="120" spans="1:15" x14ac:dyDescent="0.25">
      <c r="A120" s="7">
        <v>46219</v>
      </c>
      <c r="B120" s="6">
        <v>0</v>
      </c>
      <c r="C120" s="6">
        <v>31</v>
      </c>
      <c r="D120" s="6">
        <v>0</v>
      </c>
      <c r="F120" s="6">
        <v>0</v>
      </c>
      <c r="G120" s="6">
        <v>0</v>
      </c>
      <c r="H120" s="6">
        <v>31</v>
      </c>
      <c r="J120" s="8">
        <v>0.93939393939393945</v>
      </c>
      <c r="K120" s="8">
        <v>0.36363636363636359</v>
      </c>
      <c r="L120" s="6">
        <v>-1</v>
      </c>
      <c r="M120" s="8">
        <v>0.93939393939393945</v>
      </c>
      <c r="N120" s="8">
        <v>3.03030303030303E-2</v>
      </c>
      <c r="O120" s="6">
        <v>-1</v>
      </c>
    </row>
    <row r="121" spans="1:15" x14ac:dyDescent="0.25">
      <c r="A121" s="7">
        <v>46220</v>
      </c>
      <c r="B121" s="6">
        <v>0</v>
      </c>
      <c r="C121" s="6">
        <v>31</v>
      </c>
      <c r="D121" s="6">
        <v>0</v>
      </c>
      <c r="F121" s="6">
        <v>0</v>
      </c>
      <c r="G121" s="6">
        <v>0</v>
      </c>
      <c r="H121" s="6">
        <v>31</v>
      </c>
      <c r="J121" s="8">
        <v>0.93939393939393945</v>
      </c>
      <c r="K121" s="8">
        <v>0.36363636363636359</v>
      </c>
      <c r="L121" s="6">
        <v>-1</v>
      </c>
      <c r="M121" s="8">
        <v>0.93939393939393945</v>
      </c>
      <c r="N121" s="8">
        <v>3.03030303030303E-2</v>
      </c>
      <c r="O121" s="6">
        <v>-1</v>
      </c>
    </row>
    <row r="122" spans="1:15" x14ac:dyDescent="0.25">
      <c r="A122" s="7">
        <v>46221</v>
      </c>
      <c r="B122" s="6">
        <v>0</v>
      </c>
      <c r="C122" s="6">
        <v>31</v>
      </c>
      <c r="D122" s="6">
        <v>0</v>
      </c>
      <c r="F122" s="6">
        <v>0</v>
      </c>
      <c r="G122" s="6">
        <v>0</v>
      </c>
      <c r="H122" s="6">
        <v>31</v>
      </c>
      <c r="J122" s="8">
        <v>0.93939393939393945</v>
      </c>
      <c r="K122" s="8">
        <v>0.36363636363636359</v>
      </c>
      <c r="L122" s="6">
        <v>-1</v>
      </c>
      <c r="M122" s="8">
        <v>0.93939393939393945</v>
      </c>
      <c r="N122" s="8">
        <v>3.03030303030303E-2</v>
      </c>
      <c r="O122" s="6">
        <v>-1</v>
      </c>
    </row>
    <row r="123" spans="1:15" x14ac:dyDescent="0.25">
      <c r="A123" s="7">
        <v>46222</v>
      </c>
      <c r="B123" s="6">
        <v>0</v>
      </c>
      <c r="C123" s="6">
        <v>31</v>
      </c>
      <c r="D123" s="6">
        <v>0</v>
      </c>
      <c r="F123" s="6">
        <v>0</v>
      </c>
      <c r="G123" s="6">
        <v>0</v>
      </c>
      <c r="H123" s="6">
        <v>31</v>
      </c>
      <c r="J123" s="8">
        <v>0.93939393939393945</v>
      </c>
      <c r="K123" s="8">
        <v>0.36363636363636359</v>
      </c>
      <c r="L123" s="6">
        <v>-1</v>
      </c>
      <c r="M123" s="8">
        <v>0.93939393939393945</v>
      </c>
      <c r="N123" s="8">
        <v>3.03030303030303E-2</v>
      </c>
      <c r="O123" s="6">
        <v>-1</v>
      </c>
    </row>
    <row r="124" spans="1:15" x14ac:dyDescent="0.25">
      <c r="A124" s="7">
        <v>46223</v>
      </c>
      <c r="B124" s="6">
        <v>0</v>
      </c>
      <c r="C124" s="6">
        <v>31</v>
      </c>
      <c r="D124" s="6">
        <v>0</v>
      </c>
      <c r="F124" s="6">
        <v>0</v>
      </c>
      <c r="G124" s="6">
        <v>0</v>
      </c>
      <c r="H124" s="6">
        <v>31</v>
      </c>
      <c r="J124" s="8">
        <v>0.93939393939393945</v>
      </c>
      <c r="K124" s="8">
        <v>0.36363636363636359</v>
      </c>
      <c r="L124" s="6">
        <v>-1</v>
      </c>
      <c r="M124" s="8">
        <v>0.93939393939393945</v>
      </c>
      <c r="N124" s="8">
        <v>3.03030303030303E-2</v>
      </c>
      <c r="O124" s="6">
        <v>-1</v>
      </c>
    </row>
    <row r="125" spans="1:15" x14ac:dyDescent="0.25">
      <c r="A125" s="7">
        <v>46224</v>
      </c>
      <c r="B125" s="6">
        <v>0</v>
      </c>
      <c r="C125" s="6">
        <v>31</v>
      </c>
      <c r="D125" s="6">
        <v>0</v>
      </c>
      <c r="F125" s="6">
        <v>0</v>
      </c>
      <c r="G125" s="6">
        <v>0</v>
      </c>
      <c r="H125" s="6">
        <v>31</v>
      </c>
      <c r="J125" s="8">
        <v>0.93939393939393945</v>
      </c>
      <c r="K125" s="8">
        <v>0.36363636363636359</v>
      </c>
      <c r="L125" s="6">
        <v>-1</v>
      </c>
      <c r="M125" s="8">
        <v>0.93939393939393945</v>
      </c>
      <c r="N125" s="8">
        <v>3.03030303030303E-2</v>
      </c>
      <c r="O125" s="6">
        <v>-1</v>
      </c>
    </row>
    <row r="126" spans="1:15" x14ac:dyDescent="0.25">
      <c r="A126" s="7">
        <v>46225</v>
      </c>
      <c r="B126" s="6">
        <v>1</v>
      </c>
      <c r="C126" s="6">
        <v>32</v>
      </c>
      <c r="D126" s="6">
        <v>0</v>
      </c>
      <c r="F126" s="6">
        <v>0</v>
      </c>
      <c r="G126" s="6">
        <v>0</v>
      </c>
      <c r="H126" s="6">
        <v>31</v>
      </c>
      <c r="J126" s="8">
        <v>0.96969696969696972</v>
      </c>
      <c r="K126" s="8">
        <v>0.36363636363636359</v>
      </c>
      <c r="L126" s="6">
        <v>-1</v>
      </c>
      <c r="M126" s="8">
        <v>0.93939393939393945</v>
      </c>
      <c r="N126" s="8">
        <v>3.03030303030303E-2</v>
      </c>
      <c r="O126" s="6">
        <v>-1</v>
      </c>
    </row>
    <row r="127" spans="1:15" x14ac:dyDescent="0.25">
      <c r="A127" s="7">
        <v>46226</v>
      </c>
      <c r="B127" s="6">
        <v>0</v>
      </c>
      <c r="C127" s="6">
        <v>32</v>
      </c>
      <c r="D127" s="6">
        <v>0</v>
      </c>
      <c r="F127" s="6">
        <v>0</v>
      </c>
      <c r="G127" s="6">
        <v>0</v>
      </c>
      <c r="H127" s="6">
        <v>31</v>
      </c>
      <c r="J127" s="8">
        <v>0.96969696969696972</v>
      </c>
      <c r="K127" s="8">
        <v>0.36363636363636359</v>
      </c>
      <c r="L127" s="6">
        <v>-1</v>
      </c>
      <c r="M127" s="8">
        <v>0.93939393939393945</v>
      </c>
      <c r="N127" s="8">
        <v>3.03030303030303E-2</v>
      </c>
      <c r="O127" s="6">
        <v>-1</v>
      </c>
    </row>
    <row r="128" spans="1:15" x14ac:dyDescent="0.25">
      <c r="A128" s="7">
        <v>46227</v>
      </c>
      <c r="B128" s="6">
        <v>0</v>
      </c>
      <c r="C128" s="6">
        <v>32</v>
      </c>
      <c r="D128" s="6">
        <v>0</v>
      </c>
      <c r="F128" s="6">
        <v>0</v>
      </c>
      <c r="G128" s="6">
        <v>0</v>
      </c>
      <c r="H128" s="6">
        <v>31</v>
      </c>
      <c r="J128" s="8">
        <v>0.96969696969696972</v>
      </c>
      <c r="K128" s="8">
        <v>0.36363636363636359</v>
      </c>
      <c r="L128" s="6">
        <v>-1</v>
      </c>
      <c r="M128" s="8">
        <v>0.93939393939393945</v>
      </c>
      <c r="N128" s="8">
        <v>3.03030303030303E-2</v>
      </c>
      <c r="O128" s="6">
        <v>-1</v>
      </c>
    </row>
    <row r="129" spans="1:15" x14ac:dyDescent="0.25">
      <c r="A129" s="7">
        <v>46228</v>
      </c>
      <c r="B129" s="6">
        <v>0</v>
      </c>
      <c r="C129" s="6">
        <v>32</v>
      </c>
      <c r="D129" s="6">
        <v>0</v>
      </c>
      <c r="F129" s="6">
        <v>0</v>
      </c>
      <c r="G129" s="6">
        <v>0</v>
      </c>
      <c r="H129" s="6">
        <v>31</v>
      </c>
      <c r="J129" s="8">
        <v>0.96969696969696972</v>
      </c>
      <c r="K129" s="8">
        <v>0.36363636363636359</v>
      </c>
      <c r="L129" s="6">
        <v>-1</v>
      </c>
      <c r="M129" s="8">
        <v>0.93939393939393945</v>
      </c>
      <c r="N129" s="8">
        <v>3.03030303030303E-2</v>
      </c>
      <c r="O129" s="6">
        <v>-1</v>
      </c>
    </row>
    <row r="130" spans="1:15" x14ac:dyDescent="0.25">
      <c r="A130" s="7">
        <v>46229</v>
      </c>
      <c r="B130" s="6">
        <v>0</v>
      </c>
      <c r="C130" s="6">
        <v>32</v>
      </c>
      <c r="D130" s="6">
        <v>0</v>
      </c>
      <c r="F130" s="6">
        <v>0</v>
      </c>
      <c r="G130" s="6">
        <v>0</v>
      </c>
      <c r="H130" s="6">
        <v>31</v>
      </c>
      <c r="J130" s="8">
        <v>0.96969696969696972</v>
      </c>
      <c r="K130" s="8">
        <v>0.36363636363636359</v>
      </c>
      <c r="L130" s="6">
        <v>-1</v>
      </c>
      <c r="M130" s="8">
        <v>0.93939393939393945</v>
      </c>
      <c r="N130" s="8">
        <v>3.03030303030303E-2</v>
      </c>
      <c r="O130" s="6">
        <v>-1</v>
      </c>
    </row>
    <row r="131" spans="1:15" x14ac:dyDescent="0.25">
      <c r="A131" s="7">
        <v>46230</v>
      </c>
      <c r="B131" s="6">
        <v>0</v>
      </c>
      <c r="C131" s="6">
        <v>32</v>
      </c>
      <c r="D131" s="6">
        <v>0</v>
      </c>
      <c r="F131" s="6">
        <v>0</v>
      </c>
      <c r="G131" s="6">
        <v>0</v>
      </c>
      <c r="H131" s="6">
        <v>31</v>
      </c>
      <c r="J131" s="8">
        <v>0.96969696969696972</v>
      </c>
      <c r="K131" s="8">
        <v>0.36363636363636359</v>
      </c>
      <c r="L131" s="6">
        <v>-1</v>
      </c>
      <c r="M131" s="8">
        <v>0.93939393939393945</v>
      </c>
      <c r="N131" s="8">
        <v>3.03030303030303E-2</v>
      </c>
      <c r="O131" s="6">
        <v>-1</v>
      </c>
    </row>
    <row r="132" spans="1:15" x14ac:dyDescent="0.25">
      <c r="A132" s="7">
        <v>46231</v>
      </c>
      <c r="B132" s="6">
        <v>0</v>
      </c>
      <c r="C132" s="6">
        <v>32</v>
      </c>
      <c r="D132" s="6">
        <v>0</v>
      </c>
      <c r="F132" s="6">
        <v>1</v>
      </c>
      <c r="G132" s="6">
        <v>0</v>
      </c>
      <c r="H132" s="6">
        <v>32</v>
      </c>
      <c r="J132" s="8">
        <v>0.96969696969696972</v>
      </c>
      <c r="K132" s="8">
        <v>0.36363636363636359</v>
      </c>
      <c r="L132" s="6">
        <v>-1</v>
      </c>
      <c r="M132" s="8">
        <v>0.96969696969696972</v>
      </c>
      <c r="N132" s="8">
        <v>3.03030303030303E-2</v>
      </c>
      <c r="O132" s="6">
        <v>-1</v>
      </c>
    </row>
    <row r="133" spans="1:15" x14ac:dyDescent="0.25">
      <c r="A133" s="7">
        <v>46232</v>
      </c>
      <c r="B133" s="6">
        <v>0</v>
      </c>
      <c r="C133" s="6">
        <v>32</v>
      </c>
      <c r="D133" s="6">
        <v>0</v>
      </c>
      <c r="F133" s="6">
        <v>0</v>
      </c>
      <c r="G133" s="6">
        <v>0</v>
      </c>
      <c r="H133" s="6">
        <v>32</v>
      </c>
      <c r="J133" s="8">
        <v>0.96969696969696972</v>
      </c>
      <c r="K133" s="8">
        <v>0.36363636363636359</v>
      </c>
      <c r="L133" s="6">
        <v>-1</v>
      </c>
      <c r="M133" s="8">
        <v>0.96969696969696972</v>
      </c>
      <c r="N133" s="8">
        <v>3.03030303030303E-2</v>
      </c>
      <c r="O133" s="6">
        <v>-1</v>
      </c>
    </row>
    <row r="134" spans="1:15" x14ac:dyDescent="0.25">
      <c r="A134" s="7">
        <v>46233</v>
      </c>
      <c r="B134" s="6">
        <v>0</v>
      </c>
      <c r="C134" s="6">
        <v>32</v>
      </c>
      <c r="D134" s="6">
        <v>0</v>
      </c>
      <c r="F134" s="6">
        <v>0</v>
      </c>
      <c r="G134" s="6">
        <v>0</v>
      </c>
      <c r="H134" s="6">
        <v>32</v>
      </c>
      <c r="J134" s="8">
        <v>0.96969696969696972</v>
      </c>
      <c r="K134" s="8">
        <v>0.36363636363636359</v>
      </c>
      <c r="L134" s="6">
        <v>-1</v>
      </c>
      <c r="M134" s="8">
        <v>0.96969696969696972</v>
      </c>
      <c r="N134" s="8">
        <v>3.03030303030303E-2</v>
      </c>
      <c r="O134" s="6">
        <v>-1</v>
      </c>
    </row>
    <row r="135" spans="1:15" x14ac:dyDescent="0.25">
      <c r="A135" s="7">
        <v>46234</v>
      </c>
      <c r="B135" s="6">
        <v>0</v>
      </c>
      <c r="C135" s="6">
        <v>32</v>
      </c>
      <c r="D135" s="6">
        <v>0</v>
      </c>
      <c r="F135" s="6">
        <v>0</v>
      </c>
      <c r="G135" s="6">
        <v>0</v>
      </c>
      <c r="H135" s="6">
        <v>32</v>
      </c>
      <c r="J135" s="8">
        <v>0.96969696969696972</v>
      </c>
      <c r="K135" s="8">
        <v>0.36363636363636359</v>
      </c>
      <c r="L135" s="6">
        <v>-1</v>
      </c>
      <c r="M135" s="8">
        <v>0.96969696969696972</v>
      </c>
      <c r="N135" s="8">
        <v>3.03030303030303E-2</v>
      </c>
      <c r="O135" s="6">
        <v>-1</v>
      </c>
    </row>
    <row r="136" spans="1:15" x14ac:dyDescent="0.25">
      <c r="A136" s="7">
        <v>46235</v>
      </c>
      <c r="B136" s="6">
        <v>0</v>
      </c>
      <c r="C136" s="6">
        <v>32</v>
      </c>
      <c r="D136" s="6">
        <v>0</v>
      </c>
      <c r="F136" s="6">
        <v>0</v>
      </c>
      <c r="G136" s="6">
        <v>0</v>
      </c>
      <c r="H136" s="6">
        <v>32</v>
      </c>
      <c r="J136" s="8">
        <v>0.96969696969696972</v>
      </c>
      <c r="K136" s="8">
        <v>0.36363636363636359</v>
      </c>
      <c r="L136" s="6">
        <v>-1</v>
      </c>
      <c r="M136" s="8">
        <v>0.96969696969696972</v>
      </c>
      <c r="N136" s="8">
        <v>3.03030303030303E-2</v>
      </c>
      <c r="O136" s="6">
        <v>-1</v>
      </c>
    </row>
    <row r="137" spans="1:15" x14ac:dyDescent="0.25">
      <c r="A137" s="7">
        <v>46236</v>
      </c>
      <c r="B137" s="6">
        <v>0</v>
      </c>
      <c r="C137" s="6">
        <v>32</v>
      </c>
      <c r="D137" s="6">
        <v>0</v>
      </c>
      <c r="F137" s="6">
        <v>0</v>
      </c>
      <c r="G137" s="6">
        <v>0</v>
      </c>
      <c r="H137" s="6">
        <v>32</v>
      </c>
      <c r="J137" s="8">
        <v>0.96969696969696972</v>
      </c>
      <c r="K137" s="8">
        <v>0.36363636363636359</v>
      </c>
      <c r="L137" s="6">
        <v>-1</v>
      </c>
      <c r="M137" s="8">
        <v>0.96969696969696972</v>
      </c>
      <c r="N137" s="8">
        <v>3.03030303030303E-2</v>
      </c>
      <c r="O137" s="6">
        <v>-1</v>
      </c>
    </row>
    <row r="138" spans="1:15" x14ac:dyDescent="0.25">
      <c r="A138" s="7">
        <v>46237</v>
      </c>
      <c r="B138" s="6">
        <v>0</v>
      </c>
      <c r="C138" s="6">
        <v>32</v>
      </c>
      <c r="D138" s="6">
        <v>0</v>
      </c>
      <c r="F138" s="6">
        <v>0</v>
      </c>
      <c r="G138" s="6">
        <v>0</v>
      </c>
      <c r="H138" s="6">
        <v>32</v>
      </c>
      <c r="J138" s="8">
        <v>0.96969696969696972</v>
      </c>
      <c r="K138" s="8">
        <v>0.36363636363636359</v>
      </c>
      <c r="L138" s="6">
        <v>-1</v>
      </c>
      <c r="M138" s="8">
        <v>0.96969696969696972</v>
      </c>
      <c r="N138" s="8">
        <v>3.03030303030303E-2</v>
      </c>
      <c r="O138" s="6">
        <v>-1</v>
      </c>
    </row>
    <row r="139" spans="1:15" x14ac:dyDescent="0.25">
      <c r="A139" s="7">
        <v>46238</v>
      </c>
      <c r="B139" s="6">
        <v>0</v>
      </c>
      <c r="C139" s="6">
        <v>32</v>
      </c>
      <c r="D139" s="6">
        <v>0</v>
      </c>
      <c r="F139" s="6">
        <v>0</v>
      </c>
      <c r="G139" s="6">
        <v>0</v>
      </c>
      <c r="H139" s="6">
        <v>32</v>
      </c>
      <c r="J139" s="8">
        <v>0.96969696969696972</v>
      </c>
      <c r="K139" s="8">
        <v>0.36363636363636359</v>
      </c>
      <c r="L139" s="6">
        <v>-1</v>
      </c>
      <c r="M139" s="8">
        <v>0.96969696969696972</v>
      </c>
      <c r="N139" s="8">
        <v>3.03030303030303E-2</v>
      </c>
      <c r="O139" s="6">
        <v>-1</v>
      </c>
    </row>
    <row r="140" spans="1:15" x14ac:dyDescent="0.25">
      <c r="A140" s="7">
        <v>46239</v>
      </c>
      <c r="B140" s="6">
        <v>0</v>
      </c>
      <c r="C140" s="6">
        <v>32</v>
      </c>
      <c r="D140" s="6">
        <v>0</v>
      </c>
      <c r="F140" s="6">
        <v>0</v>
      </c>
      <c r="G140" s="6">
        <v>0</v>
      </c>
      <c r="H140" s="6">
        <v>32</v>
      </c>
      <c r="J140" s="8">
        <v>0.96969696969696972</v>
      </c>
      <c r="K140" s="8">
        <v>0.36363636363636359</v>
      </c>
      <c r="L140" s="6">
        <v>-1</v>
      </c>
      <c r="M140" s="8">
        <v>0.96969696969696972</v>
      </c>
      <c r="N140" s="8">
        <v>3.03030303030303E-2</v>
      </c>
      <c r="O140" s="6">
        <v>-1</v>
      </c>
    </row>
    <row r="141" spans="1:15" x14ac:dyDescent="0.25">
      <c r="A141" s="7">
        <v>46240</v>
      </c>
      <c r="B141" s="6">
        <v>0</v>
      </c>
      <c r="C141" s="6">
        <v>32</v>
      </c>
      <c r="D141" s="6">
        <v>0</v>
      </c>
      <c r="F141" s="6">
        <v>0</v>
      </c>
      <c r="G141" s="6">
        <v>0</v>
      </c>
      <c r="H141" s="6">
        <v>32</v>
      </c>
      <c r="J141" s="8">
        <v>0.96969696969696972</v>
      </c>
      <c r="K141" s="8">
        <v>0.36363636363636359</v>
      </c>
      <c r="L141" s="6">
        <v>-1</v>
      </c>
      <c r="M141" s="8">
        <v>0.96969696969696972</v>
      </c>
      <c r="N141" s="8">
        <v>3.03030303030303E-2</v>
      </c>
      <c r="O141" s="6">
        <v>-1</v>
      </c>
    </row>
    <row r="142" spans="1:15" x14ac:dyDescent="0.25">
      <c r="A142" s="7">
        <v>46241</v>
      </c>
      <c r="B142" s="6">
        <v>0</v>
      </c>
      <c r="C142" s="6">
        <v>32</v>
      </c>
      <c r="D142" s="6">
        <v>0</v>
      </c>
      <c r="F142" s="6">
        <v>0</v>
      </c>
      <c r="G142" s="6">
        <v>0</v>
      </c>
      <c r="H142" s="6">
        <v>32</v>
      </c>
      <c r="J142" s="8">
        <v>0.96969696969696972</v>
      </c>
      <c r="K142" s="8">
        <v>0.36363636363636359</v>
      </c>
      <c r="L142" s="6">
        <v>-1</v>
      </c>
      <c r="M142" s="8">
        <v>0.96969696969696972</v>
      </c>
      <c r="N142" s="8">
        <v>3.03030303030303E-2</v>
      </c>
      <c r="O142" s="6">
        <v>-1</v>
      </c>
    </row>
    <row r="143" spans="1:15" x14ac:dyDescent="0.25">
      <c r="A143" s="7">
        <v>46242</v>
      </c>
      <c r="B143" s="6">
        <v>0</v>
      </c>
      <c r="C143" s="6">
        <v>32</v>
      </c>
      <c r="D143" s="6">
        <v>0</v>
      </c>
      <c r="F143" s="6">
        <v>0</v>
      </c>
      <c r="G143" s="6">
        <v>0</v>
      </c>
      <c r="H143" s="6">
        <v>32</v>
      </c>
      <c r="J143" s="8">
        <v>0.96969696969696972</v>
      </c>
      <c r="K143" s="8">
        <v>0.36363636363636359</v>
      </c>
      <c r="L143" s="6">
        <v>-1</v>
      </c>
      <c r="M143" s="8">
        <v>0.96969696969696972</v>
      </c>
      <c r="N143" s="8">
        <v>3.03030303030303E-2</v>
      </c>
      <c r="O143" s="6">
        <v>-1</v>
      </c>
    </row>
    <row r="144" spans="1:15" x14ac:dyDescent="0.25">
      <c r="A144" s="7">
        <v>46243</v>
      </c>
      <c r="B144" s="6">
        <v>0</v>
      </c>
      <c r="C144" s="6">
        <v>32</v>
      </c>
      <c r="D144" s="6">
        <v>0</v>
      </c>
      <c r="F144" s="6">
        <v>0</v>
      </c>
      <c r="G144" s="6">
        <v>0</v>
      </c>
      <c r="H144" s="6">
        <v>32</v>
      </c>
      <c r="J144" s="8">
        <v>0.96969696969696972</v>
      </c>
      <c r="K144" s="8">
        <v>0.36363636363636359</v>
      </c>
      <c r="L144" s="6">
        <v>-1</v>
      </c>
      <c r="M144" s="8">
        <v>0.96969696969696972</v>
      </c>
      <c r="N144" s="8">
        <v>3.03030303030303E-2</v>
      </c>
      <c r="O144" s="6">
        <v>-1</v>
      </c>
    </row>
    <row r="145" spans="1:15" x14ac:dyDescent="0.25">
      <c r="A145" s="7">
        <v>46244</v>
      </c>
      <c r="B145" s="6">
        <v>0</v>
      </c>
      <c r="C145" s="6">
        <v>32</v>
      </c>
      <c r="D145" s="6">
        <v>0</v>
      </c>
      <c r="F145" s="6">
        <v>0</v>
      </c>
      <c r="G145" s="6">
        <v>0</v>
      </c>
      <c r="H145" s="6">
        <v>32</v>
      </c>
      <c r="J145" s="8">
        <v>0.96969696969696972</v>
      </c>
      <c r="K145" s="8">
        <v>0.36363636363636359</v>
      </c>
      <c r="L145" s="6">
        <v>-1</v>
      </c>
      <c r="M145" s="8">
        <v>0.96969696969696972</v>
      </c>
      <c r="N145" s="8">
        <v>3.03030303030303E-2</v>
      </c>
      <c r="O145" s="6">
        <v>-1</v>
      </c>
    </row>
    <row r="146" spans="1:15" x14ac:dyDescent="0.25">
      <c r="A146" s="7">
        <v>46245</v>
      </c>
      <c r="B146" s="6">
        <v>0</v>
      </c>
      <c r="C146" s="6">
        <v>32</v>
      </c>
      <c r="D146" s="6">
        <v>0</v>
      </c>
      <c r="F146" s="6">
        <v>0</v>
      </c>
      <c r="G146" s="6">
        <v>0</v>
      </c>
      <c r="H146" s="6">
        <v>32</v>
      </c>
      <c r="J146" s="8">
        <v>0.96969696969696972</v>
      </c>
      <c r="K146" s="8">
        <v>0.36363636363636359</v>
      </c>
      <c r="L146" s="6">
        <v>-1</v>
      </c>
      <c r="M146" s="8">
        <v>0.96969696969696972</v>
      </c>
      <c r="N146" s="8">
        <v>3.03030303030303E-2</v>
      </c>
      <c r="O146" s="6">
        <v>-1</v>
      </c>
    </row>
    <row r="147" spans="1:15" x14ac:dyDescent="0.25">
      <c r="A147" s="7">
        <v>46246</v>
      </c>
      <c r="B147" s="6">
        <v>0</v>
      </c>
      <c r="C147" s="6">
        <v>32</v>
      </c>
      <c r="D147" s="6">
        <v>0</v>
      </c>
      <c r="F147" s="6">
        <v>0</v>
      </c>
      <c r="G147" s="6">
        <v>0</v>
      </c>
      <c r="H147" s="6">
        <v>32</v>
      </c>
      <c r="J147" s="8">
        <v>0.96969696969696972</v>
      </c>
      <c r="K147" s="8">
        <v>0.36363636363636359</v>
      </c>
      <c r="L147" s="6">
        <v>-1</v>
      </c>
      <c r="M147" s="8">
        <v>0.96969696969696972</v>
      </c>
      <c r="N147" s="8">
        <v>3.03030303030303E-2</v>
      </c>
      <c r="O147" s="6">
        <v>-1</v>
      </c>
    </row>
    <row r="148" spans="1:15" x14ac:dyDescent="0.25">
      <c r="A148" s="7">
        <v>46247</v>
      </c>
      <c r="B148" s="6">
        <v>0</v>
      </c>
      <c r="C148" s="6">
        <v>32</v>
      </c>
      <c r="D148" s="6">
        <v>0</v>
      </c>
      <c r="F148" s="6">
        <v>0</v>
      </c>
      <c r="G148" s="6">
        <v>0</v>
      </c>
      <c r="H148" s="6">
        <v>32</v>
      </c>
      <c r="J148" s="8">
        <v>0.96969696969696972</v>
      </c>
      <c r="K148" s="8">
        <v>0.36363636363636359</v>
      </c>
      <c r="L148" s="6">
        <v>-1</v>
      </c>
      <c r="M148" s="8">
        <v>0.96969696969696972</v>
      </c>
      <c r="N148" s="8">
        <v>3.03030303030303E-2</v>
      </c>
      <c r="O148" s="6">
        <v>-1</v>
      </c>
    </row>
    <row r="149" spans="1:15" x14ac:dyDescent="0.25">
      <c r="A149" s="7">
        <v>46248</v>
      </c>
      <c r="B149" s="6">
        <v>0</v>
      </c>
      <c r="C149" s="6">
        <v>32</v>
      </c>
      <c r="D149" s="6">
        <v>0</v>
      </c>
      <c r="F149" s="6">
        <v>0</v>
      </c>
      <c r="G149" s="6">
        <v>0</v>
      </c>
      <c r="H149" s="6">
        <v>32</v>
      </c>
      <c r="J149" s="8">
        <v>0.96969696969696972</v>
      </c>
      <c r="K149" s="8">
        <v>0.36363636363636359</v>
      </c>
      <c r="L149" s="6">
        <v>-1</v>
      </c>
      <c r="M149" s="8">
        <v>0.96969696969696972</v>
      </c>
      <c r="N149" s="8">
        <v>3.03030303030303E-2</v>
      </c>
      <c r="O149" s="6">
        <v>-1</v>
      </c>
    </row>
    <row r="150" spans="1:15" x14ac:dyDescent="0.25">
      <c r="A150" s="7">
        <v>46249</v>
      </c>
      <c r="B150" s="6">
        <v>0</v>
      </c>
      <c r="C150" s="6">
        <v>32</v>
      </c>
      <c r="D150" s="6">
        <v>0</v>
      </c>
      <c r="F150" s="6">
        <v>0</v>
      </c>
      <c r="G150" s="6">
        <v>0</v>
      </c>
      <c r="H150" s="6">
        <v>32</v>
      </c>
      <c r="J150" s="8">
        <v>0.96969696969696972</v>
      </c>
      <c r="K150" s="8">
        <v>0.36363636363636359</v>
      </c>
      <c r="L150" s="6">
        <v>-1</v>
      </c>
      <c r="M150" s="8">
        <v>0.96969696969696972</v>
      </c>
      <c r="N150" s="8">
        <v>3.03030303030303E-2</v>
      </c>
      <c r="O150" s="6">
        <v>-1</v>
      </c>
    </row>
    <row r="151" spans="1:15" x14ac:dyDescent="0.25">
      <c r="A151" s="7">
        <v>46250</v>
      </c>
      <c r="B151" s="6">
        <v>0</v>
      </c>
      <c r="C151" s="6">
        <v>32</v>
      </c>
      <c r="D151" s="6">
        <v>0</v>
      </c>
      <c r="F151" s="6">
        <v>0</v>
      </c>
      <c r="G151" s="6">
        <v>0</v>
      </c>
      <c r="H151" s="6">
        <v>32</v>
      </c>
      <c r="J151" s="8">
        <v>0.96969696969696972</v>
      </c>
      <c r="K151" s="8">
        <v>0.36363636363636359</v>
      </c>
      <c r="L151" s="6">
        <v>-1</v>
      </c>
      <c r="M151" s="8">
        <v>0.96969696969696972</v>
      </c>
      <c r="N151" s="8">
        <v>3.03030303030303E-2</v>
      </c>
      <c r="O151" s="6">
        <v>-1</v>
      </c>
    </row>
    <row r="152" spans="1:15" x14ac:dyDescent="0.25">
      <c r="A152" s="7">
        <v>46251</v>
      </c>
      <c r="B152" s="6">
        <v>0</v>
      </c>
      <c r="C152" s="6">
        <v>32</v>
      </c>
      <c r="D152" s="6">
        <v>0</v>
      </c>
      <c r="F152" s="6">
        <v>0</v>
      </c>
      <c r="G152" s="6">
        <v>0</v>
      </c>
      <c r="H152" s="6">
        <v>32</v>
      </c>
      <c r="J152" s="8">
        <v>0.96969696969696972</v>
      </c>
      <c r="K152" s="8">
        <v>0.36363636363636359</v>
      </c>
      <c r="L152" s="6">
        <v>-1</v>
      </c>
      <c r="M152" s="8">
        <v>0.96969696969696972</v>
      </c>
      <c r="N152" s="8">
        <v>3.03030303030303E-2</v>
      </c>
      <c r="O152" s="6">
        <v>-1</v>
      </c>
    </row>
    <row r="153" spans="1:15" x14ac:dyDescent="0.25">
      <c r="A153" s="7">
        <v>46252</v>
      </c>
      <c r="B153" s="6">
        <v>0</v>
      </c>
      <c r="C153" s="6">
        <v>32</v>
      </c>
      <c r="D153" s="6">
        <v>0</v>
      </c>
      <c r="F153" s="6">
        <v>0</v>
      </c>
      <c r="G153" s="6">
        <v>0</v>
      </c>
      <c r="H153" s="6">
        <v>32</v>
      </c>
      <c r="J153" s="8">
        <v>0.96969696969696972</v>
      </c>
      <c r="K153" s="8">
        <v>0.36363636363636359</v>
      </c>
      <c r="L153" s="6">
        <v>-1</v>
      </c>
      <c r="M153" s="8">
        <v>0.96969696969696972</v>
      </c>
      <c r="N153" s="8">
        <v>3.03030303030303E-2</v>
      </c>
      <c r="O153" s="6">
        <v>-1</v>
      </c>
    </row>
    <row r="154" spans="1:15" x14ac:dyDescent="0.25">
      <c r="A154" s="7">
        <v>46253</v>
      </c>
      <c r="B154" s="6">
        <v>0</v>
      </c>
      <c r="C154" s="6">
        <v>32</v>
      </c>
      <c r="D154" s="6">
        <v>0</v>
      </c>
      <c r="F154" s="6">
        <v>0</v>
      </c>
      <c r="G154" s="6">
        <v>0</v>
      </c>
      <c r="H154" s="6">
        <v>32</v>
      </c>
      <c r="J154" s="8">
        <v>0.96969696969696972</v>
      </c>
      <c r="K154" s="8">
        <v>0.36363636363636359</v>
      </c>
      <c r="L154" s="6">
        <v>-1</v>
      </c>
      <c r="M154" s="8">
        <v>0.96969696969696972</v>
      </c>
      <c r="N154" s="8">
        <v>3.03030303030303E-2</v>
      </c>
      <c r="O154" s="6">
        <v>-1</v>
      </c>
    </row>
    <row r="155" spans="1:15" x14ac:dyDescent="0.25">
      <c r="A155" s="7">
        <v>46254</v>
      </c>
      <c r="B155" s="6">
        <v>0</v>
      </c>
      <c r="C155" s="6">
        <v>32</v>
      </c>
      <c r="D155" s="6">
        <v>0</v>
      </c>
      <c r="F155" s="6">
        <v>0</v>
      </c>
      <c r="G155" s="6">
        <v>0</v>
      </c>
      <c r="H155" s="6">
        <v>32</v>
      </c>
      <c r="J155" s="8">
        <v>0.96969696969696972</v>
      </c>
      <c r="K155" s="8">
        <v>0.36363636363636359</v>
      </c>
      <c r="L155" s="6">
        <v>-1</v>
      </c>
      <c r="M155" s="8">
        <v>0.96969696969696972</v>
      </c>
      <c r="N155" s="8">
        <v>3.03030303030303E-2</v>
      </c>
      <c r="O155" s="6">
        <v>-1</v>
      </c>
    </row>
    <row r="156" spans="1:15" x14ac:dyDescent="0.25">
      <c r="A156" s="7">
        <v>46255</v>
      </c>
      <c r="B156" s="6">
        <v>0</v>
      </c>
      <c r="C156" s="6">
        <v>32</v>
      </c>
      <c r="D156" s="6">
        <v>0</v>
      </c>
      <c r="F156" s="6">
        <v>0</v>
      </c>
      <c r="G156" s="6">
        <v>0</v>
      </c>
      <c r="H156" s="6">
        <v>32</v>
      </c>
      <c r="J156" s="8">
        <v>0.96969696969696972</v>
      </c>
      <c r="K156" s="8">
        <v>0.36363636363636359</v>
      </c>
      <c r="L156" s="6">
        <v>-1</v>
      </c>
      <c r="M156" s="8">
        <v>0.96969696969696972</v>
      </c>
      <c r="N156" s="8">
        <v>3.03030303030303E-2</v>
      </c>
      <c r="O156" s="6">
        <v>-1</v>
      </c>
    </row>
    <row r="157" spans="1:15" x14ac:dyDescent="0.25">
      <c r="A157" s="7">
        <v>46256</v>
      </c>
      <c r="B157" s="6">
        <v>0</v>
      </c>
      <c r="C157" s="6">
        <v>32</v>
      </c>
      <c r="D157" s="6">
        <v>0</v>
      </c>
      <c r="F157" s="6">
        <v>0</v>
      </c>
      <c r="G157" s="6">
        <v>0</v>
      </c>
      <c r="H157" s="6">
        <v>32</v>
      </c>
      <c r="J157" s="8">
        <v>0.96969696969696972</v>
      </c>
      <c r="K157" s="8">
        <v>0.36363636363636359</v>
      </c>
      <c r="L157" s="6">
        <v>-1</v>
      </c>
      <c r="M157" s="8">
        <v>0.96969696969696972</v>
      </c>
      <c r="N157" s="8">
        <v>3.03030303030303E-2</v>
      </c>
      <c r="O157" s="6">
        <v>-1</v>
      </c>
    </row>
    <row r="158" spans="1:15" x14ac:dyDescent="0.25">
      <c r="A158" s="7">
        <v>46257</v>
      </c>
      <c r="B158" s="6">
        <v>0</v>
      </c>
      <c r="C158" s="6">
        <v>32</v>
      </c>
      <c r="D158" s="6">
        <v>0</v>
      </c>
      <c r="F158" s="6">
        <v>0</v>
      </c>
      <c r="G158" s="6">
        <v>0</v>
      </c>
      <c r="H158" s="6">
        <v>32</v>
      </c>
      <c r="J158" s="8">
        <v>0.96969696969696972</v>
      </c>
      <c r="K158" s="8">
        <v>0.36363636363636359</v>
      </c>
      <c r="L158" s="6">
        <v>-1</v>
      </c>
      <c r="M158" s="8">
        <v>0.96969696969696972</v>
      </c>
      <c r="N158" s="8">
        <v>3.03030303030303E-2</v>
      </c>
      <c r="O158" s="6">
        <v>-1</v>
      </c>
    </row>
    <row r="159" spans="1:15" x14ac:dyDescent="0.25">
      <c r="A159" s="7">
        <v>46258</v>
      </c>
      <c r="B159" s="6">
        <v>0</v>
      </c>
      <c r="C159" s="6">
        <v>32</v>
      </c>
      <c r="D159" s="6">
        <v>0</v>
      </c>
      <c r="F159" s="6">
        <v>0</v>
      </c>
      <c r="G159" s="6">
        <v>0</v>
      </c>
      <c r="H159" s="6">
        <v>32</v>
      </c>
      <c r="J159" s="8">
        <v>0.96969696969696972</v>
      </c>
      <c r="K159" s="8">
        <v>0.36363636363636359</v>
      </c>
      <c r="L159" s="6">
        <v>-1</v>
      </c>
      <c r="M159" s="8">
        <v>0.96969696969696972</v>
      </c>
      <c r="N159" s="8">
        <v>3.03030303030303E-2</v>
      </c>
      <c r="O159" s="6">
        <v>-1</v>
      </c>
    </row>
    <row r="160" spans="1:15" x14ac:dyDescent="0.25">
      <c r="A160" s="7">
        <v>46259</v>
      </c>
      <c r="B160" s="6">
        <v>0</v>
      </c>
      <c r="C160" s="6">
        <v>32</v>
      </c>
      <c r="D160" s="6">
        <v>0</v>
      </c>
      <c r="F160" s="6">
        <v>0</v>
      </c>
      <c r="G160" s="6">
        <v>0</v>
      </c>
      <c r="H160" s="6">
        <v>32</v>
      </c>
      <c r="J160" s="8">
        <v>0.96969696969696972</v>
      </c>
      <c r="K160" s="8">
        <v>0.36363636363636359</v>
      </c>
      <c r="L160" s="6">
        <v>-1</v>
      </c>
      <c r="M160" s="8">
        <v>0.96969696969696972</v>
      </c>
      <c r="N160" s="8">
        <v>3.03030303030303E-2</v>
      </c>
      <c r="O160" s="6">
        <v>-1</v>
      </c>
    </row>
    <row r="161" spans="1:15" x14ac:dyDescent="0.25">
      <c r="A161" s="7">
        <v>46260</v>
      </c>
      <c r="B161" s="6">
        <v>0</v>
      </c>
      <c r="C161" s="6">
        <v>32</v>
      </c>
      <c r="D161" s="6">
        <v>0</v>
      </c>
      <c r="F161" s="6">
        <v>0</v>
      </c>
      <c r="G161" s="6">
        <v>0</v>
      </c>
      <c r="H161" s="6">
        <v>32</v>
      </c>
      <c r="J161" s="8">
        <v>0.96969696969696972</v>
      </c>
      <c r="K161" s="8">
        <v>0.36363636363636359</v>
      </c>
      <c r="L161" s="6">
        <v>-1</v>
      </c>
      <c r="M161" s="8">
        <v>0.96969696969696972</v>
      </c>
      <c r="N161" s="8">
        <v>3.03030303030303E-2</v>
      </c>
      <c r="O161" s="6">
        <v>-1</v>
      </c>
    </row>
    <row r="162" spans="1:15" x14ac:dyDescent="0.25">
      <c r="A162" s="7">
        <v>46261</v>
      </c>
      <c r="B162" s="6">
        <v>0</v>
      </c>
      <c r="C162" s="6">
        <v>32</v>
      </c>
      <c r="D162" s="6">
        <v>0</v>
      </c>
      <c r="F162" s="6">
        <v>0</v>
      </c>
      <c r="G162" s="6">
        <v>0</v>
      </c>
      <c r="H162" s="6">
        <v>32</v>
      </c>
      <c r="J162" s="8">
        <v>0.96969696969696972</v>
      </c>
      <c r="K162" s="8">
        <v>0.36363636363636359</v>
      </c>
      <c r="L162" s="6">
        <v>-1</v>
      </c>
      <c r="M162" s="8">
        <v>0.96969696969696972</v>
      </c>
      <c r="N162" s="8">
        <v>3.03030303030303E-2</v>
      </c>
      <c r="O162" s="6">
        <v>-1</v>
      </c>
    </row>
    <row r="163" spans="1:15" x14ac:dyDescent="0.25">
      <c r="A163" s="7">
        <v>46262</v>
      </c>
      <c r="B163" s="6">
        <v>0</v>
      </c>
      <c r="C163" s="6">
        <v>32</v>
      </c>
      <c r="D163" s="6">
        <v>0</v>
      </c>
      <c r="F163" s="6">
        <v>0</v>
      </c>
      <c r="G163" s="6">
        <v>0</v>
      </c>
      <c r="H163" s="6">
        <v>32</v>
      </c>
      <c r="J163" s="8">
        <v>0.96969696969696972</v>
      </c>
      <c r="K163" s="8">
        <v>0.36363636363636359</v>
      </c>
      <c r="L163" s="6">
        <v>-1</v>
      </c>
      <c r="M163" s="8">
        <v>0.96969696969696972</v>
      </c>
      <c r="N163" s="8">
        <v>3.03030303030303E-2</v>
      </c>
      <c r="O163" s="6">
        <v>-1</v>
      </c>
    </row>
    <row r="164" spans="1:15" x14ac:dyDescent="0.25">
      <c r="A164" s="7">
        <v>46263</v>
      </c>
      <c r="B164" s="6">
        <v>0</v>
      </c>
      <c r="C164" s="6">
        <v>32</v>
      </c>
      <c r="D164" s="6">
        <v>0</v>
      </c>
      <c r="F164" s="6">
        <v>0</v>
      </c>
      <c r="G164" s="6">
        <v>0</v>
      </c>
      <c r="H164" s="6">
        <v>32</v>
      </c>
      <c r="J164" s="8">
        <v>0.96969696969696972</v>
      </c>
      <c r="K164" s="8">
        <v>0.36363636363636359</v>
      </c>
      <c r="L164" s="6">
        <v>-1</v>
      </c>
      <c r="M164" s="8">
        <v>0.96969696969696972</v>
      </c>
      <c r="N164" s="8">
        <v>3.03030303030303E-2</v>
      </c>
      <c r="O164" s="6">
        <v>-1</v>
      </c>
    </row>
    <row r="165" spans="1:15" x14ac:dyDescent="0.25">
      <c r="A165" s="7">
        <v>46264</v>
      </c>
      <c r="B165" s="6">
        <v>0</v>
      </c>
      <c r="C165" s="6">
        <v>32</v>
      </c>
      <c r="D165" s="6">
        <v>0</v>
      </c>
      <c r="F165" s="6">
        <v>0</v>
      </c>
      <c r="G165" s="6">
        <v>0</v>
      </c>
      <c r="H165" s="6">
        <v>32</v>
      </c>
      <c r="J165" s="8">
        <v>0.96969696969696972</v>
      </c>
      <c r="K165" s="8">
        <v>0.36363636363636359</v>
      </c>
      <c r="L165" s="6">
        <v>-1</v>
      </c>
      <c r="M165" s="8">
        <v>0.96969696969696972</v>
      </c>
      <c r="N165" s="8">
        <v>3.03030303030303E-2</v>
      </c>
      <c r="O165" s="6">
        <v>-1</v>
      </c>
    </row>
    <row r="166" spans="1:15" x14ac:dyDescent="0.25">
      <c r="A166" s="7">
        <v>46265</v>
      </c>
      <c r="B166" s="6">
        <v>0</v>
      </c>
      <c r="C166" s="6">
        <v>32</v>
      </c>
      <c r="D166" s="6">
        <v>0</v>
      </c>
      <c r="F166" s="6">
        <v>0</v>
      </c>
      <c r="G166" s="6">
        <v>0</v>
      </c>
      <c r="H166" s="6">
        <v>32</v>
      </c>
      <c r="J166" s="8">
        <v>0.96969696969696972</v>
      </c>
      <c r="K166" s="8">
        <v>0.36363636363636359</v>
      </c>
      <c r="L166" s="6">
        <v>-1</v>
      </c>
      <c r="M166" s="8">
        <v>0.96969696969696972</v>
      </c>
      <c r="N166" s="8">
        <v>3.03030303030303E-2</v>
      </c>
      <c r="O166" s="6">
        <v>-1</v>
      </c>
    </row>
    <row r="167" spans="1:15" x14ac:dyDescent="0.25">
      <c r="A167" s="7">
        <v>46266</v>
      </c>
      <c r="B167" s="6">
        <v>0</v>
      </c>
      <c r="C167" s="6">
        <v>32</v>
      </c>
      <c r="D167" s="6">
        <v>0</v>
      </c>
      <c r="F167" s="6">
        <v>0</v>
      </c>
      <c r="G167" s="6">
        <v>0</v>
      </c>
      <c r="H167" s="6">
        <v>32</v>
      </c>
      <c r="J167" s="8">
        <v>0.96969696969696972</v>
      </c>
      <c r="K167" s="8">
        <v>0.36363636363636359</v>
      </c>
      <c r="L167" s="6">
        <v>-1</v>
      </c>
      <c r="M167" s="8">
        <v>0.96969696969696972</v>
      </c>
      <c r="N167" s="8">
        <v>3.03030303030303E-2</v>
      </c>
      <c r="O167" s="6">
        <v>-1</v>
      </c>
    </row>
    <row r="168" spans="1:15" x14ac:dyDescent="0.25">
      <c r="A168" s="7">
        <v>46267</v>
      </c>
      <c r="B168" s="6">
        <v>0</v>
      </c>
      <c r="C168" s="6">
        <v>32</v>
      </c>
      <c r="D168" s="6">
        <v>0</v>
      </c>
      <c r="F168" s="6">
        <v>0</v>
      </c>
      <c r="G168" s="6">
        <v>0</v>
      </c>
      <c r="H168" s="6">
        <v>32</v>
      </c>
      <c r="J168" s="8">
        <v>0.96969696969696972</v>
      </c>
      <c r="K168" s="8">
        <v>0.36363636363636359</v>
      </c>
      <c r="L168" s="6">
        <v>-1</v>
      </c>
      <c r="M168" s="8">
        <v>0.96969696969696972</v>
      </c>
      <c r="N168" s="8">
        <v>3.03030303030303E-2</v>
      </c>
      <c r="O168" s="6">
        <v>-1</v>
      </c>
    </row>
    <row r="169" spans="1:15" x14ac:dyDescent="0.25">
      <c r="A169" s="7">
        <v>46268</v>
      </c>
      <c r="B169" s="6">
        <v>0</v>
      </c>
      <c r="C169" s="6">
        <v>32</v>
      </c>
      <c r="D169" s="6">
        <v>0</v>
      </c>
      <c r="F169" s="6">
        <v>0</v>
      </c>
      <c r="G169" s="6">
        <v>0</v>
      </c>
      <c r="H169" s="6">
        <v>32</v>
      </c>
      <c r="J169" s="8">
        <v>0.96969696969696972</v>
      </c>
      <c r="K169" s="8">
        <v>0.36363636363636359</v>
      </c>
      <c r="L169" s="6">
        <v>-1</v>
      </c>
      <c r="M169" s="8">
        <v>0.96969696969696972</v>
      </c>
      <c r="N169" s="8">
        <v>3.03030303030303E-2</v>
      </c>
      <c r="O169" s="6">
        <v>-1</v>
      </c>
    </row>
    <row r="170" spans="1:15" x14ac:dyDescent="0.25">
      <c r="A170" s="7">
        <v>46269</v>
      </c>
      <c r="B170" s="6">
        <v>0</v>
      </c>
      <c r="C170" s="6">
        <v>32</v>
      </c>
      <c r="D170" s="6">
        <v>0</v>
      </c>
      <c r="F170" s="6">
        <v>0</v>
      </c>
      <c r="G170" s="6">
        <v>0</v>
      </c>
      <c r="H170" s="6">
        <v>32</v>
      </c>
      <c r="J170" s="8">
        <v>0.96969696969696972</v>
      </c>
      <c r="K170" s="8">
        <v>0.36363636363636359</v>
      </c>
      <c r="L170" s="6">
        <v>-1</v>
      </c>
      <c r="M170" s="8">
        <v>0.96969696969696972</v>
      </c>
      <c r="N170" s="8">
        <v>3.03030303030303E-2</v>
      </c>
      <c r="O170" s="6">
        <v>-1</v>
      </c>
    </row>
    <row r="171" spans="1:15" x14ac:dyDescent="0.25">
      <c r="A171" s="7">
        <v>46270</v>
      </c>
      <c r="B171" s="6">
        <v>0</v>
      </c>
      <c r="C171" s="6">
        <v>32</v>
      </c>
      <c r="D171" s="6">
        <v>0</v>
      </c>
      <c r="F171" s="6">
        <v>0</v>
      </c>
      <c r="G171" s="6">
        <v>0</v>
      </c>
      <c r="H171" s="6">
        <v>32</v>
      </c>
      <c r="J171" s="8">
        <v>0.96969696969696972</v>
      </c>
      <c r="K171" s="8">
        <v>0.36363636363636359</v>
      </c>
      <c r="L171" s="6">
        <v>-1</v>
      </c>
      <c r="M171" s="8">
        <v>0.96969696969696972</v>
      </c>
      <c r="N171" s="8">
        <v>3.03030303030303E-2</v>
      </c>
      <c r="O171" s="6">
        <v>-1</v>
      </c>
    </row>
    <row r="172" spans="1:15" x14ac:dyDescent="0.25">
      <c r="A172" s="7">
        <v>46271</v>
      </c>
      <c r="B172" s="6">
        <v>0</v>
      </c>
      <c r="C172" s="6">
        <v>32</v>
      </c>
      <c r="D172" s="6">
        <v>0</v>
      </c>
      <c r="F172" s="6">
        <v>0</v>
      </c>
      <c r="G172" s="6">
        <v>0</v>
      </c>
      <c r="H172" s="6">
        <v>32</v>
      </c>
      <c r="J172" s="8">
        <v>0.96969696969696972</v>
      </c>
      <c r="K172" s="8">
        <v>0.36363636363636359</v>
      </c>
      <c r="L172" s="6">
        <v>-1</v>
      </c>
      <c r="M172" s="8">
        <v>0.96969696969696972</v>
      </c>
      <c r="N172" s="8">
        <v>3.03030303030303E-2</v>
      </c>
      <c r="O172" s="6">
        <v>-1</v>
      </c>
    </row>
    <row r="173" spans="1:15" x14ac:dyDescent="0.25">
      <c r="A173" s="7">
        <v>46272</v>
      </c>
      <c r="B173" s="6">
        <v>0</v>
      </c>
      <c r="C173" s="6">
        <v>32</v>
      </c>
      <c r="D173" s="6">
        <v>0</v>
      </c>
      <c r="F173" s="6">
        <v>0</v>
      </c>
      <c r="G173" s="6">
        <v>0</v>
      </c>
      <c r="H173" s="6">
        <v>32</v>
      </c>
      <c r="J173" s="8">
        <v>0.96969696969696972</v>
      </c>
      <c r="K173" s="8">
        <v>0.36363636363636359</v>
      </c>
      <c r="L173" s="6">
        <v>-1</v>
      </c>
      <c r="M173" s="8">
        <v>0.96969696969696972</v>
      </c>
      <c r="N173" s="8">
        <v>3.03030303030303E-2</v>
      </c>
      <c r="O173" s="6">
        <v>-1</v>
      </c>
    </row>
    <row r="174" spans="1:15" x14ac:dyDescent="0.25">
      <c r="A174" s="7">
        <v>46273</v>
      </c>
      <c r="B174" s="6">
        <v>0</v>
      </c>
      <c r="C174" s="6">
        <v>32</v>
      </c>
      <c r="D174" s="6">
        <v>0</v>
      </c>
      <c r="F174" s="6">
        <v>0</v>
      </c>
      <c r="G174" s="6">
        <v>0</v>
      </c>
      <c r="H174" s="6">
        <v>32</v>
      </c>
      <c r="J174" s="8">
        <v>0.96969696969696972</v>
      </c>
      <c r="K174" s="8">
        <v>0.36363636363636359</v>
      </c>
      <c r="L174" s="6">
        <v>-1</v>
      </c>
      <c r="M174" s="8">
        <v>0.96969696969696972</v>
      </c>
      <c r="N174" s="8">
        <v>3.03030303030303E-2</v>
      </c>
      <c r="O174" s="6">
        <v>-1</v>
      </c>
    </row>
    <row r="175" spans="1:15" x14ac:dyDescent="0.25">
      <c r="A175" s="7">
        <v>46274</v>
      </c>
      <c r="B175" s="6">
        <v>0</v>
      </c>
      <c r="C175" s="6">
        <v>32</v>
      </c>
      <c r="D175" s="6">
        <v>0</v>
      </c>
      <c r="F175" s="6">
        <v>0</v>
      </c>
      <c r="G175" s="6">
        <v>0</v>
      </c>
      <c r="H175" s="6">
        <v>32</v>
      </c>
      <c r="J175" s="8">
        <v>0.96969696969696972</v>
      </c>
      <c r="K175" s="8">
        <v>0.36363636363636359</v>
      </c>
      <c r="L175" s="6">
        <v>-1</v>
      </c>
      <c r="M175" s="8">
        <v>0.96969696969696972</v>
      </c>
      <c r="N175" s="8">
        <v>3.03030303030303E-2</v>
      </c>
      <c r="O175" s="6">
        <v>-1</v>
      </c>
    </row>
    <row r="176" spans="1:15" x14ac:dyDescent="0.25">
      <c r="A176" s="7">
        <v>46275</v>
      </c>
      <c r="B176" s="6">
        <v>0</v>
      </c>
      <c r="C176" s="6">
        <v>32</v>
      </c>
      <c r="D176" s="6">
        <v>0</v>
      </c>
      <c r="F176" s="6">
        <v>0</v>
      </c>
      <c r="G176" s="6">
        <v>0</v>
      </c>
      <c r="H176" s="6">
        <v>32</v>
      </c>
      <c r="J176" s="8">
        <v>0.96969696969696972</v>
      </c>
      <c r="K176" s="8">
        <v>0.36363636363636359</v>
      </c>
      <c r="L176" s="6">
        <v>-1</v>
      </c>
      <c r="M176" s="8">
        <v>0.96969696969696972</v>
      </c>
      <c r="N176" s="8">
        <v>3.03030303030303E-2</v>
      </c>
      <c r="O176" s="6">
        <v>-1</v>
      </c>
    </row>
    <row r="177" spans="1:15" x14ac:dyDescent="0.25">
      <c r="A177" s="7">
        <v>46276</v>
      </c>
      <c r="B177" s="6">
        <v>1</v>
      </c>
      <c r="C177" s="6">
        <v>33</v>
      </c>
      <c r="D177" s="6">
        <v>0</v>
      </c>
      <c r="F177" s="6">
        <v>0</v>
      </c>
      <c r="G177" s="6">
        <v>0</v>
      </c>
      <c r="H177" s="6">
        <v>32</v>
      </c>
      <c r="J177" s="8">
        <v>1</v>
      </c>
      <c r="K177" s="8">
        <v>0.36363636363636359</v>
      </c>
      <c r="L177" s="6">
        <v>-1</v>
      </c>
      <c r="M177" s="8">
        <v>0.96969696969696972</v>
      </c>
      <c r="N177" s="8">
        <v>3.03030303030303E-2</v>
      </c>
      <c r="O177" s="6">
        <v>-1</v>
      </c>
    </row>
    <row r="178" spans="1:15" x14ac:dyDescent="0.25">
      <c r="A178" s="7">
        <v>46277</v>
      </c>
      <c r="B178" s="6">
        <v>0</v>
      </c>
      <c r="C178" s="6">
        <v>33</v>
      </c>
      <c r="D178" s="6">
        <v>0</v>
      </c>
      <c r="F178" s="6">
        <v>0</v>
      </c>
      <c r="G178" s="6">
        <v>0</v>
      </c>
      <c r="H178" s="6">
        <v>32</v>
      </c>
      <c r="J178" s="8">
        <v>1</v>
      </c>
      <c r="K178" s="8">
        <v>0.36363636363636359</v>
      </c>
      <c r="L178" s="6">
        <v>-1</v>
      </c>
      <c r="M178" s="8">
        <v>0.96969696969696972</v>
      </c>
      <c r="N178" s="8">
        <v>3.03030303030303E-2</v>
      </c>
      <c r="O178" s="6">
        <v>-1</v>
      </c>
    </row>
    <row r="179" spans="1:15" x14ac:dyDescent="0.25">
      <c r="A179" s="7">
        <v>46278</v>
      </c>
      <c r="B179" s="6">
        <v>0</v>
      </c>
      <c r="C179" s="6">
        <v>33</v>
      </c>
      <c r="D179" s="6">
        <v>0</v>
      </c>
      <c r="F179" s="6">
        <v>0</v>
      </c>
      <c r="G179" s="6">
        <v>0</v>
      </c>
      <c r="H179" s="6">
        <v>32</v>
      </c>
      <c r="J179" s="8">
        <v>1</v>
      </c>
      <c r="K179" s="8">
        <v>0.36363636363636359</v>
      </c>
      <c r="L179" s="6">
        <v>-1</v>
      </c>
      <c r="M179" s="8">
        <v>0.96969696969696972</v>
      </c>
      <c r="N179" s="8">
        <v>3.03030303030303E-2</v>
      </c>
      <c r="O179" s="6">
        <v>-1</v>
      </c>
    </row>
    <row r="180" spans="1:15" x14ac:dyDescent="0.25">
      <c r="A180" s="7">
        <v>46279</v>
      </c>
      <c r="B180" s="6">
        <v>0</v>
      </c>
      <c r="C180" s="6">
        <v>33</v>
      </c>
      <c r="D180" s="6">
        <v>0</v>
      </c>
      <c r="F180" s="6">
        <v>0</v>
      </c>
      <c r="G180" s="6">
        <v>0</v>
      </c>
      <c r="H180" s="6">
        <v>32</v>
      </c>
      <c r="J180" s="8">
        <v>1</v>
      </c>
      <c r="K180" s="8">
        <v>0.36363636363636359</v>
      </c>
      <c r="L180" s="6">
        <v>-1</v>
      </c>
      <c r="M180" s="8">
        <v>0.96969696969696972</v>
      </c>
      <c r="N180" s="8">
        <v>3.03030303030303E-2</v>
      </c>
      <c r="O180" s="6">
        <v>-1</v>
      </c>
    </row>
    <row r="181" spans="1:15" x14ac:dyDescent="0.25">
      <c r="A181" s="7">
        <v>46280</v>
      </c>
      <c r="B181" s="6">
        <v>0</v>
      </c>
      <c r="C181" s="6">
        <v>33</v>
      </c>
      <c r="D181" s="6">
        <v>0</v>
      </c>
      <c r="F181" s="6">
        <v>0</v>
      </c>
      <c r="G181" s="6">
        <v>0</v>
      </c>
      <c r="H181" s="6">
        <v>32</v>
      </c>
      <c r="J181" s="8">
        <v>1</v>
      </c>
      <c r="K181" s="8">
        <v>0.36363636363636359</v>
      </c>
      <c r="L181" s="6">
        <v>-1</v>
      </c>
      <c r="M181" s="8">
        <v>0.96969696969696972</v>
      </c>
      <c r="N181" s="8">
        <v>3.03030303030303E-2</v>
      </c>
      <c r="O181" s="6">
        <v>-1</v>
      </c>
    </row>
    <row r="182" spans="1:15" x14ac:dyDescent="0.25">
      <c r="A182" s="7">
        <v>46281</v>
      </c>
      <c r="B182" s="6">
        <v>0</v>
      </c>
      <c r="C182" s="6">
        <v>33</v>
      </c>
      <c r="D182" s="6">
        <v>0</v>
      </c>
      <c r="F182" s="6">
        <v>0</v>
      </c>
      <c r="G182" s="6">
        <v>0</v>
      </c>
      <c r="H182" s="6">
        <v>32</v>
      </c>
      <c r="J182" s="8">
        <v>1</v>
      </c>
      <c r="K182" s="8">
        <v>0.36363636363636359</v>
      </c>
      <c r="L182" s="6">
        <v>-1</v>
      </c>
      <c r="M182" s="8">
        <v>0.96969696969696972</v>
      </c>
      <c r="N182" s="8">
        <v>3.03030303030303E-2</v>
      </c>
      <c r="O182" s="6">
        <v>-1</v>
      </c>
    </row>
    <row r="183" spans="1:15" x14ac:dyDescent="0.25">
      <c r="A183" s="7">
        <v>46282</v>
      </c>
      <c r="B183" s="6">
        <v>0</v>
      </c>
      <c r="C183" s="6">
        <v>33</v>
      </c>
      <c r="D183" s="6">
        <v>0</v>
      </c>
      <c r="F183" s="6">
        <v>1</v>
      </c>
      <c r="G183" s="6">
        <v>0</v>
      </c>
      <c r="H183" s="6">
        <v>33</v>
      </c>
      <c r="J183" s="8">
        <v>1</v>
      </c>
      <c r="K183" s="8">
        <v>0.36363636363636359</v>
      </c>
      <c r="L183" s="6">
        <v>-1</v>
      </c>
      <c r="M183" s="8">
        <v>1</v>
      </c>
      <c r="N183" s="8">
        <v>3.03030303030303E-2</v>
      </c>
      <c r="O183" s="6">
        <v>-1</v>
      </c>
    </row>
    <row r="185" spans="1:15" x14ac:dyDescent="0.25">
      <c r="L185" s="6">
        <v>1</v>
      </c>
      <c r="O185" s="6">
        <v>1</v>
      </c>
    </row>
    <row r="186" spans="1:15" x14ac:dyDescent="0.25">
      <c r="L186" s="6">
        <v>0</v>
      </c>
      <c r="O186" s="6">
        <v>0</v>
      </c>
    </row>
    <row r="187" spans="1:15" x14ac:dyDescent="0.25">
      <c r="L187" s="6">
        <v>-1</v>
      </c>
      <c r="O187" s="6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03AF946E-5AC7-4E9C-BEF6-465FA50619D5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L1:L187</xm:sqref>
        </x14:conditionalFormatting>
        <x14:conditionalFormatting xmlns:xm="http://schemas.microsoft.com/office/excel/2006/main">
          <x14:cfRule type="iconSet" priority="2" id="{F7CE81E8-3D3D-4082-9138-58DEE688B6F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O1:O187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1"/>
  <sheetViews>
    <sheetView workbookViewId="0">
      <selection activeCell="D37" sqref="D37"/>
    </sheetView>
  </sheetViews>
  <sheetFormatPr defaultRowHeight="15" x14ac:dyDescent="0.25"/>
  <cols>
    <col min="1" max="1" width="7.28515625" style="1" bestFit="1" customWidth="1"/>
    <col min="2" max="2" width="9.28515625" style="1" bestFit="1" customWidth="1"/>
    <col min="3" max="3" width="30.42578125" style="1" bestFit="1" customWidth="1"/>
    <col min="4" max="4" width="31.5703125" style="1" bestFit="1" customWidth="1"/>
    <col min="5" max="5" width="18.5703125" style="1" bestFit="1" customWidth="1"/>
    <col min="6" max="6" width="12.7109375" style="1" bestFit="1" customWidth="1"/>
    <col min="7" max="8" width="18.28515625" style="3" bestFit="1" customWidth="1"/>
    <col min="9" max="9" width="18.42578125" style="1" bestFit="1" customWidth="1"/>
    <col min="10" max="10" width="16" style="4" bestFit="1" customWidth="1"/>
    <col min="11" max="11" width="18.28515625" style="3" bestFit="1" customWidth="1"/>
    <col min="12" max="12" width="11" style="1" bestFit="1" customWidth="1"/>
    <col min="13" max="13" width="11.140625" style="1" bestFit="1" customWidth="1"/>
    <col min="14" max="14" width="32.140625" style="1" bestFit="1" customWidth="1"/>
    <col min="15" max="15" width="16.5703125" style="1" bestFit="1" customWidth="1"/>
    <col min="16" max="16" width="19.28515625" style="1" bestFit="1" customWidth="1"/>
    <col min="17" max="17" width="14.5703125" style="1" bestFit="1" customWidth="1"/>
    <col min="18" max="18" width="65.5703125" style="1" bestFit="1" customWidth="1"/>
    <col min="19" max="19" width="16.42578125" style="1" bestFit="1" customWidth="1"/>
    <col min="20" max="20" width="23.5703125" style="1" bestFit="1" customWidth="1"/>
    <col min="21" max="21" width="11.85546875" style="1" bestFit="1" customWidth="1"/>
    <col min="22" max="22" width="23.28515625" style="1" bestFit="1" customWidth="1"/>
    <col min="23" max="23" width="27.7109375" style="1" bestFit="1" customWidth="1"/>
    <col min="24" max="24" width="27" style="1" bestFit="1" customWidth="1"/>
    <col min="25" max="25" width="19.5703125" style="1" bestFit="1" customWidth="1"/>
    <col min="26" max="26" width="32.7109375" style="1" bestFit="1" customWidth="1"/>
    <col min="27" max="27" width="29.42578125" style="1" bestFit="1" customWidth="1"/>
    <col min="28" max="28" width="40.5703125" style="1" bestFit="1" customWidth="1"/>
    <col min="29" max="29" width="26.140625" style="1" bestFit="1" customWidth="1"/>
    <col min="30" max="30" width="24" style="1" bestFit="1" customWidth="1"/>
    <col min="31" max="31" width="23.28515625" style="1" bestFit="1" customWidth="1"/>
    <col min="32" max="32" width="14.5703125" style="1" bestFit="1" customWidth="1"/>
    <col min="33" max="16384" width="9.140625" style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idden="1" x14ac:dyDescent="0.25">
      <c r="A2" s="1">
        <v>3</v>
      </c>
      <c r="B2" s="1" t="s">
        <v>42</v>
      </c>
      <c r="C2" s="1" t="s">
        <v>43</v>
      </c>
      <c r="D2" s="1" t="s">
        <v>44</v>
      </c>
      <c r="F2" s="1" t="s">
        <v>45</v>
      </c>
      <c r="G2" s="3">
        <v>46160</v>
      </c>
      <c r="H2" s="3">
        <v>46160</v>
      </c>
      <c r="J2" s="4">
        <v>1</v>
      </c>
      <c r="K2" s="3">
        <v>46160</v>
      </c>
      <c r="L2" s="1" t="s">
        <v>46</v>
      </c>
      <c r="M2" s="1" t="s">
        <v>47</v>
      </c>
      <c r="N2" s="1" t="s">
        <v>36</v>
      </c>
      <c r="O2" s="1" t="s">
        <v>37</v>
      </c>
      <c r="P2" s="5">
        <v>46139</v>
      </c>
      <c r="Q2" s="1" t="s">
        <v>38</v>
      </c>
      <c r="R2" s="1" t="s">
        <v>48</v>
      </c>
      <c r="U2" s="1">
        <v>1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 spans="1:32" hidden="1" x14ac:dyDescent="0.25">
      <c r="A3" s="1">
        <v>4</v>
      </c>
      <c r="B3" s="1" t="s">
        <v>49</v>
      </c>
      <c r="C3" s="1" t="s">
        <v>43</v>
      </c>
      <c r="D3" s="1" t="s">
        <v>50</v>
      </c>
      <c r="F3" s="1" t="s">
        <v>45</v>
      </c>
      <c r="G3" s="3">
        <v>46160</v>
      </c>
      <c r="H3" s="3">
        <v>46160</v>
      </c>
      <c r="J3" s="4">
        <v>1</v>
      </c>
      <c r="K3" s="3">
        <v>46160</v>
      </c>
      <c r="L3" s="1" t="s">
        <v>46</v>
      </c>
      <c r="M3" s="1" t="s">
        <v>47</v>
      </c>
      <c r="N3" s="1" t="s">
        <v>51</v>
      </c>
      <c r="O3" s="1" t="s">
        <v>52</v>
      </c>
      <c r="P3" s="5">
        <v>46141</v>
      </c>
      <c r="Q3" s="1" t="s">
        <v>38</v>
      </c>
      <c r="U3" s="1">
        <v>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 spans="1:32" hidden="1" x14ac:dyDescent="0.25">
      <c r="A4" s="1">
        <v>5</v>
      </c>
      <c r="B4" s="1" t="s">
        <v>53</v>
      </c>
      <c r="C4" s="1" t="s">
        <v>54</v>
      </c>
      <c r="D4" s="1" t="s">
        <v>55</v>
      </c>
      <c r="F4" s="1" t="s">
        <v>45</v>
      </c>
      <c r="G4" s="3">
        <v>46160</v>
      </c>
      <c r="H4" s="3">
        <v>46160</v>
      </c>
      <c r="I4" s="1">
        <v>3</v>
      </c>
      <c r="J4" s="4">
        <v>1</v>
      </c>
      <c r="K4" s="3">
        <v>46160</v>
      </c>
      <c r="L4" s="1" t="s">
        <v>46</v>
      </c>
      <c r="M4" s="1" t="s">
        <v>47</v>
      </c>
      <c r="N4" s="1" t="s">
        <v>51</v>
      </c>
      <c r="O4" s="1" t="s">
        <v>52</v>
      </c>
      <c r="P4" s="5">
        <v>46141</v>
      </c>
      <c r="Q4" s="1" t="s">
        <v>38</v>
      </c>
      <c r="U4" s="1">
        <v>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 spans="1:32" x14ac:dyDescent="0.25">
      <c r="A5" s="1">
        <v>8</v>
      </c>
      <c r="B5" s="1" t="s">
        <v>66</v>
      </c>
      <c r="C5" s="1" t="s">
        <v>67</v>
      </c>
      <c r="D5" s="1" t="s">
        <v>68</v>
      </c>
      <c r="F5" s="1" t="s">
        <v>69</v>
      </c>
      <c r="G5" s="3">
        <v>46174</v>
      </c>
      <c r="H5" s="3">
        <v>46175</v>
      </c>
      <c r="I5" s="1" t="s">
        <v>70</v>
      </c>
      <c r="J5" s="4">
        <v>1</v>
      </c>
      <c r="K5" s="3">
        <v>46175</v>
      </c>
      <c r="L5" s="1" t="s">
        <v>46</v>
      </c>
      <c r="M5" s="1" t="s">
        <v>47</v>
      </c>
      <c r="N5" s="1" t="s">
        <v>59</v>
      </c>
      <c r="O5" s="1" t="s">
        <v>37</v>
      </c>
      <c r="P5" s="5">
        <v>46141</v>
      </c>
      <c r="Q5" s="1" t="s">
        <v>38</v>
      </c>
      <c r="R5" s="1" t="s">
        <v>71</v>
      </c>
      <c r="U5" s="1">
        <v>1</v>
      </c>
      <c r="V5" s="1">
        <v>1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1</v>
      </c>
    </row>
    <row r="6" spans="1:32" hidden="1" x14ac:dyDescent="0.25">
      <c r="A6" s="1">
        <v>9</v>
      </c>
      <c r="B6" s="1" t="s">
        <v>72</v>
      </c>
      <c r="C6" s="1" t="s">
        <v>67</v>
      </c>
      <c r="D6" s="1" t="s">
        <v>73</v>
      </c>
      <c r="F6" s="1" t="s">
        <v>74</v>
      </c>
      <c r="G6" s="3">
        <v>46176</v>
      </c>
      <c r="H6" s="3">
        <v>46176</v>
      </c>
      <c r="I6" s="1">
        <v>8</v>
      </c>
      <c r="J6" s="4">
        <v>1</v>
      </c>
      <c r="K6" s="3">
        <v>46176</v>
      </c>
      <c r="L6" s="1" t="s">
        <v>46</v>
      </c>
      <c r="M6" s="1" t="s">
        <v>47</v>
      </c>
      <c r="N6" s="1" t="s">
        <v>59</v>
      </c>
      <c r="O6" s="1" t="s">
        <v>75</v>
      </c>
      <c r="P6" s="5">
        <v>46142</v>
      </c>
      <c r="Q6" s="1" t="s">
        <v>38</v>
      </c>
      <c r="R6" s="1" t="s">
        <v>76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1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 spans="1:32" x14ac:dyDescent="0.25">
      <c r="A7" s="1">
        <v>13</v>
      </c>
      <c r="B7" s="1" t="s">
        <v>91</v>
      </c>
      <c r="C7" s="1" t="s">
        <v>92</v>
      </c>
      <c r="D7" s="1" t="s">
        <v>68</v>
      </c>
      <c r="F7" s="1" t="s">
        <v>93</v>
      </c>
      <c r="G7" s="3">
        <v>46176</v>
      </c>
      <c r="H7" s="3">
        <v>46178</v>
      </c>
      <c r="I7" s="1">
        <v>8</v>
      </c>
      <c r="J7" s="4">
        <v>1</v>
      </c>
      <c r="K7" s="3">
        <v>46178</v>
      </c>
      <c r="L7" s="1" t="s">
        <v>46</v>
      </c>
      <c r="M7" s="1" t="s">
        <v>47</v>
      </c>
      <c r="N7" s="1" t="s">
        <v>59</v>
      </c>
      <c r="O7" s="1" t="s">
        <v>94</v>
      </c>
      <c r="P7" s="5">
        <v>46178</v>
      </c>
      <c r="Q7" s="1" t="s">
        <v>38</v>
      </c>
      <c r="R7" s="1" t="s">
        <v>95</v>
      </c>
      <c r="U7" s="1">
        <v>1</v>
      </c>
      <c r="V7" s="1">
        <v>1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1</v>
      </c>
    </row>
    <row r="8" spans="1:32" hidden="1" x14ac:dyDescent="0.25">
      <c r="A8" s="1">
        <v>14</v>
      </c>
      <c r="B8" s="1" t="s">
        <v>96</v>
      </c>
      <c r="C8" s="1" t="s">
        <v>92</v>
      </c>
      <c r="D8" s="1" t="s">
        <v>73</v>
      </c>
      <c r="F8" s="1" t="s">
        <v>93</v>
      </c>
      <c r="G8" s="3">
        <v>46181</v>
      </c>
      <c r="H8" s="3">
        <v>46183</v>
      </c>
      <c r="I8" s="1">
        <v>13</v>
      </c>
      <c r="J8" s="4">
        <v>1</v>
      </c>
      <c r="K8" s="3">
        <v>46183</v>
      </c>
      <c r="L8" s="1" t="s">
        <v>46</v>
      </c>
      <c r="M8" s="1" t="s">
        <v>47</v>
      </c>
      <c r="N8" s="1" t="s">
        <v>59</v>
      </c>
      <c r="O8" s="1" t="s">
        <v>97</v>
      </c>
      <c r="P8" s="5">
        <v>46183</v>
      </c>
      <c r="Q8" s="1" t="s">
        <v>38</v>
      </c>
      <c r="R8" s="1" t="s">
        <v>98</v>
      </c>
      <c r="U8" s="1">
        <v>1</v>
      </c>
      <c r="V8" s="1">
        <v>0</v>
      </c>
      <c r="W8" s="1">
        <v>0</v>
      </c>
      <c r="X8" s="1">
        <v>0</v>
      </c>
      <c r="Y8" s="1">
        <v>0</v>
      </c>
      <c r="Z8" s="1">
        <v>1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 spans="1:32" x14ac:dyDescent="0.25">
      <c r="A9" s="1">
        <v>18</v>
      </c>
      <c r="B9" s="1" t="s">
        <v>107</v>
      </c>
      <c r="C9" s="1" t="s">
        <v>108</v>
      </c>
      <c r="D9" s="1" t="s">
        <v>68</v>
      </c>
      <c r="F9" s="1" t="s">
        <v>93</v>
      </c>
      <c r="G9" s="3">
        <v>46176</v>
      </c>
      <c r="H9" s="3">
        <v>46178</v>
      </c>
      <c r="I9" s="1">
        <v>8</v>
      </c>
      <c r="J9" s="4">
        <v>1</v>
      </c>
      <c r="K9" s="3">
        <v>46178</v>
      </c>
      <c r="L9" s="1" t="s">
        <v>46</v>
      </c>
      <c r="M9" s="1" t="s">
        <v>47</v>
      </c>
      <c r="N9" s="1" t="s">
        <v>59</v>
      </c>
      <c r="O9" s="1" t="s">
        <v>75</v>
      </c>
      <c r="P9" s="5">
        <v>46146</v>
      </c>
      <c r="Q9" s="1" t="s">
        <v>38</v>
      </c>
      <c r="R9" s="1" t="s">
        <v>109</v>
      </c>
      <c r="U9" s="1">
        <v>1</v>
      </c>
      <c r="V9" s="1">
        <v>1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1</v>
      </c>
    </row>
    <row r="10" spans="1:32" hidden="1" x14ac:dyDescent="0.25">
      <c r="A10" s="1">
        <v>19</v>
      </c>
      <c r="B10" s="1" t="s">
        <v>110</v>
      </c>
      <c r="C10" s="1" t="s">
        <v>108</v>
      </c>
      <c r="D10" s="1" t="s">
        <v>73</v>
      </c>
      <c r="F10" s="1" t="s">
        <v>93</v>
      </c>
      <c r="G10" s="3">
        <v>46181</v>
      </c>
      <c r="H10" s="3">
        <v>46183</v>
      </c>
      <c r="I10" s="1">
        <v>18</v>
      </c>
      <c r="J10" s="4">
        <v>1</v>
      </c>
      <c r="K10" s="3">
        <v>46183</v>
      </c>
      <c r="L10" s="1" t="s">
        <v>46</v>
      </c>
      <c r="M10" s="1" t="s">
        <v>47</v>
      </c>
      <c r="N10" s="1" t="s">
        <v>59</v>
      </c>
      <c r="O10" s="1" t="s">
        <v>111</v>
      </c>
      <c r="P10" s="5">
        <v>46147</v>
      </c>
      <c r="Q10" s="1" t="s">
        <v>38</v>
      </c>
      <c r="R10" s="1" t="s">
        <v>112</v>
      </c>
      <c r="U10" s="1">
        <v>1</v>
      </c>
      <c r="V10" s="1">
        <v>0</v>
      </c>
      <c r="W10" s="1">
        <v>0</v>
      </c>
      <c r="X10" s="1">
        <v>0</v>
      </c>
      <c r="Y10" s="1">
        <v>0</v>
      </c>
      <c r="Z10" s="1">
        <v>1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 spans="1:32" x14ac:dyDescent="0.25">
      <c r="A11" s="1">
        <v>34</v>
      </c>
      <c r="B11" s="1" t="s">
        <v>153</v>
      </c>
      <c r="C11" s="1" t="s">
        <v>154</v>
      </c>
      <c r="D11" s="1" t="s">
        <v>68</v>
      </c>
      <c r="F11" s="1" t="s">
        <v>93</v>
      </c>
      <c r="G11" s="3">
        <v>46195</v>
      </c>
      <c r="H11" s="3">
        <v>46197</v>
      </c>
      <c r="I11" s="1" t="s">
        <v>155</v>
      </c>
      <c r="J11" s="4">
        <v>1</v>
      </c>
      <c r="K11" s="3">
        <v>46197</v>
      </c>
      <c r="L11" s="1" t="s">
        <v>46</v>
      </c>
      <c r="M11" s="1" t="s">
        <v>47</v>
      </c>
      <c r="N11" s="1" t="s">
        <v>121</v>
      </c>
      <c r="O11" s="1" t="s">
        <v>152</v>
      </c>
      <c r="P11" s="5">
        <v>46225</v>
      </c>
      <c r="Q11" s="1" t="s">
        <v>38</v>
      </c>
      <c r="R11" s="1">
        <v>35</v>
      </c>
      <c r="U11" s="1">
        <v>1</v>
      </c>
      <c r="V11" s="1">
        <v>1</v>
      </c>
      <c r="W11" s="1">
        <v>1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 spans="1:32" hidden="1" x14ac:dyDescent="0.25">
      <c r="A12" s="1">
        <v>35</v>
      </c>
      <c r="B12" s="1" t="s">
        <v>156</v>
      </c>
      <c r="C12" s="1" t="s">
        <v>154</v>
      </c>
      <c r="D12" s="1" t="s">
        <v>73</v>
      </c>
      <c r="F12" s="1" t="s">
        <v>74</v>
      </c>
      <c r="G12" s="3">
        <v>46198</v>
      </c>
      <c r="H12" s="3">
        <v>46198</v>
      </c>
      <c r="I12" s="1">
        <v>34</v>
      </c>
      <c r="J12" s="4">
        <v>1</v>
      </c>
      <c r="K12" s="3">
        <v>46198</v>
      </c>
      <c r="L12" s="1" t="s">
        <v>46</v>
      </c>
      <c r="M12" s="1" t="s">
        <v>47</v>
      </c>
      <c r="N12" s="1" t="s">
        <v>121</v>
      </c>
      <c r="O12" s="1" t="s">
        <v>157</v>
      </c>
      <c r="P12" s="5">
        <v>46226</v>
      </c>
      <c r="Q12" s="1" t="s">
        <v>38</v>
      </c>
      <c r="R12" s="1">
        <v>36</v>
      </c>
      <c r="U12" s="1">
        <v>1</v>
      </c>
      <c r="V12" s="1">
        <v>0</v>
      </c>
      <c r="W12" s="1">
        <v>0</v>
      </c>
      <c r="X12" s="1">
        <v>0</v>
      </c>
      <c r="Y12" s="1">
        <v>0</v>
      </c>
      <c r="Z12" s="1">
        <v>1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 spans="1:32" x14ac:dyDescent="0.25">
      <c r="A13" s="1">
        <v>39</v>
      </c>
      <c r="B13" s="1" t="s">
        <v>165</v>
      </c>
      <c r="C13" s="1" t="s">
        <v>166</v>
      </c>
      <c r="D13" s="1" t="s">
        <v>68</v>
      </c>
      <c r="F13" s="1" t="s">
        <v>93</v>
      </c>
      <c r="G13" s="3">
        <v>46174</v>
      </c>
      <c r="H13" s="3">
        <v>46176</v>
      </c>
      <c r="I13" s="1" t="s">
        <v>70</v>
      </c>
      <c r="J13" s="4">
        <v>1</v>
      </c>
      <c r="K13" s="3">
        <v>46176</v>
      </c>
      <c r="L13" s="1" t="s">
        <v>46</v>
      </c>
      <c r="M13" s="1" t="s">
        <v>47</v>
      </c>
      <c r="N13" s="1" t="s">
        <v>121</v>
      </c>
      <c r="O13" s="1" t="s">
        <v>37</v>
      </c>
      <c r="P13" s="5">
        <v>46141</v>
      </c>
      <c r="Q13" s="1" t="s">
        <v>38</v>
      </c>
      <c r="R13" s="1">
        <v>40</v>
      </c>
      <c r="U13" s="1">
        <v>1</v>
      </c>
      <c r="V13" s="1">
        <v>1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1</v>
      </c>
    </row>
    <row r="14" spans="1:32" hidden="1" x14ac:dyDescent="0.25">
      <c r="A14" s="1">
        <v>40</v>
      </c>
      <c r="B14" s="1" t="s">
        <v>167</v>
      </c>
      <c r="C14" s="1" t="s">
        <v>166</v>
      </c>
      <c r="D14" s="1" t="s">
        <v>73</v>
      </c>
      <c r="F14" s="1" t="s">
        <v>74</v>
      </c>
      <c r="G14" s="3">
        <v>46177</v>
      </c>
      <c r="H14" s="3">
        <v>46177</v>
      </c>
      <c r="I14" s="1">
        <v>39</v>
      </c>
      <c r="J14" s="4">
        <v>1</v>
      </c>
      <c r="K14" s="3">
        <v>46177</v>
      </c>
      <c r="L14" s="1" t="s">
        <v>46</v>
      </c>
      <c r="M14" s="1" t="s">
        <v>47</v>
      </c>
      <c r="N14" s="1" t="s">
        <v>121</v>
      </c>
      <c r="O14" s="1" t="s">
        <v>75</v>
      </c>
      <c r="P14" s="5">
        <v>46142</v>
      </c>
      <c r="Q14" s="1" t="s">
        <v>38</v>
      </c>
      <c r="R14" s="1" t="s">
        <v>168</v>
      </c>
      <c r="U14" s="1">
        <v>1</v>
      </c>
      <c r="V14" s="1">
        <v>0</v>
      </c>
      <c r="W14" s="1">
        <v>0</v>
      </c>
      <c r="X14" s="1">
        <v>0</v>
      </c>
      <c r="Y14" s="1">
        <v>0</v>
      </c>
      <c r="Z14" s="1">
        <v>1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 spans="1:32" x14ac:dyDescent="0.25">
      <c r="A15" s="1">
        <v>55</v>
      </c>
      <c r="B15" s="1" t="s">
        <v>205</v>
      </c>
      <c r="C15" s="1" t="s">
        <v>206</v>
      </c>
      <c r="D15" s="1" t="s">
        <v>68</v>
      </c>
      <c r="F15" s="1" t="s">
        <v>45</v>
      </c>
      <c r="G15" s="3">
        <v>46170</v>
      </c>
      <c r="H15" s="3">
        <v>46170</v>
      </c>
      <c r="I15" s="1" t="s">
        <v>207</v>
      </c>
      <c r="J15" s="4">
        <v>1</v>
      </c>
      <c r="K15" s="3">
        <v>46170</v>
      </c>
      <c r="L15" s="1" t="s">
        <v>46</v>
      </c>
      <c r="M15" s="1" t="s">
        <v>47</v>
      </c>
      <c r="N15" s="1" t="s">
        <v>176</v>
      </c>
      <c r="O15" s="1" t="s">
        <v>86</v>
      </c>
      <c r="P15" s="5">
        <v>46161</v>
      </c>
      <c r="Q15" s="1" t="s">
        <v>38</v>
      </c>
      <c r="R15" s="1">
        <v>56</v>
      </c>
      <c r="U15" s="1">
        <v>1</v>
      </c>
      <c r="V15" s="1">
        <v>1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1</v>
      </c>
    </row>
    <row r="16" spans="1:32" hidden="1" x14ac:dyDescent="0.25">
      <c r="A16" s="1">
        <v>56</v>
      </c>
      <c r="B16" s="1" t="s">
        <v>208</v>
      </c>
      <c r="C16" s="1" t="s">
        <v>206</v>
      </c>
      <c r="D16" s="1" t="s">
        <v>73</v>
      </c>
      <c r="F16" s="1" t="s">
        <v>74</v>
      </c>
      <c r="G16" s="3">
        <v>46171</v>
      </c>
      <c r="H16" s="3">
        <v>46171</v>
      </c>
      <c r="I16" s="1">
        <v>55</v>
      </c>
      <c r="J16" s="4">
        <v>1</v>
      </c>
      <c r="K16" s="3">
        <v>46171</v>
      </c>
      <c r="L16" s="1" t="s">
        <v>46</v>
      </c>
      <c r="M16" s="1" t="s">
        <v>47</v>
      </c>
      <c r="N16" s="1" t="s">
        <v>176</v>
      </c>
      <c r="O16" s="1" t="s">
        <v>209</v>
      </c>
      <c r="P16" s="5">
        <v>46162</v>
      </c>
      <c r="Q16" s="1" t="s">
        <v>38</v>
      </c>
      <c r="R16" s="1">
        <v>57</v>
      </c>
      <c r="U16" s="1">
        <v>1</v>
      </c>
      <c r="V16" s="1">
        <v>0</v>
      </c>
      <c r="W16" s="1">
        <v>0</v>
      </c>
      <c r="X16" s="1">
        <v>0</v>
      </c>
      <c r="Y16" s="1">
        <v>0</v>
      </c>
      <c r="Z16" s="1">
        <v>1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 spans="1:32" x14ac:dyDescent="0.25">
      <c r="A17" s="1">
        <v>60</v>
      </c>
      <c r="B17" s="1" t="s">
        <v>218</v>
      </c>
      <c r="C17" s="1" t="s">
        <v>219</v>
      </c>
      <c r="D17" s="1" t="s">
        <v>68</v>
      </c>
      <c r="F17" s="1" t="s">
        <v>45</v>
      </c>
      <c r="G17" s="3">
        <v>46170</v>
      </c>
      <c r="H17" s="3">
        <v>46170</v>
      </c>
      <c r="I17" s="1" t="s">
        <v>207</v>
      </c>
      <c r="J17" s="4">
        <v>1</v>
      </c>
      <c r="K17" s="3">
        <v>46170</v>
      </c>
      <c r="L17" s="1" t="s">
        <v>46</v>
      </c>
      <c r="M17" s="1" t="s">
        <v>47</v>
      </c>
      <c r="N17" s="1" t="s">
        <v>176</v>
      </c>
      <c r="O17" s="1" t="s">
        <v>86</v>
      </c>
      <c r="P17" s="5">
        <v>46161</v>
      </c>
      <c r="Q17" s="1" t="s">
        <v>38</v>
      </c>
      <c r="R17" s="1">
        <v>61</v>
      </c>
      <c r="U17" s="1">
        <v>1</v>
      </c>
      <c r="V17" s="1">
        <v>1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1</v>
      </c>
    </row>
    <row r="18" spans="1:32" hidden="1" x14ac:dyDescent="0.25">
      <c r="A18" s="1">
        <v>61</v>
      </c>
      <c r="B18" s="1" t="s">
        <v>220</v>
      </c>
      <c r="C18" s="1" t="s">
        <v>219</v>
      </c>
      <c r="D18" s="1" t="s">
        <v>73</v>
      </c>
      <c r="F18" s="1" t="s">
        <v>74</v>
      </c>
      <c r="G18" s="3">
        <v>46199</v>
      </c>
      <c r="H18" s="3">
        <v>46199</v>
      </c>
      <c r="I18" s="1">
        <v>60</v>
      </c>
      <c r="J18" s="4">
        <v>1</v>
      </c>
      <c r="K18" s="3">
        <v>46199</v>
      </c>
      <c r="L18" s="1" t="s">
        <v>46</v>
      </c>
      <c r="M18" s="1" t="s">
        <v>47</v>
      </c>
      <c r="N18" s="1" t="s">
        <v>176</v>
      </c>
      <c r="O18" s="1" t="s">
        <v>209</v>
      </c>
      <c r="P18" s="5">
        <v>46162</v>
      </c>
      <c r="Q18" s="1" t="s">
        <v>38</v>
      </c>
      <c r="R18" s="1">
        <v>62</v>
      </c>
      <c r="U18" s="1">
        <v>1</v>
      </c>
      <c r="V18" s="1">
        <v>0</v>
      </c>
      <c r="W18" s="1">
        <v>0</v>
      </c>
      <c r="X18" s="1">
        <v>0</v>
      </c>
      <c r="Y18" s="1">
        <v>0</v>
      </c>
      <c r="Z18" s="1">
        <v>1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 spans="1:32" x14ac:dyDescent="0.25">
      <c r="A19" s="1">
        <v>66</v>
      </c>
      <c r="B19" s="1" t="s">
        <v>231</v>
      </c>
      <c r="C19" s="1" t="s">
        <v>232</v>
      </c>
      <c r="D19" s="1" t="s">
        <v>68</v>
      </c>
      <c r="F19" s="1" t="s">
        <v>69</v>
      </c>
      <c r="G19" s="3">
        <v>46160</v>
      </c>
      <c r="H19" s="3">
        <v>46161</v>
      </c>
      <c r="I19" s="1" t="s">
        <v>233</v>
      </c>
      <c r="J19" s="4">
        <v>1</v>
      </c>
      <c r="K19" s="3">
        <v>46161</v>
      </c>
      <c r="L19" s="1" t="s">
        <v>46</v>
      </c>
      <c r="M19" s="1" t="s">
        <v>47</v>
      </c>
      <c r="N19" s="1" t="s">
        <v>226</v>
      </c>
      <c r="O19" s="1" t="s">
        <v>182</v>
      </c>
      <c r="P19" s="5">
        <v>46188</v>
      </c>
      <c r="Q19" s="1" t="s">
        <v>38</v>
      </c>
      <c r="R19" s="1" t="s">
        <v>234</v>
      </c>
      <c r="U19" s="1">
        <v>1</v>
      </c>
      <c r="V19" s="1">
        <v>1</v>
      </c>
      <c r="W19" s="1">
        <v>1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1</v>
      </c>
    </row>
    <row r="20" spans="1:32" hidden="1" x14ac:dyDescent="0.25">
      <c r="A20" s="1">
        <v>67</v>
      </c>
      <c r="B20" s="1" t="s">
        <v>235</v>
      </c>
      <c r="C20" s="1" t="s">
        <v>232</v>
      </c>
      <c r="D20" s="1" t="s">
        <v>73</v>
      </c>
      <c r="F20" s="1" t="s">
        <v>74</v>
      </c>
      <c r="G20" s="3">
        <v>46162</v>
      </c>
      <c r="H20" s="3">
        <v>46162</v>
      </c>
      <c r="I20" s="1">
        <v>66</v>
      </c>
      <c r="J20" s="4">
        <v>1</v>
      </c>
      <c r="K20" s="3">
        <v>46162</v>
      </c>
      <c r="L20" s="1" t="s">
        <v>46</v>
      </c>
      <c r="M20" s="1" t="s">
        <v>47</v>
      </c>
      <c r="N20" s="1" t="s">
        <v>226</v>
      </c>
      <c r="O20" s="1" t="s">
        <v>131</v>
      </c>
      <c r="P20" s="5">
        <v>46189</v>
      </c>
      <c r="Q20" s="1" t="s">
        <v>38</v>
      </c>
      <c r="R20" s="1">
        <v>68</v>
      </c>
      <c r="U20" s="1">
        <v>1</v>
      </c>
      <c r="V20" s="1">
        <v>0</v>
      </c>
      <c r="W20" s="1">
        <v>0</v>
      </c>
      <c r="X20" s="1">
        <v>0</v>
      </c>
      <c r="Y20" s="1">
        <v>0</v>
      </c>
      <c r="Z20" s="1">
        <v>1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</row>
    <row r="21" spans="1:32" hidden="1" x14ac:dyDescent="0.25">
      <c r="A21" s="1">
        <v>101</v>
      </c>
      <c r="B21" s="1" t="s">
        <v>290</v>
      </c>
      <c r="C21" s="1" t="s">
        <v>291</v>
      </c>
      <c r="D21" s="1" t="s">
        <v>292</v>
      </c>
      <c r="E21" s="1" t="s">
        <v>180</v>
      </c>
      <c r="F21" s="1" t="s">
        <v>181</v>
      </c>
      <c r="G21" s="3">
        <v>46181</v>
      </c>
      <c r="H21" s="3">
        <v>46191</v>
      </c>
      <c r="J21" s="4">
        <v>1</v>
      </c>
      <c r="K21" s="3">
        <v>46191</v>
      </c>
      <c r="L21" s="1" t="s">
        <v>46</v>
      </c>
      <c r="M21" s="1" t="s">
        <v>47</v>
      </c>
      <c r="N21" s="1" t="s">
        <v>289</v>
      </c>
      <c r="O21" s="1" t="s">
        <v>127</v>
      </c>
      <c r="P21" s="5">
        <v>46192</v>
      </c>
      <c r="Q21" s="1" t="s">
        <v>38</v>
      </c>
      <c r="U21" s="1">
        <v>1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</row>
    <row r="22" spans="1:32" x14ac:dyDescent="0.25">
      <c r="A22" s="1">
        <v>102</v>
      </c>
      <c r="B22" s="1" t="s">
        <v>293</v>
      </c>
      <c r="C22" s="1" t="s">
        <v>294</v>
      </c>
      <c r="D22" s="1" t="s">
        <v>68</v>
      </c>
      <c r="F22" s="1" t="s">
        <v>185</v>
      </c>
      <c r="G22" s="3">
        <v>46181</v>
      </c>
      <c r="H22" s="3">
        <v>46185</v>
      </c>
      <c r="I22" s="1" t="s">
        <v>233</v>
      </c>
      <c r="J22" s="4">
        <v>1</v>
      </c>
      <c r="K22" s="3">
        <v>46185</v>
      </c>
      <c r="L22" s="1" t="s">
        <v>46</v>
      </c>
      <c r="M22" s="1" t="s">
        <v>47</v>
      </c>
      <c r="N22" s="1" t="s">
        <v>289</v>
      </c>
      <c r="O22" s="1" t="s">
        <v>127</v>
      </c>
      <c r="P22" s="5">
        <v>46188</v>
      </c>
      <c r="Q22" s="1" t="s">
        <v>38</v>
      </c>
      <c r="R22" s="1" t="s">
        <v>295</v>
      </c>
      <c r="U22" s="1">
        <v>1</v>
      </c>
      <c r="V22" s="1">
        <v>1</v>
      </c>
      <c r="W22" s="1">
        <v>1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1</v>
      </c>
    </row>
    <row r="23" spans="1:32" hidden="1" x14ac:dyDescent="0.25">
      <c r="A23" s="1">
        <v>103</v>
      </c>
      <c r="B23" s="1" t="s">
        <v>296</v>
      </c>
      <c r="C23" s="1" t="s">
        <v>294</v>
      </c>
      <c r="D23" s="1" t="s">
        <v>73</v>
      </c>
      <c r="F23" s="1" t="s">
        <v>74</v>
      </c>
      <c r="G23" s="3">
        <v>46188</v>
      </c>
      <c r="H23" s="3">
        <v>46188</v>
      </c>
      <c r="I23" s="1">
        <v>102</v>
      </c>
      <c r="J23" s="4">
        <v>1</v>
      </c>
      <c r="K23" s="3">
        <v>46188</v>
      </c>
      <c r="L23" s="1" t="s">
        <v>46</v>
      </c>
      <c r="M23" s="1" t="s">
        <v>47</v>
      </c>
      <c r="N23" s="1" t="s">
        <v>289</v>
      </c>
      <c r="O23" s="1" t="s">
        <v>131</v>
      </c>
      <c r="P23" s="5">
        <v>46189</v>
      </c>
      <c r="Q23" s="1" t="s">
        <v>38</v>
      </c>
      <c r="R23" s="1">
        <v>104</v>
      </c>
      <c r="U23" s="1">
        <v>1</v>
      </c>
      <c r="V23" s="1">
        <v>0</v>
      </c>
      <c r="W23" s="1">
        <v>0</v>
      </c>
      <c r="X23" s="1">
        <v>0</v>
      </c>
      <c r="Y23" s="1">
        <v>0</v>
      </c>
      <c r="Z23" s="1">
        <v>1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</row>
    <row r="24" spans="1:32" hidden="1" x14ac:dyDescent="0.25">
      <c r="A24" s="1">
        <v>104</v>
      </c>
      <c r="B24" s="1" t="s">
        <v>297</v>
      </c>
      <c r="C24" s="1" t="s">
        <v>294</v>
      </c>
      <c r="D24" s="1" t="s">
        <v>78</v>
      </c>
      <c r="F24" s="1" t="s">
        <v>69</v>
      </c>
      <c r="G24" s="3">
        <v>46189</v>
      </c>
      <c r="H24" s="3">
        <v>46190</v>
      </c>
      <c r="I24" s="1">
        <v>103</v>
      </c>
      <c r="J24" s="4">
        <v>1</v>
      </c>
      <c r="K24" s="3">
        <v>46190</v>
      </c>
      <c r="L24" s="1" t="s">
        <v>46</v>
      </c>
      <c r="M24" s="1" t="s">
        <v>47</v>
      </c>
      <c r="N24" s="1" t="s">
        <v>289</v>
      </c>
      <c r="O24" s="1" t="s">
        <v>133</v>
      </c>
      <c r="P24" s="5">
        <v>46191</v>
      </c>
      <c r="Q24" s="1" t="s">
        <v>38</v>
      </c>
      <c r="R24" s="1">
        <v>105</v>
      </c>
      <c r="U24" s="1">
        <v>1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1</v>
      </c>
      <c r="AC24" s="1">
        <v>0</v>
      </c>
      <c r="AD24" s="1">
        <v>0</v>
      </c>
      <c r="AE24" s="1">
        <v>0</v>
      </c>
      <c r="AF24" s="1">
        <v>0</v>
      </c>
    </row>
    <row r="25" spans="1:32" hidden="1" x14ac:dyDescent="0.25">
      <c r="A25" s="1">
        <v>105</v>
      </c>
      <c r="B25" s="1" t="s">
        <v>298</v>
      </c>
      <c r="C25" s="1" t="s">
        <v>294</v>
      </c>
      <c r="D25" s="1" t="s">
        <v>84</v>
      </c>
      <c r="F25" s="1" t="s">
        <v>74</v>
      </c>
      <c r="G25" s="3">
        <v>46191</v>
      </c>
      <c r="H25" s="3">
        <v>46191</v>
      </c>
      <c r="I25" s="1">
        <v>104</v>
      </c>
      <c r="J25" s="4">
        <v>1</v>
      </c>
      <c r="K25" s="3">
        <v>46191</v>
      </c>
      <c r="L25" s="1" t="s">
        <v>46</v>
      </c>
      <c r="M25" s="1" t="s">
        <v>47</v>
      </c>
      <c r="N25" s="1" t="s">
        <v>289</v>
      </c>
      <c r="O25" s="1" t="s">
        <v>135</v>
      </c>
      <c r="P25" s="5">
        <v>46192</v>
      </c>
      <c r="Q25" s="1" t="s">
        <v>38</v>
      </c>
      <c r="U25" s="1">
        <v>1</v>
      </c>
      <c r="V25" s="1">
        <v>0</v>
      </c>
      <c r="W25" s="1">
        <v>0</v>
      </c>
      <c r="X25" s="1">
        <v>0</v>
      </c>
      <c r="Y25" s="1">
        <v>1</v>
      </c>
      <c r="Z25" s="1">
        <v>0</v>
      </c>
      <c r="AA25" s="1">
        <v>0</v>
      </c>
      <c r="AB25" s="1">
        <v>0</v>
      </c>
      <c r="AC25" s="1">
        <v>0</v>
      </c>
      <c r="AD25" s="1">
        <v>1</v>
      </c>
      <c r="AE25" s="1">
        <v>0</v>
      </c>
      <c r="AF25" s="1">
        <v>0</v>
      </c>
    </row>
    <row r="26" spans="1:32" x14ac:dyDescent="0.25">
      <c r="A26" s="1">
        <v>134</v>
      </c>
      <c r="B26" s="1" t="s">
        <v>355</v>
      </c>
      <c r="C26" s="1" t="s">
        <v>356</v>
      </c>
      <c r="D26" s="1" t="s">
        <v>68</v>
      </c>
      <c r="F26" s="1" t="s">
        <v>230</v>
      </c>
      <c r="G26" s="3">
        <v>46181</v>
      </c>
      <c r="H26" s="3">
        <v>46188</v>
      </c>
      <c r="I26" s="1" t="s">
        <v>233</v>
      </c>
      <c r="J26" s="4">
        <v>1</v>
      </c>
      <c r="K26" s="3">
        <v>46188</v>
      </c>
      <c r="L26" s="1" t="s">
        <v>46</v>
      </c>
      <c r="M26" s="1" t="s">
        <v>47</v>
      </c>
      <c r="N26" s="1" t="s">
        <v>350</v>
      </c>
      <c r="O26" s="1" t="s">
        <v>182</v>
      </c>
      <c r="P26" s="5">
        <v>46188</v>
      </c>
      <c r="Q26" s="1" t="s">
        <v>38</v>
      </c>
      <c r="R26" s="1">
        <v>135</v>
      </c>
      <c r="U26" s="1">
        <v>1</v>
      </c>
      <c r="V26" s="1">
        <v>1</v>
      </c>
      <c r="W26" s="1">
        <v>1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1</v>
      </c>
    </row>
    <row r="27" spans="1:32" hidden="1" x14ac:dyDescent="0.25">
      <c r="A27" s="1">
        <v>135</v>
      </c>
      <c r="B27" s="1" t="s">
        <v>357</v>
      </c>
      <c r="C27" s="1" t="s">
        <v>356</v>
      </c>
      <c r="D27" s="1" t="s">
        <v>73</v>
      </c>
      <c r="F27" s="1" t="s">
        <v>74</v>
      </c>
      <c r="G27" s="3">
        <v>46188</v>
      </c>
      <c r="H27" s="3">
        <v>46188</v>
      </c>
      <c r="I27" s="1">
        <v>134</v>
      </c>
      <c r="J27" s="4">
        <v>1</v>
      </c>
      <c r="K27" s="3">
        <v>46188</v>
      </c>
      <c r="L27" s="1" t="s">
        <v>46</v>
      </c>
      <c r="M27" s="1" t="s">
        <v>47</v>
      </c>
      <c r="N27" s="1" t="s">
        <v>350</v>
      </c>
      <c r="O27" s="1" t="s">
        <v>131</v>
      </c>
      <c r="P27" s="5">
        <v>46189</v>
      </c>
      <c r="Q27" s="1" t="s">
        <v>38</v>
      </c>
      <c r="R27" s="1">
        <v>136</v>
      </c>
      <c r="U27" s="1">
        <v>1</v>
      </c>
      <c r="V27" s="1">
        <v>0</v>
      </c>
      <c r="W27" s="1">
        <v>0</v>
      </c>
      <c r="X27" s="1">
        <v>0</v>
      </c>
      <c r="Y27" s="1">
        <v>0</v>
      </c>
      <c r="Z27" s="1">
        <v>1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</row>
    <row r="28" spans="1:32" x14ac:dyDescent="0.25">
      <c r="A28" s="1">
        <v>150</v>
      </c>
      <c r="B28" s="1" t="s">
        <v>384</v>
      </c>
      <c r="C28" s="1" t="s">
        <v>385</v>
      </c>
      <c r="D28" s="1" t="s">
        <v>68</v>
      </c>
      <c r="F28" s="1" t="s">
        <v>45</v>
      </c>
      <c r="G28" s="3">
        <v>46170</v>
      </c>
      <c r="H28" s="3">
        <v>46170</v>
      </c>
      <c r="I28" s="1" t="s">
        <v>233</v>
      </c>
      <c r="J28" s="4">
        <v>1</v>
      </c>
      <c r="K28" s="3">
        <v>46170</v>
      </c>
      <c r="L28" s="1" t="s">
        <v>46</v>
      </c>
      <c r="M28" s="1" t="s">
        <v>47</v>
      </c>
      <c r="N28" s="1" t="s">
        <v>380</v>
      </c>
      <c r="O28" s="1" t="s">
        <v>182</v>
      </c>
      <c r="P28" s="5">
        <v>46188</v>
      </c>
      <c r="Q28" s="1" t="s">
        <v>38</v>
      </c>
      <c r="R28" s="1" t="s">
        <v>386</v>
      </c>
      <c r="U28" s="1">
        <v>1</v>
      </c>
      <c r="V28" s="1">
        <v>1</v>
      </c>
      <c r="W28" s="1">
        <v>1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1</v>
      </c>
    </row>
    <row r="29" spans="1:32" hidden="1" x14ac:dyDescent="0.25">
      <c r="A29" s="1">
        <v>151</v>
      </c>
      <c r="B29" s="1" t="s">
        <v>387</v>
      </c>
      <c r="C29" s="1" t="s">
        <v>385</v>
      </c>
      <c r="D29" s="1" t="s">
        <v>73</v>
      </c>
      <c r="F29" s="1" t="s">
        <v>74</v>
      </c>
      <c r="G29" s="3">
        <v>46171</v>
      </c>
      <c r="H29" s="3">
        <v>46171</v>
      </c>
      <c r="I29" s="1">
        <v>150</v>
      </c>
      <c r="J29" s="4">
        <v>1</v>
      </c>
      <c r="K29" s="3">
        <v>46171</v>
      </c>
      <c r="L29" s="1" t="s">
        <v>46</v>
      </c>
      <c r="M29" s="1" t="s">
        <v>47</v>
      </c>
      <c r="N29" s="1" t="s">
        <v>380</v>
      </c>
      <c r="O29" s="1" t="s">
        <v>131</v>
      </c>
      <c r="P29" s="5">
        <v>46189</v>
      </c>
      <c r="Q29" s="1" t="s">
        <v>38</v>
      </c>
      <c r="R29" s="1">
        <v>152</v>
      </c>
      <c r="U29" s="1">
        <v>1</v>
      </c>
      <c r="V29" s="1">
        <v>0</v>
      </c>
      <c r="W29" s="1">
        <v>0</v>
      </c>
      <c r="X29" s="1">
        <v>0</v>
      </c>
      <c r="Y29" s="1">
        <v>0</v>
      </c>
      <c r="Z29" s="1">
        <v>1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</row>
    <row r="30" spans="1:32" x14ac:dyDescent="0.25">
      <c r="A30" s="1">
        <v>155</v>
      </c>
      <c r="B30" s="1" t="s">
        <v>392</v>
      </c>
      <c r="C30" s="1" t="s">
        <v>393</v>
      </c>
      <c r="D30" s="1" t="s">
        <v>68</v>
      </c>
      <c r="F30" s="1" t="s">
        <v>45</v>
      </c>
      <c r="G30" s="3">
        <v>46170</v>
      </c>
      <c r="H30" s="3">
        <v>46170</v>
      </c>
      <c r="I30" s="1" t="s">
        <v>233</v>
      </c>
      <c r="J30" s="4">
        <v>1</v>
      </c>
      <c r="K30" s="3">
        <v>46170</v>
      </c>
      <c r="L30" s="1" t="s">
        <v>46</v>
      </c>
      <c r="M30" s="1" t="s">
        <v>47</v>
      </c>
      <c r="N30" s="1" t="s">
        <v>380</v>
      </c>
      <c r="O30" s="1" t="s">
        <v>182</v>
      </c>
      <c r="P30" s="5">
        <v>46188</v>
      </c>
      <c r="Q30" s="1" t="s">
        <v>38</v>
      </c>
      <c r="R30" s="1" t="s">
        <v>394</v>
      </c>
      <c r="U30" s="1">
        <v>1</v>
      </c>
      <c r="V30" s="1">
        <v>1</v>
      </c>
      <c r="W30" s="1">
        <v>1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1</v>
      </c>
    </row>
    <row r="31" spans="1:32" hidden="1" x14ac:dyDescent="0.25">
      <c r="A31" s="1">
        <v>156</v>
      </c>
      <c r="B31" s="1" t="s">
        <v>395</v>
      </c>
      <c r="C31" s="1" t="s">
        <v>393</v>
      </c>
      <c r="D31" s="1" t="s">
        <v>73</v>
      </c>
      <c r="F31" s="1" t="s">
        <v>74</v>
      </c>
      <c r="G31" s="3">
        <v>46171</v>
      </c>
      <c r="H31" s="3">
        <v>46171</v>
      </c>
      <c r="I31" s="1">
        <v>155</v>
      </c>
      <c r="J31" s="4">
        <v>1</v>
      </c>
      <c r="K31" s="3">
        <v>46171</v>
      </c>
      <c r="L31" s="1" t="s">
        <v>46</v>
      </c>
      <c r="M31" s="1" t="s">
        <v>47</v>
      </c>
      <c r="N31" s="1" t="s">
        <v>380</v>
      </c>
      <c r="O31" s="1" t="s">
        <v>131</v>
      </c>
      <c r="P31" s="5">
        <v>46189</v>
      </c>
      <c r="Q31" s="1" t="s">
        <v>38</v>
      </c>
      <c r="R31" s="1">
        <v>157</v>
      </c>
      <c r="U31" s="1">
        <v>1</v>
      </c>
      <c r="V31" s="1">
        <v>0</v>
      </c>
      <c r="W31" s="1">
        <v>0</v>
      </c>
      <c r="X31" s="1">
        <v>0</v>
      </c>
      <c r="Y31" s="1">
        <v>0</v>
      </c>
      <c r="Z31" s="1">
        <v>1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50"/>
  <sheetViews>
    <sheetView workbookViewId="0">
      <selection activeCell="E63" sqref="E63"/>
    </sheetView>
  </sheetViews>
  <sheetFormatPr defaultRowHeight="15" x14ac:dyDescent="0.25"/>
  <cols>
    <col min="1" max="1" width="7.28515625" style="1" bestFit="1" customWidth="1"/>
    <col min="2" max="2" width="9.28515625" style="1" bestFit="1" customWidth="1"/>
    <col min="3" max="3" width="30.42578125" style="1" bestFit="1" customWidth="1"/>
    <col min="4" max="4" width="27.28515625" style="1" bestFit="1" customWidth="1"/>
    <col min="5" max="5" width="29.85546875" style="1" bestFit="1" customWidth="1"/>
    <col min="6" max="6" width="12.7109375" style="1" bestFit="1" customWidth="1"/>
    <col min="7" max="8" width="18.28515625" style="1" bestFit="1" customWidth="1"/>
    <col min="9" max="9" width="18.42578125" style="1" bestFit="1" customWidth="1"/>
    <col min="10" max="10" width="16" style="1" bestFit="1" customWidth="1"/>
    <col min="11" max="11" width="16.85546875" style="1" bestFit="1" customWidth="1"/>
    <col min="12" max="12" width="12.42578125" style="1" bestFit="1" customWidth="1"/>
    <col min="13" max="13" width="11.140625" style="1" bestFit="1" customWidth="1"/>
    <col min="14" max="14" width="32.140625" style="1" bestFit="1" customWidth="1"/>
    <col min="15" max="15" width="16.5703125" style="1" bestFit="1" customWidth="1"/>
    <col min="16" max="16" width="19.28515625" style="1" bestFit="1" customWidth="1"/>
    <col min="17" max="17" width="14.5703125" style="1" bestFit="1" customWidth="1"/>
    <col min="18" max="18" width="82.42578125" style="1" bestFit="1" customWidth="1"/>
    <col min="19" max="19" width="16.42578125" style="1" bestFit="1" customWidth="1"/>
    <col min="20" max="20" width="23.5703125" style="1" bestFit="1" customWidth="1"/>
    <col min="21" max="21" width="11.85546875" style="1" bestFit="1" customWidth="1"/>
    <col min="22" max="22" width="23.28515625" style="1" bestFit="1" customWidth="1"/>
    <col min="23" max="23" width="27.7109375" style="1" bestFit="1" customWidth="1"/>
    <col min="24" max="24" width="27" style="1" bestFit="1" customWidth="1"/>
    <col min="25" max="25" width="19.5703125" style="1" bestFit="1" customWidth="1"/>
    <col min="26" max="26" width="32.7109375" style="1" bestFit="1" customWidth="1"/>
    <col min="27" max="27" width="29.42578125" style="1" bestFit="1" customWidth="1"/>
    <col min="28" max="28" width="40.5703125" style="1" bestFit="1" customWidth="1"/>
    <col min="29" max="29" width="26.140625" style="1" bestFit="1" customWidth="1"/>
    <col min="30" max="30" width="24" style="1" bestFit="1" customWidth="1"/>
    <col min="31" max="31" width="23.28515625" style="1" bestFit="1" customWidth="1"/>
    <col min="32" max="32" width="14.5703125" style="1" bestFit="1" customWidth="1"/>
    <col min="33" max="16384" width="9.140625" style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idden="1" x14ac:dyDescent="0.25">
      <c r="A2" s="1">
        <v>12</v>
      </c>
      <c r="B2" s="1" t="s">
        <v>87</v>
      </c>
      <c r="C2" s="1" t="s">
        <v>61</v>
      </c>
      <c r="D2" s="1" t="s">
        <v>88</v>
      </c>
      <c r="E2" s="1" t="s">
        <v>89</v>
      </c>
      <c r="F2" s="1" t="s">
        <v>90</v>
      </c>
      <c r="G2" s="5">
        <v>46176</v>
      </c>
      <c r="H2" s="5">
        <v>46197</v>
      </c>
      <c r="J2" s="1">
        <v>0.81</v>
      </c>
      <c r="L2" s="1" t="s">
        <v>34</v>
      </c>
      <c r="M2" s="1" t="s">
        <v>47</v>
      </c>
      <c r="N2" s="1" t="s">
        <v>59</v>
      </c>
      <c r="O2" s="1" t="s">
        <v>75</v>
      </c>
      <c r="P2" s="5">
        <v>46161</v>
      </c>
      <c r="Q2" s="1" t="s">
        <v>38</v>
      </c>
      <c r="S2" s="1" t="s">
        <v>65</v>
      </c>
      <c r="U2" s="1">
        <v>0.81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 spans="1:32" hidden="1" x14ac:dyDescent="0.25">
      <c r="A3" s="1">
        <v>15</v>
      </c>
      <c r="B3" s="1" t="s">
        <v>99</v>
      </c>
      <c r="C3" s="1" t="s">
        <v>92</v>
      </c>
      <c r="D3" s="1" t="s">
        <v>78</v>
      </c>
      <c r="F3" s="1" t="s">
        <v>74</v>
      </c>
      <c r="G3" s="5">
        <v>46196</v>
      </c>
      <c r="H3" s="5">
        <v>46196</v>
      </c>
      <c r="I3" s="1" t="s">
        <v>100</v>
      </c>
      <c r="J3" s="1">
        <v>0.5</v>
      </c>
      <c r="L3" s="1" t="s">
        <v>34</v>
      </c>
      <c r="M3" s="1" t="s">
        <v>47</v>
      </c>
      <c r="N3" s="1" t="s">
        <v>59</v>
      </c>
      <c r="O3" s="1" t="s">
        <v>101</v>
      </c>
      <c r="P3" s="5">
        <v>46196</v>
      </c>
      <c r="Q3" s="1" t="s">
        <v>38</v>
      </c>
      <c r="R3" s="1">
        <v>16</v>
      </c>
      <c r="U3" s="1">
        <v>0.5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1</v>
      </c>
      <c r="AD3" s="1">
        <v>0</v>
      </c>
      <c r="AE3" s="1">
        <v>0</v>
      </c>
      <c r="AF3" s="1">
        <v>0</v>
      </c>
    </row>
    <row r="4" spans="1:32" hidden="1" x14ac:dyDescent="0.25">
      <c r="A4" s="1">
        <v>16</v>
      </c>
      <c r="B4" s="1" t="s">
        <v>102</v>
      </c>
      <c r="C4" s="1" t="s">
        <v>92</v>
      </c>
      <c r="D4" s="1" t="s">
        <v>84</v>
      </c>
      <c r="F4" s="1" t="s">
        <v>74</v>
      </c>
      <c r="G4" s="5">
        <v>46197</v>
      </c>
      <c r="H4" s="5">
        <v>46197</v>
      </c>
      <c r="I4" s="1">
        <v>15</v>
      </c>
      <c r="J4" s="1">
        <v>0</v>
      </c>
      <c r="L4" s="1" t="s">
        <v>34</v>
      </c>
      <c r="M4" s="1" t="s">
        <v>47</v>
      </c>
      <c r="N4" s="1" t="s">
        <v>59</v>
      </c>
      <c r="O4" s="1" t="s">
        <v>103</v>
      </c>
      <c r="P4" s="5">
        <v>46197</v>
      </c>
      <c r="Q4" s="1" t="s">
        <v>38</v>
      </c>
      <c r="U4" s="1">
        <v>0</v>
      </c>
      <c r="V4" s="1">
        <v>0</v>
      </c>
      <c r="W4" s="1">
        <v>0</v>
      </c>
      <c r="X4" s="1">
        <v>0</v>
      </c>
      <c r="Y4" s="1">
        <v>1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1</v>
      </c>
      <c r="AF4" s="1">
        <v>0</v>
      </c>
    </row>
    <row r="5" spans="1:32" hidden="1" x14ac:dyDescent="0.25">
      <c r="A5" s="1">
        <v>17</v>
      </c>
      <c r="B5" s="1" t="s">
        <v>104</v>
      </c>
      <c r="C5" s="1" t="s">
        <v>61</v>
      </c>
      <c r="D5" s="1" t="s">
        <v>105</v>
      </c>
      <c r="E5" s="1" t="s">
        <v>106</v>
      </c>
      <c r="F5" s="1" t="s">
        <v>90</v>
      </c>
      <c r="G5" s="5">
        <v>46176</v>
      </c>
      <c r="H5" s="5">
        <v>46197</v>
      </c>
      <c r="J5" s="1">
        <v>0.81</v>
      </c>
      <c r="L5" s="1" t="s">
        <v>34</v>
      </c>
      <c r="M5" s="1" t="s">
        <v>47</v>
      </c>
      <c r="N5" s="1" t="s">
        <v>59</v>
      </c>
      <c r="O5" s="1" t="s">
        <v>75</v>
      </c>
      <c r="P5" s="5">
        <v>46161</v>
      </c>
      <c r="Q5" s="1" t="s">
        <v>38</v>
      </c>
      <c r="U5" s="1">
        <v>0.81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 spans="1:32" hidden="1" x14ac:dyDescent="0.25">
      <c r="A6" s="1">
        <v>20</v>
      </c>
      <c r="B6" s="1" t="s">
        <v>113</v>
      </c>
      <c r="C6" s="1" t="s">
        <v>108</v>
      </c>
      <c r="D6" s="1" t="s">
        <v>78</v>
      </c>
      <c r="F6" s="1" t="s">
        <v>74</v>
      </c>
      <c r="G6" s="5">
        <v>46196</v>
      </c>
      <c r="H6" s="5">
        <v>46196</v>
      </c>
      <c r="I6" s="1" t="s">
        <v>114</v>
      </c>
      <c r="J6" s="1">
        <v>0.5</v>
      </c>
      <c r="L6" s="1" t="s">
        <v>34</v>
      </c>
      <c r="M6" s="1" t="s">
        <v>47</v>
      </c>
      <c r="N6" s="1" t="s">
        <v>59</v>
      </c>
      <c r="O6" s="1" t="s">
        <v>115</v>
      </c>
      <c r="P6" s="5">
        <v>46160</v>
      </c>
      <c r="Q6" s="1" t="s">
        <v>38</v>
      </c>
      <c r="R6" s="1">
        <v>21</v>
      </c>
      <c r="U6" s="1">
        <v>0.5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</v>
      </c>
      <c r="AD6" s="1">
        <v>0</v>
      </c>
      <c r="AE6" s="1">
        <v>0</v>
      </c>
      <c r="AF6" s="1">
        <v>0</v>
      </c>
    </row>
    <row r="7" spans="1:32" hidden="1" x14ac:dyDescent="0.25">
      <c r="A7" s="1">
        <v>21</v>
      </c>
      <c r="B7" s="1" t="s">
        <v>116</v>
      </c>
      <c r="C7" s="1" t="s">
        <v>108</v>
      </c>
      <c r="D7" s="1" t="s">
        <v>84</v>
      </c>
      <c r="F7" s="1" t="s">
        <v>74</v>
      </c>
      <c r="G7" s="5">
        <v>46197</v>
      </c>
      <c r="H7" s="5">
        <v>46197</v>
      </c>
      <c r="I7" s="1">
        <v>20</v>
      </c>
      <c r="J7" s="1">
        <v>0</v>
      </c>
      <c r="L7" s="1" t="s">
        <v>34</v>
      </c>
      <c r="M7" s="1" t="s">
        <v>47</v>
      </c>
      <c r="N7" s="1" t="s">
        <v>59</v>
      </c>
      <c r="O7" s="1" t="s">
        <v>117</v>
      </c>
      <c r="P7" s="5">
        <v>46161</v>
      </c>
      <c r="Q7" s="1" t="s">
        <v>38</v>
      </c>
      <c r="U7" s="1">
        <v>0</v>
      </c>
      <c r="V7" s="1">
        <v>0</v>
      </c>
      <c r="W7" s="1">
        <v>0</v>
      </c>
      <c r="X7" s="1">
        <v>0</v>
      </c>
      <c r="Y7" s="1">
        <v>1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</v>
      </c>
      <c r="AF7" s="1">
        <v>0</v>
      </c>
    </row>
    <row r="8" spans="1:32" hidden="1" x14ac:dyDescent="0.25">
      <c r="A8" s="1">
        <v>23</v>
      </c>
      <c r="B8" s="1" t="s">
        <v>122</v>
      </c>
      <c r="C8" s="1" t="s">
        <v>123</v>
      </c>
      <c r="D8" s="1" t="s">
        <v>124</v>
      </c>
      <c r="E8" s="1" t="s">
        <v>125</v>
      </c>
      <c r="F8" s="1" t="s">
        <v>126</v>
      </c>
      <c r="G8" s="5">
        <v>46195</v>
      </c>
      <c r="H8" s="5">
        <v>46203</v>
      </c>
      <c r="J8" s="1">
        <v>0</v>
      </c>
      <c r="L8" s="1" t="s">
        <v>34</v>
      </c>
      <c r="M8" s="1" t="s">
        <v>47</v>
      </c>
      <c r="N8" s="1" t="s">
        <v>121</v>
      </c>
      <c r="O8" s="1" t="s">
        <v>127</v>
      </c>
      <c r="P8" s="5">
        <v>46192</v>
      </c>
      <c r="Q8" s="1" t="s">
        <v>38</v>
      </c>
      <c r="S8" s="1" t="s">
        <v>65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 spans="1:32" x14ac:dyDescent="0.25">
      <c r="A9" s="1">
        <v>24</v>
      </c>
      <c r="B9" s="1" t="s">
        <v>128</v>
      </c>
      <c r="C9" s="1" t="s">
        <v>129</v>
      </c>
      <c r="D9" s="1" t="s">
        <v>68</v>
      </c>
      <c r="F9" s="1" t="s">
        <v>93</v>
      </c>
      <c r="G9" s="5">
        <v>46195</v>
      </c>
      <c r="H9" s="5">
        <v>46197</v>
      </c>
      <c r="J9" s="1">
        <v>0</v>
      </c>
      <c r="L9" s="1" t="s">
        <v>34</v>
      </c>
      <c r="M9" s="1" t="s">
        <v>47</v>
      </c>
      <c r="N9" s="1" t="s">
        <v>121</v>
      </c>
      <c r="O9" s="1" t="s">
        <v>127</v>
      </c>
      <c r="P9" s="5">
        <v>46188</v>
      </c>
      <c r="Q9" s="1" t="s">
        <v>38</v>
      </c>
      <c r="R9" s="1">
        <v>25</v>
      </c>
      <c r="U9" s="1">
        <v>0</v>
      </c>
      <c r="V9" s="1">
        <v>1</v>
      </c>
      <c r="W9" s="1">
        <v>0</v>
      </c>
      <c r="X9" s="1">
        <v>1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 spans="1:32" hidden="1" x14ac:dyDescent="0.25">
      <c r="A10" s="1">
        <v>25</v>
      </c>
      <c r="B10" s="1" t="s">
        <v>130</v>
      </c>
      <c r="C10" s="1" t="s">
        <v>129</v>
      </c>
      <c r="D10" s="1" t="s">
        <v>73</v>
      </c>
      <c r="F10" s="1" t="s">
        <v>74</v>
      </c>
      <c r="G10" s="5">
        <v>46198</v>
      </c>
      <c r="H10" s="5">
        <v>46198</v>
      </c>
      <c r="I10" s="1">
        <v>24</v>
      </c>
      <c r="J10" s="1">
        <v>0</v>
      </c>
      <c r="L10" s="1" t="s">
        <v>34</v>
      </c>
      <c r="M10" s="1" t="s">
        <v>47</v>
      </c>
      <c r="N10" s="1" t="s">
        <v>121</v>
      </c>
      <c r="O10" s="1" t="s">
        <v>131</v>
      </c>
      <c r="P10" s="5">
        <v>46189</v>
      </c>
      <c r="Q10" s="1" t="s">
        <v>38</v>
      </c>
      <c r="R10" s="1">
        <v>26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1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 spans="1:32" hidden="1" x14ac:dyDescent="0.25">
      <c r="A11" s="1">
        <v>26</v>
      </c>
      <c r="B11" s="1" t="s">
        <v>132</v>
      </c>
      <c r="C11" s="1" t="s">
        <v>129</v>
      </c>
      <c r="D11" s="1" t="s">
        <v>78</v>
      </c>
      <c r="F11" s="1" t="s">
        <v>69</v>
      </c>
      <c r="G11" s="5">
        <v>46199</v>
      </c>
      <c r="H11" s="5">
        <v>46202</v>
      </c>
      <c r="I11" s="1">
        <v>25</v>
      </c>
      <c r="J11" s="1">
        <v>0</v>
      </c>
      <c r="L11" s="1" t="s">
        <v>34</v>
      </c>
      <c r="M11" s="1" t="s">
        <v>47</v>
      </c>
      <c r="N11" s="1" t="s">
        <v>121</v>
      </c>
      <c r="O11" s="1" t="s">
        <v>133</v>
      </c>
      <c r="P11" s="5">
        <v>46191</v>
      </c>
      <c r="Q11" s="1" t="s">
        <v>38</v>
      </c>
      <c r="R11" s="1">
        <v>27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1</v>
      </c>
      <c r="AD11" s="1">
        <v>0</v>
      </c>
      <c r="AE11" s="1">
        <v>0</v>
      </c>
      <c r="AF11" s="1">
        <v>0</v>
      </c>
    </row>
    <row r="12" spans="1:32" hidden="1" x14ac:dyDescent="0.25">
      <c r="A12" s="1">
        <v>27</v>
      </c>
      <c r="B12" s="1" t="s">
        <v>134</v>
      </c>
      <c r="C12" s="1" t="s">
        <v>129</v>
      </c>
      <c r="D12" s="1" t="s">
        <v>84</v>
      </c>
      <c r="F12" s="1" t="s">
        <v>74</v>
      </c>
      <c r="G12" s="5">
        <v>46203</v>
      </c>
      <c r="H12" s="5">
        <v>46203</v>
      </c>
      <c r="I12" s="1">
        <v>26</v>
      </c>
      <c r="J12" s="1">
        <v>0</v>
      </c>
      <c r="L12" s="1" t="s">
        <v>34</v>
      </c>
      <c r="M12" s="1" t="s">
        <v>47</v>
      </c>
      <c r="N12" s="1" t="s">
        <v>121</v>
      </c>
      <c r="O12" s="1" t="s">
        <v>135</v>
      </c>
      <c r="P12" s="5">
        <v>46192</v>
      </c>
      <c r="Q12" s="1" t="s">
        <v>38</v>
      </c>
      <c r="U12" s="1">
        <v>0</v>
      </c>
      <c r="V12" s="1">
        <v>0</v>
      </c>
      <c r="W12" s="1">
        <v>0</v>
      </c>
      <c r="X12" s="1">
        <v>0</v>
      </c>
      <c r="Y12" s="1">
        <v>1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1</v>
      </c>
      <c r="AF12" s="1">
        <v>0</v>
      </c>
    </row>
    <row r="13" spans="1:32" hidden="1" x14ac:dyDescent="0.25">
      <c r="A13" s="1">
        <v>28</v>
      </c>
      <c r="B13" s="1" t="s">
        <v>136</v>
      </c>
      <c r="C13" s="1" t="s">
        <v>123</v>
      </c>
      <c r="D13" s="1" t="s">
        <v>137</v>
      </c>
      <c r="E13" s="1" t="s">
        <v>138</v>
      </c>
      <c r="F13" s="1" t="s">
        <v>139</v>
      </c>
      <c r="G13" s="5">
        <v>46199</v>
      </c>
      <c r="H13" s="5">
        <v>46204</v>
      </c>
      <c r="J13" s="1">
        <v>0</v>
      </c>
      <c r="L13" s="1" t="s">
        <v>34</v>
      </c>
      <c r="M13" s="1" t="s">
        <v>47</v>
      </c>
      <c r="N13" s="1" t="s">
        <v>121</v>
      </c>
      <c r="O13" s="1" t="s">
        <v>140</v>
      </c>
      <c r="P13" s="5">
        <v>46211</v>
      </c>
      <c r="Q13" s="1" t="s">
        <v>38</v>
      </c>
      <c r="S13" s="1" t="s">
        <v>65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 spans="1:32" x14ac:dyDescent="0.25">
      <c r="A14" s="1">
        <v>29</v>
      </c>
      <c r="B14" s="1" t="s">
        <v>141</v>
      </c>
      <c r="C14" s="1" t="s">
        <v>142</v>
      </c>
      <c r="D14" s="1" t="s">
        <v>68</v>
      </c>
      <c r="F14" s="1" t="s">
        <v>74</v>
      </c>
      <c r="G14" s="5">
        <v>46199</v>
      </c>
      <c r="H14" s="5">
        <v>46201</v>
      </c>
      <c r="J14" s="1">
        <v>0</v>
      </c>
      <c r="L14" s="1" t="s">
        <v>34</v>
      </c>
      <c r="M14" s="1" t="s">
        <v>47</v>
      </c>
      <c r="N14" s="1" t="s">
        <v>121</v>
      </c>
      <c r="O14" s="1" t="s">
        <v>140</v>
      </c>
      <c r="P14" s="5">
        <v>46205</v>
      </c>
      <c r="R14" s="1">
        <v>30</v>
      </c>
      <c r="U14" s="1">
        <v>0</v>
      </c>
      <c r="V14" s="1">
        <v>1</v>
      </c>
      <c r="W14" s="1">
        <v>0</v>
      </c>
      <c r="X14" s="1">
        <v>1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 spans="1:32" hidden="1" x14ac:dyDescent="0.25">
      <c r="A15" s="1">
        <v>30</v>
      </c>
      <c r="B15" s="1" t="s">
        <v>143</v>
      </c>
      <c r="C15" s="1" t="s">
        <v>142</v>
      </c>
      <c r="D15" s="1" t="s">
        <v>73</v>
      </c>
      <c r="F15" s="1" t="s">
        <v>74</v>
      </c>
      <c r="G15" s="5">
        <v>46202</v>
      </c>
      <c r="H15" s="5">
        <v>46202</v>
      </c>
      <c r="I15" s="1">
        <v>29</v>
      </c>
      <c r="J15" s="1">
        <v>0</v>
      </c>
      <c r="L15" s="1" t="s">
        <v>34</v>
      </c>
      <c r="M15" s="1" t="s">
        <v>47</v>
      </c>
      <c r="N15" s="1" t="s">
        <v>121</v>
      </c>
      <c r="O15" s="1" t="s">
        <v>144</v>
      </c>
      <c r="P15" s="5">
        <v>46206</v>
      </c>
      <c r="R15" s="1">
        <v>31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1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</row>
    <row r="16" spans="1:32" hidden="1" x14ac:dyDescent="0.25">
      <c r="A16" s="1">
        <v>31</v>
      </c>
      <c r="B16" s="1" t="s">
        <v>145</v>
      </c>
      <c r="C16" s="1" t="s">
        <v>142</v>
      </c>
      <c r="D16" s="1" t="s">
        <v>78</v>
      </c>
      <c r="F16" s="1" t="s">
        <v>74</v>
      </c>
      <c r="G16" s="5">
        <v>46203</v>
      </c>
      <c r="H16" s="5">
        <v>46203</v>
      </c>
      <c r="I16" s="1">
        <v>30</v>
      </c>
      <c r="J16" s="1">
        <v>0</v>
      </c>
      <c r="L16" s="1" t="s">
        <v>34</v>
      </c>
      <c r="M16" s="1" t="s">
        <v>47</v>
      </c>
      <c r="N16" s="1" t="s">
        <v>121</v>
      </c>
      <c r="O16" s="1" t="s">
        <v>146</v>
      </c>
      <c r="P16" s="5">
        <v>46210</v>
      </c>
      <c r="R16" s="1">
        <v>32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</v>
      </c>
      <c r="AD16" s="1">
        <v>0</v>
      </c>
      <c r="AE16" s="1">
        <v>0</v>
      </c>
      <c r="AF16" s="1">
        <v>0</v>
      </c>
    </row>
    <row r="17" spans="1:32" hidden="1" x14ac:dyDescent="0.25">
      <c r="A17" s="1">
        <v>32</v>
      </c>
      <c r="B17" s="1" t="s">
        <v>147</v>
      </c>
      <c r="C17" s="1" t="s">
        <v>142</v>
      </c>
      <c r="D17" s="1" t="s">
        <v>84</v>
      </c>
      <c r="F17" s="1" t="s">
        <v>74</v>
      </c>
      <c r="G17" s="5">
        <v>46204</v>
      </c>
      <c r="H17" s="5">
        <v>46204</v>
      </c>
      <c r="I17" s="1">
        <v>31</v>
      </c>
      <c r="J17" s="1">
        <v>0</v>
      </c>
      <c r="L17" s="1" t="s">
        <v>34</v>
      </c>
      <c r="M17" s="1" t="s">
        <v>47</v>
      </c>
      <c r="N17" s="1" t="s">
        <v>121</v>
      </c>
      <c r="O17" s="1" t="s">
        <v>148</v>
      </c>
      <c r="P17" s="5">
        <v>46211</v>
      </c>
      <c r="U17" s="1">
        <v>0</v>
      </c>
      <c r="V17" s="1">
        <v>0</v>
      </c>
      <c r="W17" s="1">
        <v>0</v>
      </c>
      <c r="X17" s="1">
        <v>0</v>
      </c>
      <c r="Y17" s="1">
        <v>1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1</v>
      </c>
      <c r="AF17" s="1">
        <v>0</v>
      </c>
    </row>
    <row r="18" spans="1:32" hidden="1" x14ac:dyDescent="0.25">
      <c r="A18" s="1">
        <v>33</v>
      </c>
      <c r="B18" s="1" t="s">
        <v>149</v>
      </c>
      <c r="C18" s="1" t="s">
        <v>123</v>
      </c>
      <c r="D18" s="1" t="s">
        <v>150</v>
      </c>
      <c r="E18" s="1" t="s">
        <v>151</v>
      </c>
      <c r="F18" s="1" t="s">
        <v>126</v>
      </c>
      <c r="G18" s="5">
        <v>46195</v>
      </c>
      <c r="H18" s="5">
        <v>46203</v>
      </c>
      <c r="J18" s="1">
        <v>0.71</v>
      </c>
      <c r="L18" s="1" t="s">
        <v>34</v>
      </c>
      <c r="M18" s="1" t="s">
        <v>47</v>
      </c>
      <c r="N18" s="1" t="s">
        <v>121</v>
      </c>
      <c r="O18" s="1" t="s">
        <v>152</v>
      </c>
      <c r="P18" s="5">
        <v>46231</v>
      </c>
      <c r="Q18" s="1" t="s">
        <v>38</v>
      </c>
      <c r="U18" s="1">
        <v>0.71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 spans="1:32" hidden="1" x14ac:dyDescent="0.25">
      <c r="A19" s="1">
        <v>36</v>
      </c>
      <c r="B19" s="1" t="s">
        <v>158</v>
      </c>
      <c r="C19" s="1" t="s">
        <v>154</v>
      </c>
      <c r="D19" s="1" t="s">
        <v>78</v>
      </c>
      <c r="F19" s="1" t="s">
        <v>69</v>
      </c>
      <c r="G19" s="5">
        <v>46199</v>
      </c>
      <c r="H19" s="5">
        <v>46202</v>
      </c>
      <c r="I19" s="1">
        <v>35</v>
      </c>
      <c r="J19" s="1">
        <v>0.5</v>
      </c>
      <c r="L19" s="1" t="s">
        <v>34</v>
      </c>
      <c r="M19" s="1" t="s">
        <v>47</v>
      </c>
      <c r="N19" s="1" t="s">
        <v>121</v>
      </c>
      <c r="O19" s="1" t="s">
        <v>159</v>
      </c>
      <c r="P19" s="5">
        <v>46230</v>
      </c>
      <c r="Q19" s="1" t="s">
        <v>38</v>
      </c>
      <c r="R19" s="1">
        <v>37</v>
      </c>
      <c r="U19" s="1">
        <v>0.5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1</v>
      </c>
      <c r="AD19" s="1">
        <v>0</v>
      </c>
      <c r="AE19" s="1">
        <v>0</v>
      </c>
      <c r="AF19" s="1">
        <v>0</v>
      </c>
    </row>
    <row r="20" spans="1:32" hidden="1" x14ac:dyDescent="0.25">
      <c r="A20" s="1">
        <v>37</v>
      </c>
      <c r="B20" s="1" t="s">
        <v>160</v>
      </c>
      <c r="C20" s="1" t="s">
        <v>154</v>
      </c>
      <c r="D20" s="1" t="s">
        <v>84</v>
      </c>
      <c r="F20" s="1" t="s">
        <v>74</v>
      </c>
      <c r="G20" s="5">
        <v>46203</v>
      </c>
      <c r="H20" s="5">
        <v>46203</v>
      </c>
      <c r="I20" s="1">
        <v>36</v>
      </c>
      <c r="J20" s="1">
        <v>0</v>
      </c>
      <c r="L20" s="1" t="s">
        <v>34</v>
      </c>
      <c r="M20" s="1" t="s">
        <v>47</v>
      </c>
      <c r="N20" s="1" t="s">
        <v>121</v>
      </c>
      <c r="O20" s="1" t="s">
        <v>161</v>
      </c>
      <c r="P20" s="5">
        <v>46231</v>
      </c>
      <c r="Q20" s="1" t="s">
        <v>38</v>
      </c>
      <c r="U20" s="1">
        <v>0</v>
      </c>
      <c r="V20" s="1">
        <v>0</v>
      </c>
      <c r="W20" s="1">
        <v>0</v>
      </c>
      <c r="X20" s="1">
        <v>0</v>
      </c>
      <c r="Y20" s="1">
        <v>1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1</v>
      </c>
      <c r="AF20" s="1">
        <v>0</v>
      </c>
    </row>
    <row r="21" spans="1:32" hidden="1" x14ac:dyDescent="0.25">
      <c r="A21" s="1">
        <v>44</v>
      </c>
      <c r="B21" s="1" t="s">
        <v>177</v>
      </c>
      <c r="C21" s="1" t="s">
        <v>178</v>
      </c>
      <c r="D21" s="1" t="s">
        <v>179</v>
      </c>
      <c r="E21" s="1" t="s">
        <v>180</v>
      </c>
      <c r="F21" s="1" t="s">
        <v>181</v>
      </c>
      <c r="G21" s="5">
        <v>46181</v>
      </c>
      <c r="H21" s="5">
        <v>46191</v>
      </c>
      <c r="J21" s="1">
        <v>0.28000000000000003</v>
      </c>
      <c r="L21" s="1" t="s">
        <v>34</v>
      </c>
      <c r="M21" s="1" t="s">
        <v>47</v>
      </c>
      <c r="N21" s="1" t="s">
        <v>176</v>
      </c>
      <c r="O21" s="1" t="s">
        <v>182</v>
      </c>
      <c r="P21" s="5">
        <v>46192</v>
      </c>
      <c r="Q21" s="1" t="s">
        <v>38</v>
      </c>
      <c r="U21" s="1">
        <v>0.28000000000000003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</row>
    <row r="22" spans="1:32" x14ac:dyDescent="0.25">
      <c r="A22" s="1">
        <v>45</v>
      </c>
      <c r="B22" s="1" t="s">
        <v>183</v>
      </c>
      <c r="C22" s="1" t="s">
        <v>184</v>
      </c>
      <c r="D22" s="1" t="s">
        <v>68</v>
      </c>
      <c r="F22" s="1" t="s">
        <v>185</v>
      </c>
      <c r="G22" s="5">
        <v>46181</v>
      </c>
      <c r="H22" s="5">
        <v>46185</v>
      </c>
      <c r="I22" s="1" t="s">
        <v>186</v>
      </c>
      <c r="J22" s="1">
        <v>0.5</v>
      </c>
      <c r="L22" s="1" t="s">
        <v>34</v>
      </c>
      <c r="M22" s="1" t="s">
        <v>47</v>
      </c>
      <c r="N22" s="1" t="s">
        <v>176</v>
      </c>
      <c r="O22" s="1" t="s">
        <v>182</v>
      </c>
      <c r="P22" s="5">
        <v>46188</v>
      </c>
      <c r="Q22" s="1" t="s">
        <v>38</v>
      </c>
      <c r="R22" s="1" t="s">
        <v>187</v>
      </c>
      <c r="U22" s="1">
        <v>0.5</v>
      </c>
      <c r="V22" s="1">
        <v>1</v>
      </c>
      <c r="W22" s="1">
        <v>0</v>
      </c>
      <c r="X22" s="1">
        <v>1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</row>
    <row r="23" spans="1:32" hidden="1" x14ac:dyDescent="0.25">
      <c r="A23" s="1">
        <v>46</v>
      </c>
      <c r="B23" s="1" t="s">
        <v>188</v>
      </c>
      <c r="C23" s="1" t="s">
        <v>184</v>
      </c>
      <c r="D23" s="1" t="s">
        <v>73</v>
      </c>
      <c r="F23" s="1" t="s">
        <v>74</v>
      </c>
      <c r="G23" s="5">
        <v>46188</v>
      </c>
      <c r="H23" s="5">
        <v>46188</v>
      </c>
      <c r="I23" s="1">
        <v>45</v>
      </c>
      <c r="J23" s="1">
        <v>0</v>
      </c>
      <c r="L23" s="1" t="s">
        <v>34</v>
      </c>
      <c r="M23" s="1" t="s">
        <v>47</v>
      </c>
      <c r="N23" s="1" t="s">
        <v>176</v>
      </c>
      <c r="O23" s="1" t="s">
        <v>131</v>
      </c>
      <c r="P23" s="5">
        <v>46189</v>
      </c>
      <c r="Q23" s="1" t="s">
        <v>38</v>
      </c>
      <c r="R23" s="1">
        <v>47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1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</row>
    <row r="24" spans="1:32" hidden="1" x14ac:dyDescent="0.25">
      <c r="A24" s="1">
        <v>47</v>
      </c>
      <c r="B24" s="1" t="s">
        <v>189</v>
      </c>
      <c r="C24" s="1" t="s">
        <v>184</v>
      </c>
      <c r="D24" s="1" t="s">
        <v>78</v>
      </c>
      <c r="F24" s="1" t="s">
        <v>69</v>
      </c>
      <c r="G24" s="5">
        <v>46189</v>
      </c>
      <c r="H24" s="5">
        <v>46190</v>
      </c>
      <c r="I24" s="1">
        <v>46</v>
      </c>
      <c r="J24" s="1">
        <v>0</v>
      </c>
      <c r="L24" s="1" t="s">
        <v>34</v>
      </c>
      <c r="M24" s="1" t="s">
        <v>47</v>
      </c>
      <c r="N24" s="1" t="s">
        <v>176</v>
      </c>
      <c r="O24" s="1" t="s">
        <v>133</v>
      </c>
      <c r="P24" s="5">
        <v>46191</v>
      </c>
      <c r="Q24" s="1" t="s">
        <v>38</v>
      </c>
      <c r="R24" s="1">
        <v>48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1</v>
      </c>
      <c r="AD24" s="1">
        <v>0</v>
      </c>
      <c r="AE24" s="1">
        <v>0</v>
      </c>
      <c r="AF24" s="1">
        <v>0</v>
      </c>
    </row>
    <row r="25" spans="1:32" hidden="1" x14ac:dyDescent="0.25">
      <c r="A25" s="1">
        <v>48</v>
      </c>
      <c r="B25" s="1" t="s">
        <v>190</v>
      </c>
      <c r="C25" s="1" t="s">
        <v>184</v>
      </c>
      <c r="D25" s="1" t="s">
        <v>84</v>
      </c>
      <c r="F25" s="1" t="s">
        <v>74</v>
      </c>
      <c r="G25" s="5">
        <v>46191</v>
      </c>
      <c r="H25" s="5">
        <v>46191</v>
      </c>
      <c r="I25" s="1">
        <v>47</v>
      </c>
      <c r="J25" s="1">
        <v>0</v>
      </c>
      <c r="L25" s="1" t="s">
        <v>34</v>
      </c>
      <c r="M25" s="1" t="s">
        <v>47</v>
      </c>
      <c r="N25" s="1" t="s">
        <v>176</v>
      </c>
      <c r="O25" s="1" t="s">
        <v>135</v>
      </c>
      <c r="P25" s="5">
        <v>46192</v>
      </c>
      <c r="Q25" s="1" t="s">
        <v>38</v>
      </c>
      <c r="U25" s="1">
        <v>0</v>
      </c>
      <c r="V25" s="1">
        <v>0</v>
      </c>
      <c r="W25" s="1">
        <v>0</v>
      </c>
      <c r="X25" s="1">
        <v>0</v>
      </c>
      <c r="Y25" s="1">
        <v>1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1</v>
      </c>
      <c r="AF25" s="1">
        <v>0</v>
      </c>
    </row>
    <row r="26" spans="1:32" hidden="1" x14ac:dyDescent="0.25">
      <c r="A26" s="1">
        <v>54</v>
      </c>
      <c r="B26" s="1" t="s">
        <v>202</v>
      </c>
      <c r="C26" s="1" t="s">
        <v>178</v>
      </c>
      <c r="D26" s="1" t="s">
        <v>203</v>
      </c>
      <c r="E26" s="1" t="s">
        <v>204</v>
      </c>
      <c r="F26" s="1" t="s">
        <v>139</v>
      </c>
      <c r="G26" s="5">
        <v>46170</v>
      </c>
      <c r="H26" s="5">
        <v>46176</v>
      </c>
      <c r="J26" s="1">
        <v>0.63</v>
      </c>
      <c r="L26" s="1" t="s">
        <v>34</v>
      </c>
      <c r="M26" s="1" t="s">
        <v>47</v>
      </c>
      <c r="N26" s="1" t="s">
        <v>176</v>
      </c>
      <c r="O26" s="1" t="s">
        <v>86</v>
      </c>
      <c r="P26" s="5">
        <v>46167</v>
      </c>
      <c r="Q26" s="1" t="s">
        <v>38</v>
      </c>
      <c r="U26" s="1">
        <v>0.63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</row>
    <row r="27" spans="1:32" hidden="1" x14ac:dyDescent="0.25">
      <c r="A27" s="1">
        <v>57</v>
      </c>
      <c r="B27" s="1" t="s">
        <v>210</v>
      </c>
      <c r="C27" s="1" t="s">
        <v>206</v>
      </c>
      <c r="D27" s="1" t="s">
        <v>78</v>
      </c>
      <c r="F27" s="1" t="s">
        <v>69</v>
      </c>
      <c r="G27" s="5">
        <v>46174</v>
      </c>
      <c r="H27" s="5">
        <v>46175</v>
      </c>
      <c r="I27" s="1">
        <v>56</v>
      </c>
      <c r="J27" s="1">
        <v>0.75</v>
      </c>
      <c r="L27" s="1" t="s">
        <v>34</v>
      </c>
      <c r="M27" s="1" t="s">
        <v>47</v>
      </c>
      <c r="N27" s="1" t="s">
        <v>176</v>
      </c>
      <c r="O27" s="1" t="s">
        <v>211</v>
      </c>
      <c r="P27" s="5">
        <v>46164</v>
      </c>
      <c r="Q27" s="1" t="s">
        <v>38</v>
      </c>
      <c r="R27" s="1">
        <v>58</v>
      </c>
      <c r="U27" s="1">
        <v>0.75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1</v>
      </c>
      <c r="AD27" s="1">
        <v>0</v>
      </c>
      <c r="AE27" s="1">
        <v>0</v>
      </c>
      <c r="AF27" s="1">
        <v>0</v>
      </c>
    </row>
    <row r="28" spans="1:32" hidden="1" x14ac:dyDescent="0.25">
      <c r="A28" s="1">
        <v>58</v>
      </c>
      <c r="B28" s="1" t="s">
        <v>212</v>
      </c>
      <c r="C28" s="1" t="s">
        <v>206</v>
      </c>
      <c r="D28" s="1" t="s">
        <v>84</v>
      </c>
      <c r="F28" s="1" t="s">
        <v>74</v>
      </c>
      <c r="G28" s="5">
        <v>46176</v>
      </c>
      <c r="H28" s="5">
        <v>46176</v>
      </c>
      <c r="I28" s="1">
        <v>57</v>
      </c>
      <c r="J28" s="1">
        <v>0</v>
      </c>
      <c r="L28" s="1" t="s">
        <v>34</v>
      </c>
      <c r="M28" s="1" t="s">
        <v>47</v>
      </c>
      <c r="N28" s="1" t="s">
        <v>176</v>
      </c>
      <c r="O28" s="1" t="s">
        <v>213</v>
      </c>
      <c r="P28" s="5">
        <v>46167</v>
      </c>
      <c r="Q28" s="1" t="s">
        <v>38</v>
      </c>
      <c r="U28" s="1">
        <v>0</v>
      </c>
      <c r="V28" s="1">
        <v>0</v>
      </c>
      <c r="W28" s="1">
        <v>0</v>
      </c>
      <c r="X28" s="1">
        <v>0</v>
      </c>
      <c r="Y28" s="1">
        <v>1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1</v>
      </c>
      <c r="AF28" s="1">
        <v>0</v>
      </c>
    </row>
    <row r="29" spans="1:32" hidden="1" x14ac:dyDescent="0.25">
      <c r="A29" s="1">
        <v>59</v>
      </c>
      <c r="B29" s="1" t="s">
        <v>214</v>
      </c>
      <c r="C29" s="1" t="s">
        <v>178</v>
      </c>
      <c r="D29" s="1" t="s">
        <v>215</v>
      </c>
      <c r="E29" s="1" t="s">
        <v>216</v>
      </c>
      <c r="F29" s="1" t="s">
        <v>217</v>
      </c>
      <c r="G29" s="5">
        <v>46170</v>
      </c>
      <c r="H29" s="5">
        <v>46204</v>
      </c>
      <c r="J29" s="1">
        <v>0.63</v>
      </c>
      <c r="L29" s="1" t="s">
        <v>34</v>
      </c>
      <c r="M29" s="1" t="s">
        <v>47</v>
      </c>
      <c r="N29" s="1" t="s">
        <v>176</v>
      </c>
      <c r="O29" s="1" t="s">
        <v>86</v>
      </c>
      <c r="P29" s="5">
        <v>46167</v>
      </c>
      <c r="Q29" s="1" t="s">
        <v>38</v>
      </c>
      <c r="S29" s="1" t="s">
        <v>65</v>
      </c>
      <c r="U29" s="1">
        <v>0.63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</row>
    <row r="30" spans="1:32" hidden="1" x14ac:dyDescent="0.25">
      <c r="A30" s="1">
        <v>62</v>
      </c>
      <c r="B30" s="1" t="s">
        <v>221</v>
      </c>
      <c r="C30" s="1" t="s">
        <v>219</v>
      </c>
      <c r="D30" s="1" t="s">
        <v>78</v>
      </c>
      <c r="F30" s="1" t="s">
        <v>69</v>
      </c>
      <c r="G30" s="5">
        <v>46202</v>
      </c>
      <c r="H30" s="5">
        <v>46203</v>
      </c>
      <c r="I30" s="1">
        <v>61</v>
      </c>
      <c r="J30" s="1">
        <v>0.75</v>
      </c>
      <c r="L30" s="1" t="s">
        <v>34</v>
      </c>
      <c r="M30" s="1" t="s">
        <v>47</v>
      </c>
      <c r="N30" s="1" t="s">
        <v>176</v>
      </c>
      <c r="O30" s="1" t="s">
        <v>211</v>
      </c>
      <c r="P30" s="5">
        <v>46164</v>
      </c>
      <c r="Q30" s="1" t="s">
        <v>38</v>
      </c>
      <c r="R30" s="1">
        <v>63</v>
      </c>
      <c r="U30" s="1">
        <v>0.75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1</v>
      </c>
      <c r="AD30" s="1">
        <v>0</v>
      </c>
      <c r="AE30" s="1">
        <v>0</v>
      </c>
      <c r="AF30" s="1">
        <v>0</v>
      </c>
    </row>
    <row r="31" spans="1:32" hidden="1" x14ac:dyDescent="0.25">
      <c r="A31" s="1">
        <v>63</v>
      </c>
      <c r="B31" s="1" t="s">
        <v>222</v>
      </c>
      <c r="C31" s="1" t="s">
        <v>219</v>
      </c>
      <c r="D31" s="1" t="s">
        <v>84</v>
      </c>
      <c r="F31" s="1" t="s">
        <v>74</v>
      </c>
      <c r="G31" s="5">
        <v>46204</v>
      </c>
      <c r="H31" s="5">
        <v>46204</v>
      </c>
      <c r="I31" s="1">
        <v>62</v>
      </c>
      <c r="J31" s="1">
        <v>0</v>
      </c>
      <c r="L31" s="1" t="s">
        <v>34</v>
      </c>
      <c r="M31" s="1" t="s">
        <v>47</v>
      </c>
      <c r="N31" s="1" t="s">
        <v>176</v>
      </c>
      <c r="O31" s="1" t="s">
        <v>213</v>
      </c>
      <c r="P31" s="5">
        <v>46167</v>
      </c>
      <c r="Q31" s="1" t="s">
        <v>38</v>
      </c>
      <c r="U31" s="1">
        <v>0</v>
      </c>
      <c r="V31" s="1">
        <v>0</v>
      </c>
      <c r="W31" s="1">
        <v>0</v>
      </c>
      <c r="X31" s="1">
        <v>0</v>
      </c>
      <c r="Y31" s="1">
        <v>1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1</v>
      </c>
      <c r="AF31" s="1">
        <v>0</v>
      </c>
    </row>
    <row r="32" spans="1:32" hidden="1" x14ac:dyDescent="0.25">
      <c r="A32" s="1">
        <v>65</v>
      </c>
      <c r="B32" s="1" t="s">
        <v>227</v>
      </c>
      <c r="C32" s="1" t="s">
        <v>228</v>
      </c>
      <c r="D32" s="1" t="s">
        <v>229</v>
      </c>
      <c r="E32" s="1" t="s">
        <v>180</v>
      </c>
      <c r="F32" s="1" t="s">
        <v>230</v>
      </c>
      <c r="G32" s="5">
        <v>46160</v>
      </c>
      <c r="H32" s="5">
        <v>46167</v>
      </c>
      <c r="J32" s="1">
        <v>0.67</v>
      </c>
      <c r="L32" s="1" t="s">
        <v>34</v>
      </c>
      <c r="M32" s="1" t="s">
        <v>47</v>
      </c>
      <c r="N32" s="1" t="s">
        <v>226</v>
      </c>
      <c r="O32" s="1" t="s">
        <v>182</v>
      </c>
      <c r="P32" s="5">
        <v>46192</v>
      </c>
      <c r="Q32" s="1" t="s">
        <v>38</v>
      </c>
      <c r="U32" s="1">
        <v>0.67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</row>
    <row r="33" spans="1:32" hidden="1" x14ac:dyDescent="0.25">
      <c r="A33" s="1">
        <v>68</v>
      </c>
      <c r="B33" s="1" t="s">
        <v>236</v>
      </c>
      <c r="C33" s="1" t="s">
        <v>232</v>
      </c>
      <c r="D33" s="1" t="s">
        <v>78</v>
      </c>
      <c r="F33" s="1" t="s">
        <v>69</v>
      </c>
      <c r="G33" s="5">
        <v>46163</v>
      </c>
      <c r="H33" s="5">
        <v>46164</v>
      </c>
      <c r="I33" s="1">
        <v>67</v>
      </c>
      <c r="J33" s="1">
        <v>0.5</v>
      </c>
      <c r="L33" s="1" t="s">
        <v>34</v>
      </c>
      <c r="M33" s="1" t="s">
        <v>47</v>
      </c>
      <c r="N33" s="1" t="s">
        <v>226</v>
      </c>
      <c r="O33" s="1" t="s">
        <v>133</v>
      </c>
      <c r="P33" s="5">
        <v>46191</v>
      </c>
      <c r="Q33" s="1" t="s">
        <v>38</v>
      </c>
      <c r="R33" s="1">
        <v>69</v>
      </c>
      <c r="U33" s="1">
        <v>0.5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1</v>
      </c>
      <c r="AD33" s="1">
        <v>0</v>
      </c>
      <c r="AE33" s="1">
        <v>0</v>
      </c>
      <c r="AF33" s="1">
        <v>0</v>
      </c>
    </row>
    <row r="34" spans="1:32" hidden="1" x14ac:dyDescent="0.25">
      <c r="A34" s="1">
        <v>69</v>
      </c>
      <c r="B34" s="1" t="s">
        <v>237</v>
      </c>
      <c r="C34" s="1" t="s">
        <v>232</v>
      </c>
      <c r="D34" s="1" t="s">
        <v>84</v>
      </c>
      <c r="F34" s="1" t="s">
        <v>74</v>
      </c>
      <c r="G34" s="5">
        <v>46167</v>
      </c>
      <c r="H34" s="5">
        <v>46167</v>
      </c>
      <c r="I34" s="1">
        <v>68</v>
      </c>
      <c r="J34" s="1">
        <v>0</v>
      </c>
      <c r="L34" s="1" t="s">
        <v>34</v>
      </c>
      <c r="M34" s="1" t="s">
        <v>47</v>
      </c>
      <c r="N34" s="1" t="s">
        <v>226</v>
      </c>
      <c r="O34" s="1" t="s">
        <v>135</v>
      </c>
      <c r="P34" s="5">
        <v>46192</v>
      </c>
      <c r="Q34" s="1" t="s">
        <v>38</v>
      </c>
      <c r="U34" s="1">
        <v>0</v>
      </c>
      <c r="V34" s="1">
        <v>0</v>
      </c>
      <c r="W34" s="1">
        <v>0</v>
      </c>
      <c r="X34" s="1">
        <v>0</v>
      </c>
      <c r="Y34" s="1">
        <v>1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1</v>
      </c>
      <c r="AF34" s="1">
        <v>0</v>
      </c>
    </row>
    <row r="35" spans="1:32" hidden="1" x14ac:dyDescent="0.25">
      <c r="A35" s="1">
        <v>117</v>
      </c>
      <c r="B35" s="1" t="s">
        <v>323</v>
      </c>
      <c r="C35" s="1" t="s">
        <v>324</v>
      </c>
      <c r="D35" s="1" t="s">
        <v>325</v>
      </c>
      <c r="E35" s="1" t="s">
        <v>180</v>
      </c>
      <c r="F35" s="1" t="s">
        <v>126</v>
      </c>
      <c r="G35" s="5">
        <v>46183</v>
      </c>
      <c r="H35" s="5">
        <v>46191</v>
      </c>
      <c r="J35" s="1">
        <v>0.21</v>
      </c>
      <c r="L35" s="1" t="s">
        <v>34</v>
      </c>
      <c r="M35" s="1" t="s">
        <v>47</v>
      </c>
      <c r="N35" s="1" t="s">
        <v>321</v>
      </c>
      <c r="O35" s="1" t="s">
        <v>182</v>
      </c>
      <c r="P35" s="5">
        <v>46192</v>
      </c>
      <c r="Q35" s="1" t="s">
        <v>38</v>
      </c>
      <c r="U35" s="1">
        <v>0.21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</row>
    <row r="36" spans="1:32" x14ac:dyDescent="0.25">
      <c r="A36" s="1">
        <v>118</v>
      </c>
      <c r="B36" s="1" t="s">
        <v>326</v>
      </c>
      <c r="C36" s="1" t="s">
        <v>327</v>
      </c>
      <c r="D36" s="1" t="s">
        <v>68</v>
      </c>
      <c r="F36" s="1" t="s">
        <v>93</v>
      </c>
      <c r="G36" s="5">
        <v>46183</v>
      </c>
      <c r="H36" s="5">
        <v>46185</v>
      </c>
      <c r="I36" s="1" t="s">
        <v>233</v>
      </c>
      <c r="J36" s="1">
        <v>0.5</v>
      </c>
      <c r="L36" s="1" t="s">
        <v>34</v>
      </c>
      <c r="M36" s="1" t="s">
        <v>47</v>
      </c>
      <c r="N36" s="1" t="s">
        <v>321</v>
      </c>
      <c r="O36" s="1" t="s">
        <v>182</v>
      </c>
      <c r="P36" s="5">
        <v>46188</v>
      </c>
      <c r="Q36" s="1" t="s">
        <v>38</v>
      </c>
      <c r="R36" s="1" t="s">
        <v>328</v>
      </c>
      <c r="U36" s="1">
        <v>0.5</v>
      </c>
      <c r="V36" s="1">
        <v>1</v>
      </c>
      <c r="W36" s="1">
        <v>0</v>
      </c>
      <c r="X36" s="1">
        <v>1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</row>
    <row r="37" spans="1:32" hidden="1" x14ac:dyDescent="0.25">
      <c r="A37" s="1">
        <v>119</v>
      </c>
      <c r="B37" s="1" t="s">
        <v>329</v>
      </c>
      <c r="C37" s="1" t="s">
        <v>327</v>
      </c>
      <c r="D37" s="1" t="s">
        <v>73</v>
      </c>
      <c r="F37" s="1" t="s">
        <v>74</v>
      </c>
      <c r="G37" s="5">
        <v>46188</v>
      </c>
      <c r="H37" s="5">
        <v>46188</v>
      </c>
      <c r="I37" s="1">
        <v>118</v>
      </c>
      <c r="J37" s="1">
        <v>0</v>
      </c>
      <c r="L37" s="1" t="s">
        <v>34</v>
      </c>
      <c r="M37" s="1" t="s">
        <v>47</v>
      </c>
      <c r="N37" s="1" t="s">
        <v>321</v>
      </c>
      <c r="O37" s="1" t="s">
        <v>131</v>
      </c>
      <c r="P37" s="5">
        <v>46189</v>
      </c>
      <c r="Q37" s="1" t="s">
        <v>38</v>
      </c>
      <c r="R37" s="1">
        <v>120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1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</row>
    <row r="38" spans="1:32" hidden="1" x14ac:dyDescent="0.25">
      <c r="A38" s="1">
        <v>120</v>
      </c>
      <c r="B38" s="1" t="s">
        <v>330</v>
      </c>
      <c r="C38" s="1" t="s">
        <v>327</v>
      </c>
      <c r="D38" s="1" t="s">
        <v>78</v>
      </c>
      <c r="F38" s="1" t="s">
        <v>69</v>
      </c>
      <c r="G38" s="5">
        <v>46189</v>
      </c>
      <c r="H38" s="5">
        <v>46190</v>
      </c>
      <c r="I38" s="1">
        <v>119</v>
      </c>
      <c r="J38" s="1">
        <v>0</v>
      </c>
      <c r="L38" s="1" t="s">
        <v>34</v>
      </c>
      <c r="M38" s="1" t="s">
        <v>47</v>
      </c>
      <c r="N38" s="1" t="s">
        <v>321</v>
      </c>
      <c r="O38" s="1" t="s">
        <v>133</v>
      </c>
      <c r="P38" s="5">
        <v>46191</v>
      </c>
      <c r="Q38" s="1" t="s">
        <v>38</v>
      </c>
      <c r="R38" s="1">
        <v>121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1</v>
      </c>
      <c r="AD38" s="1">
        <v>0</v>
      </c>
      <c r="AE38" s="1">
        <v>0</v>
      </c>
      <c r="AF38" s="1">
        <v>0</v>
      </c>
    </row>
    <row r="39" spans="1:32" hidden="1" x14ac:dyDescent="0.25">
      <c r="A39" s="1">
        <v>121</v>
      </c>
      <c r="B39" s="1" t="s">
        <v>331</v>
      </c>
      <c r="C39" s="1" t="s">
        <v>327</v>
      </c>
      <c r="D39" s="1" t="s">
        <v>84</v>
      </c>
      <c r="F39" s="1" t="s">
        <v>74</v>
      </c>
      <c r="G39" s="5">
        <v>46191</v>
      </c>
      <c r="H39" s="5">
        <v>46191</v>
      </c>
      <c r="I39" s="1">
        <v>120</v>
      </c>
      <c r="J39" s="1">
        <v>0</v>
      </c>
      <c r="L39" s="1" t="s">
        <v>34</v>
      </c>
      <c r="M39" s="1" t="s">
        <v>47</v>
      </c>
      <c r="N39" s="1" t="s">
        <v>321</v>
      </c>
      <c r="O39" s="1" t="s">
        <v>135</v>
      </c>
      <c r="P39" s="5">
        <v>46192</v>
      </c>
      <c r="Q39" s="1" t="s">
        <v>38</v>
      </c>
      <c r="U39" s="1">
        <v>0</v>
      </c>
      <c r="V39" s="1">
        <v>0</v>
      </c>
      <c r="W39" s="1">
        <v>0</v>
      </c>
      <c r="X39" s="1">
        <v>0</v>
      </c>
      <c r="Y39" s="1">
        <v>1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1</v>
      </c>
      <c r="AF39" s="1">
        <v>0</v>
      </c>
    </row>
    <row r="40" spans="1:32" hidden="1" x14ac:dyDescent="0.25">
      <c r="A40" s="1">
        <v>133</v>
      </c>
      <c r="B40" s="1" t="s">
        <v>351</v>
      </c>
      <c r="C40" s="1" t="s">
        <v>352</v>
      </c>
      <c r="D40" s="1" t="s">
        <v>353</v>
      </c>
      <c r="E40" s="1" t="s">
        <v>180</v>
      </c>
      <c r="F40" s="1" t="s">
        <v>181</v>
      </c>
      <c r="G40" s="5">
        <v>46181</v>
      </c>
      <c r="H40" s="5">
        <v>46191</v>
      </c>
      <c r="J40" s="1">
        <v>0.8</v>
      </c>
      <c r="L40" s="1" t="s">
        <v>34</v>
      </c>
      <c r="M40" s="1" t="s">
        <v>47</v>
      </c>
      <c r="N40" s="1" t="s">
        <v>350</v>
      </c>
      <c r="O40" s="1" t="s">
        <v>182</v>
      </c>
      <c r="P40" s="5">
        <v>46192</v>
      </c>
      <c r="Q40" s="1" t="s">
        <v>38</v>
      </c>
      <c r="R40" s="1" t="s">
        <v>354</v>
      </c>
      <c r="U40" s="1">
        <v>0.8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</row>
    <row r="41" spans="1:32" hidden="1" x14ac:dyDescent="0.25">
      <c r="A41" s="1">
        <v>136</v>
      </c>
      <c r="B41" s="1" t="s">
        <v>358</v>
      </c>
      <c r="C41" s="1" t="s">
        <v>356</v>
      </c>
      <c r="D41" s="1" t="s">
        <v>78</v>
      </c>
      <c r="F41" s="1" t="s">
        <v>69</v>
      </c>
      <c r="G41" s="5">
        <v>46189</v>
      </c>
      <c r="H41" s="5">
        <v>46190</v>
      </c>
      <c r="I41" s="1">
        <v>135</v>
      </c>
      <c r="J41" s="1">
        <v>0.5</v>
      </c>
      <c r="L41" s="1" t="s">
        <v>34</v>
      </c>
      <c r="M41" s="1" t="s">
        <v>47</v>
      </c>
      <c r="N41" s="1" t="s">
        <v>350</v>
      </c>
      <c r="O41" s="1" t="s">
        <v>133</v>
      </c>
      <c r="P41" s="5">
        <v>46191</v>
      </c>
      <c r="Q41" s="1" t="s">
        <v>38</v>
      </c>
      <c r="R41" s="1">
        <v>137</v>
      </c>
      <c r="U41" s="1">
        <v>0.5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1</v>
      </c>
      <c r="AD41" s="1">
        <v>0</v>
      </c>
      <c r="AE41" s="1">
        <v>0</v>
      </c>
      <c r="AF41" s="1">
        <v>0</v>
      </c>
    </row>
    <row r="42" spans="1:32" hidden="1" x14ac:dyDescent="0.25">
      <c r="A42" s="1">
        <v>137</v>
      </c>
      <c r="B42" s="1" t="s">
        <v>359</v>
      </c>
      <c r="C42" s="1" t="s">
        <v>356</v>
      </c>
      <c r="D42" s="1" t="s">
        <v>84</v>
      </c>
      <c r="F42" s="1" t="s">
        <v>74</v>
      </c>
      <c r="G42" s="5">
        <v>46191</v>
      </c>
      <c r="H42" s="5">
        <v>46191</v>
      </c>
      <c r="I42" s="1">
        <v>136</v>
      </c>
      <c r="J42" s="1">
        <v>0</v>
      </c>
      <c r="L42" s="1" t="s">
        <v>34</v>
      </c>
      <c r="M42" s="1" t="s">
        <v>47</v>
      </c>
      <c r="N42" s="1" t="s">
        <v>350</v>
      </c>
      <c r="O42" s="1" t="s">
        <v>135</v>
      </c>
      <c r="P42" s="5">
        <v>46192</v>
      </c>
      <c r="Q42" s="1" t="s">
        <v>38</v>
      </c>
      <c r="U42" s="1">
        <v>0</v>
      </c>
      <c r="V42" s="1">
        <v>0</v>
      </c>
      <c r="W42" s="1">
        <v>0</v>
      </c>
      <c r="X42" s="1">
        <v>0</v>
      </c>
      <c r="Y42" s="1">
        <v>1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1</v>
      </c>
      <c r="AF42" s="1">
        <v>0</v>
      </c>
    </row>
    <row r="43" spans="1:32" hidden="1" x14ac:dyDescent="0.25">
      <c r="A43" s="1">
        <v>149</v>
      </c>
      <c r="B43" s="1" t="s">
        <v>381</v>
      </c>
      <c r="C43" s="1" t="s">
        <v>382</v>
      </c>
      <c r="D43" s="1" t="s">
        <v>383</v>
      </c>
      <c r="E43" s="1" t="s">
        <v>180</v>
      </c>
      <c r="F43" s="1" t="s">
        <v>139</v>
      </c>
      <c r="G43" s="5">
        <v>46170</v>
      </c>
      <c r="H43" s="5">
        <v>46176</v>
      </c>
      <c r="J43" s="1">
        <v>0.5</v>
      </c>
      <c r="L43" s="1" t="s">
        <v>34</v>
      </c>
      <c r="M43" s="1" t="s">
        <v>47</v>
      </c>
      <c r="N43" s="1" t="s">
        <v>380</v>
      </c>
      <c r="O43" s="1" t="s">
        <v>182</v>
      </c>
      <c r="P43" s="5">
        <v>46192</v>
      </c>
      <c r="Q43" s="1" t="s">
        <v>38</v>
      </c>
      <c r="U43" s="1">
        <v>0.5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</row>
    <row r="44" spans="1:32" hidden="1" x14ac:dyDescent="0.25">
      <c r="A44" s="1">
        <v>152</v>
      </c>
      <c r="B44" s="1" t="s">
        <v>388</v>
      </c>
      <c r="C44" s="1" t="s">
        <v>385</v>
      </c>
      <c r="D44" s="1" t="s">
        <v>78</v>
      </c>
      <c r="F44" s="1" t="s">
        <v>69</v>
      </c>
      <c r="G44" s="5">
        <v>46174</v>
      </c>
      <c r="H44" s="5">
        <v>46175</v>
      </c>
      <c r="I44" s="1">
        <v>151</v>
      </c>
      <c r="J44" s="1">
        <v>0.5</v>
      </c>
      <c r="L44" s="1" t="s">
        <v>34</v>
      </c>
      <c r="M44" s="1" t="s">
        <v>47</v>
      </c>
      <c r="N44" s="1" t="s">
        <v>380</v>
      </c>
      <c r="O44" s="1" t="s">
        <v>133</v>
      </c>
      <c r="P44" s="5">
        <v>46191</v>
      </c>
      <c r="Q44" s="1" t="s">
        <v>38</v>
      </c>
      <c r="R44" s="1">
        <v>153</v>
      </c>
      <c r="U44" s="1">
        <v>0.5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1</v>
      </c>
      <c r="AD44" s="1">
        <v>0</v>
      </c>
      <c r="AE44" s="1">
        <v>0</v>
      </c>
      <c r="AF44" s="1">
        <v>0</v>
      </c>
    </row>
    <row r="45" spans="1:32" hidden="1" x14ac:dyDescent="0.25">
      <c r="A45" s="1">
        <v>153</v>
      </c>
      <c r="B45" s="1" t="s">
        <v>389</v>
      </c>
      <c r="C45" s="1" t="s">
        <v>385</v>
      </c>
      <c r="D45" s="1" t="s">
        <v>84</v>
      </c>
      <c r="F45" s="1" t="s">
        <v>74</v>
      </c>
      <c r="G45" s="5">
        <v>46176</v>
      </c>
      <c r="H45" s="5">
        <v>46176</v>
      </c>
      <c r="I45" s="1">
        <v>152</v>
      </c>
      <c r="J45" s="1">
        <v>0</v>
      </c>
      <c r="L45" s="1" t="s">
        <v>34</v>
      </c>
      <c r="M45" s="1" t="s">
        <v>47</v>
      </c>
      <c r="N45" s="1" t="s">
        <v>380</v>
      </c>
      <c r="O45" s="1" t="s">
        <v>135</v>
      </c>
      <c r="P45" s="5">
        <v>46192</v>
      </c>
      <c r="Q45" s="1" t="s">
        <v>38</v>
      </c>
      <c r="U45" s="1">
        <v>0</v>
      </c>
      <c r="V45" s="1">
        <v>0</v>
      </c>
      <c r="W45" s="1">
        <v>0</v>
      </c>
      <c r="X45" s="1">
        <v>0</v>
      </c>
      <c r="Y45" s="1">
        <v>1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1</v>
      </c>
      <c r="AF45" s="1">
        <v>0</v>
      </c>
    </row>
    <row r="46" spans="1:32" hidden="1" x14ac:dyDescent="0.25">
      <c r="A46" s="1">
        <v>154</v>
      </c>
      <c r="B46" s="1" t="s">
        <v>390</v>
      </c>
      <c r="C46" s="1" t="s">
        <v>382</v>
      </c>
      <c r="D46" s="1" t="s">
        <v>391</v>
      </c>
      <c r="E46" s="1" t="s">
        <v>180</v>
      </c>
      <c r="F46" s="1" t="s">
        <v>139</v>
      </c>
      <c r="G46" s="5">
        <v>46170</v>
      </c>
      <c r="H46" s="5">
        <v>46176</v>
      </c>
      <c r="J46" s="1">
        <v>0.5</v>
      </c>
      <c r="L46" s="1" t="s">
        <v>34</v>
      </c>
      <c r="M46" s="1" t="s">
        <v>47</v>
      </c>
      <c r="N46" s="1" t="s">
        <v>380</v>
      </c>
      <c r="O46" s="1" t="s">
        <v>182</v>
      </c>
      <c r="P46" s="5">
        <v>46192</v>
      </c>
      <c r="Q46" s="1" t="s">
        <v>38</v>
      </c>
      <c r="S46" s="1" t="s">
        <v>65</v>
      </c>
      <c r="U46" s="1">
        <v>0.5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</row>
    <row r="47" spans="1:32" hidden="1" x14ac:dyDescent="0.25">
      <c r="A47" s="1">
        <v>157</v>
      </c>
      <c r="B47" s="1" t="s">
        <v>396</v>
      </c>
      <c r="C47" s="1" t="s">
        <v>393</v>
      </c>
      <c r="D47" s="1" t="s">
        <v>78</v>
      </c>
      <c r="F47" s="1" t="s">
        <v>69</v>
      </c>
      <c r="G47" s="5">
        <v>46174</v>
      </c>
      <c r="H47" s="5">
        <v>46175</v>
      </c>
      <c r="I47" s="1">
        <v>156</v>
      </c>
      <c r="J47" s="1">
        <v>0.5</v>
      </c>
      <c r="L47" s="1" t="s">
        <v>34</v>
      </c>
      <c r="M47" s="1" t="s">
        <v>47</v>
      </c>
      <c r="N47" s="1" t="s">
        <v>380</v>
      </c>
      <c r="O47" s="1" t="s">
        <v>133</v>
      </c>
      <c r="P47" s="5">
        <v>46191</v>
      </c>
      <c r="Q47" s="1" t="s">
        <v>38</v>
      </c>
      <c r="R47" s="1">
        <v>158</v>
      </c>
      <c r="U47" s="1">
        <v>0.5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1</v>
      </c>
      <c r="AD47" s="1">
        <v>0</v>
      </c>
      <c r="AE47" s="1">
        <v>0</v>
      </c>
      <c r="AF47" s="1">
        <v>0</v>
      </c>
    </row>
    <row r="48" spans="1:32" hidden="1" x14ac:dyDescent="0.25">
      <c r="A48" s="1">
        <v>158</v>
      </c>
      <c r="B48" s="1" t="s">
        <v>397</v>
      </c>
      <c r="C48" s="1" t="s">
        <v>393</v>
      </c>
      <c r="D48" s="1" t="s">
        <v>84</v>
      </c>
      <c r="F48" s="1" t="s">
        <v>74</v>
      </c>
      <c r="G48" s="5">
        <v>46176</v>
      </c>
      <c r="H48" s="5">
        <v>46176</v>
      </c>
      <c r="I48" s="1">
        <v>157</v>
      </c>
      <c r="J48" s="1">
        <v>0</v>
      </c>
      <c r="L48" s="1" t="s">
        <v>34</v>
      </c>
      <c r="M48" s="1" t="s">
        <v>47</v>
      </c>
      <c r="N48" s="1" t="s">
        <v>380</v>
      </c>
      <c r="O48" s="1" t="s">
        <v>135</v>
      </c>
      <c r="P48" s="5">
        <v>46192</v>
      </c>
      <c r="Q48" s="1" t="s">
        <v>38</v>
      </c>
      <c r="U48" s="1">
        <v>0</v>
      </c>
      <c r="V48" s="1">
        <v>0</v>
      </c>
      <c r="W48" s="1">
        <v>0</v>
      </c>
      <c r="X48" s="1">
        <v>0</v>
      </c>
      <c r="Y48" s="1">
        <v>1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1</v>
      </c>
      <c r="AF48" s="1">
        <v>0</v>
      </c>
    </row>
    <row r="49" spans="1:32" x14ac:dyDescent="0.25">
      <c r="A49" s="1">
        <v>170</v>
      </c>
      <c r="B49" s="1" t="s">
        <v>418</v>
      </c>
      <c r="C49" s="1" t="s">
        <v>419</v>
      </c>
      <c r="D49" s="1" t="s">
        <v>68</v>
      </c>
      <c r="F49" s="1" t="s">
        <v>93</v>
      </c>
      <c r="G49" s="5">
        <v>46205</v>
      </c>
      <c r="H49" s="5">
        <v>46209</v>
      </c>
      <c r="J49" s="1">
        <v>0.9</v>
      </c>
      <c r="L49" s="1" t="s">
        <v>64</v>
      </c>
      <c r="M49" s="1" t="s">
        <v>47</v>
      </c>
      <c r="N49" s="1" t="s">
        <v>380</v>
      </c>
      <c r="O49" s="1" t="s">
        <v>400</v>
      </c>
      <c r="P49" s="5">
        <v>46168</v>
      </c>
      <c r="Q49" s="1" t="s">
        <v>38</v>
      </c>
      <c r="R49" s="1">
        <v>171</v>
      </c>
      <c r="U49" s="1">
        <v>0.9</v>
      </c>
      <c r="V49" s="1">
        <v>1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</row>
    <row r="50" spans="1:32" hidden="1" x14ac:dyDescent="0.25">
      <c r="A50" s="1">
        <v>171</v>
      </c>
      <c r="B50" s="1" t="s">
        <v>420</v>
      </c>
      <c r="C50" s="1" t="s">
        <v>419</v>
      </c>
      <c r="D50" s="1" t="s">
        <v>73</v>
      </c>
      <c r="F50" s="1" t="s">
        <v>74</v>
      </c>
      <c r="G50" s="5">
        <v>46210</v>
      </c>
      <c r="H50" s="5">
        <v>46210</v>
      </c>
      <c r="I50" s="1">
        <v>170</v>
      </c>
      <c r="J50" s="1">
        <v>0</v>
      </c>
      <c r="L50" s="1" t="s">
        <v>80</v>
      </c>
      <c r="M50" s="1" t="s">
        <v>47</v>
      </c>
      <c r="N50" s="1" t="s">
        <v>380</v>
      </c>
      <c r="O50" s="1" t="s">
        <v>405</v>
      </c>
      <c r="P50" s="5">
        <v>46169</v>
      </c>
      <c r="Q50" s="1" t="s">
        <v>38</v>
      </c>
      <c r="R50" s="1">
        <v>172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5"/>
  <sheetViews>
    <sheetView tabSelected="1" workbookViewId="0">
      <selection activeCell="F82" sqref="F82"/>
    </sheetView>
  </sheetViews>
  <sheetFormatPr defaultRowHeight="15" x14ac:dyDescent="0.25"/>
  <cols>
    <col min="1" max="1" width="14.5703125" style="1" bestFit="1" customWidth="1"/>
    <col min="2" max="2" width="7.28515625" style="1" bestFit="1" customWidth="1"/>
    <col min="3" max="3" width="9.28515625" style="1" bestFit="1" customWidth="1"/>
    <col min="4" max="4" width="30.42578125" style="1" bestFit="1" customWidth="1"/>
    <col min="5" max="5" width="27.28515625" style="1" bestFit="1" customWidth="1"/>
    <col min="6" max="6" width="12.42578125" style="1" bestFit="1" customWidth="1"/>
    <col min="7" max="7" width="16" style="4" bestFit="1" customWidth="1"/>
    <col min="8" max="8" width="23.5703125" style="1" bestFit="1" customWidth="1"/>
    <col min="9" max="9" width="32.7109375" style="1" bestFit="1" customWidth="1"/>
    <col min="10" max="10" width="11.140625" style="1" bestFit="1" customWidth="1"/>
    <col min="11" max="11" width="12.7109375" style="1" bestFit="1" customWidth="1"/>
    <col min="12" max="16384" width="9.140625" style="1"/>
  </cols>
  <sheetData>
    <row r="1" spans="1:11" x14ac:dyDescent="0.25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11</v>
      </c>
      <c r="G1" s="4" t="s">
        <v>9</v>
      </c>
      <c r="H1" s="1" t="s">
        <v>19</v>
      </c>
      <c r="I1" s="1" t="s">
        <v>13</v>
      </c>
      <c r="J1" s="1" t="s">
        <v>12</v>
      </c>
      <c r="K1" s="1" t="s">
        <v>469</v>
      </c>
    </row>
    <row r="2" spans="1:11" hidden="1" x14ac:dyDescent="0.25">
      <c r="A2" s="1" t="s">
        <v>38</v>
      </c>
      <c r="B2" s="1">
        <v>1</v>
      </c>
      <c r="C2" s="1">
        <v>1</v>
      </c>
      <c r="E2" s="1" t="s">
        <v>32</v>
      </c>
      <c r="F2" s="1" t="s">
        <v>34</v>
      </c>
      <c r="G2" s="4">
        <v>0.28999999999999998</v>
      </c>
      <c r="I2" s="1" t="s">
        <v>36</v>
      </c>
      <c r="J2" s="1" t="s">
        <v>35</v>
      </c>
    </row>
    <row r="3" spans="1:11" hidden="1" x14ac:dyDescent="0.25">
      <c r="A3" s="1" t="s">
        <v>38</v>
      </c>
      <c r="B3" s="1">
        <v>2</v>
      </c>
      <c r="C3" s="1" t="s">
        <v>39</v>
      </c>
      <c r="D3" s="1" t="s">
        <v>40</v>
      </c>
      <c r="E3" s="1" t="s">
        <v>41</v>
      </c>
      <c r="F3" s="1" t="s">
        <v>34</v>
      </c>
      <c r="G3" s="4">
        <v>0.28999999999999998</v>
      </c>
      <c r="I3" s="1" t="s">
        <v>36</v>
      </c>
      <c r="J3" s="1" t="s">
        <v>35</v>
      </c>
    </row>
    <row r="4" spans="1:11" hidden="1" x14ac:dyDescent="0.25">
      <c r="A4" s="1" t="s">
        <v>38</v>
      </c>
      <c r="B4" s="1">
        <v>6</v>
      </c>
      <c r="C4" s="1" t="s">
        <v>56</v>
      </c>
      <c r="D4" s="1" t="s">
        <v>43</v>
      </c>
      <c r="E4" s="1" t="s">
        <v>57</v>
      </c>
      <c r="F4" s="1" t="s">
        <v>34</v>
      </c>
      <c r="G4" s="4">
        <v>0.79</v>
      </c>
      <c r="I4" s="1" t="s">
        <v>59</v>
      </c>
      <c r="J4" s="1" t="s">
        <v>35</v>
      </c>
    </row>
    <row r="5" spans="1:11" hidden="1" x14ac:dyDescent="0.25">
      <c r="A5" s="1" t="s">
        <v>38</v>
      </c>
      <c r="B5" s="1">
        <v>7</v>
      </c>
      <c r="C5" s="1" t="s">
        <v>60</v>
      </c>
      <c r="D5" s="1" t="s">
        <v>61</v>
      </c>
      <c r="E5" s="1" t="s">
        <v>62</v>
      </c>
      <c r="F5" s="1" t="s">
        <v>64</v>
      </c>
      <c r="G5" s="4">
        <v>0.7</v>
      </c>
      <c r="I5" s="1" t="s">
        <v>59</v>
      </c>
      <c r="J5" s="1" t="s">
        <v>35</v>
      </c>
    </row>
    <row r="6" spans="1:11" hidden="1" x14ac:dyDescent="0.25">
      <c r="A6" s="1" t="s">
        <v>38</v>
      </c>
      <c r="B6" s="1">
        <v>12</v>
      </c>
      <c r="C6" s="1" t="s">
        <v>87</v>
      </c>
      <c r="D6" s="1" t="s">
        <v>61</v>
      </c>
      <c r="E6" s="1" t="s">
        <v>88</v>
      </c>
      <c r="F6" s="1" t="s">
        <v>34</v>
      </c>
      <c r="G6" s="4">
        <v>0.81</v>
      </c>
      <c r="I6" s="1" t="s">
        <v>59</v>
      </c>
      <c r="J6" s="1" t="s">
        <v>47</v>
      </c>
    </row>
    <row r="7" spans="1:11" hidden="1" x14ac:dyDescent="0.25">
      <c r="A7" s="1" t="s">
        <v>38</v>
      </c>
      <c r="B7" s="1">
        <v>15</v>
      </c>
      <c r="C7" s="1" t="s">
        <v>99</v>
      </c>
      <c r="D7" s="1" t="s">
        <v>92</v>
      </c>
      <c r="E7" s="1" t="s">
        <v>78</v>
      </c>
      <c r="F7" s="1" t="s">
        <v>34</v>
      </c>
      <c r="G7" s="4">
        <v>0.5</v>
      </c>
      <c r="I7" s="1" t="s">
        <v>59</v>
      </c>
      <c r="J7" s="1" t="s">
        <v>47</v>
      </c>
    </row>
    <row r="8" spans="1:11" hidden="1" x14ac:dyDescent="0.25">
      <c r="A8" s="1" t="s">
        <v>38</v>
      </c>
      <c r="B8" s="1">
        <v>16</v>
      </c>
      <c r="C8" s="1" t="s">
        <v>102</v>
      </c>
      <c r="D8" s="1" t="s">
        <v>92</v>
      </c>
      <c r="E8" s="1" t="s">
        <v>84</v>
      </c>
      <c r="F8" s="1" t="s">
        <v>34</v>
      </c>
      <c r="G8" s="4">
        <v>0</v>
      </c>
      <c r="I8" s="1" t="s">
        <v>59</v>
      </c>
      <c r="J8" s="1" t="s">
        <v>47</v>
      </c>
    </row>
    <row r="9" spans="1:11" hidden="1" x14ac:dyDescent="0.25">
      <c r="A9" s="1" t="s">
        <v>38</v>
      </c>
      <c r="B9" s="1">
        <v>17</v>
      </c>
      <c r="C9" s="1" t="s">
        <v>104</v>
      </c>
      <c r="D9" s="1" t="s">
        <v>61</v>
      </c>
      <c r="E9" s="1" t="s">
        <v>105</v>
      </c>
      <c r="F9" s="1" t="s">
        <v>34</v>
      </c>
      <c r="G9" s="4">
        <v>0.81</v>
      </c>
      <c r="I9" s="1" t="s">
        <v>59</v>
      </c>
      <c r="J9" s="1" t="s">
        <v>47</v>
      </c>
    </row>
    <row r="10" spans="1:11" hidden="1" x14ac:dyDescent="0.25">
      <c r="A10" s="1" t="s">
        <v>38</v>
      </c>
      <c r="B10" s="1">
        <v>20</v>
      </c>
      <c r="C10" s="1" t="s">
        <v>113</v>
      </c>
      <c r="D10" s="1" t="s">
        <v>108</v>
      </c>
      <c r="E10" s="1" t="s">
        <v>78</v>
      </c>
      <c r="F10" s="1" t="s">
        <v>34</v>
      </c>
      <c r="G10" s="4">
        <v>0.5</v>
      </c>
      <c r="I10" s="1" t="s">
        <v>59</v>
      </c>
      <c r="J10" s="1" t="s">
        <v>47</v>
      </c>
    </row>
    <row r="11" spans="1:11" hidden="1" x14ac:dyDescent="0.25">
      <c r="A11" s="1" t="s">
        <v>38</v>
      </c>
      <c r="B11" s="1">
        <v>21</v>
      </c>
      <c r="C11" s="1" t="s">
        <v>116</v>
      </c>
      <c r="D11" s="1" t="s">
        <v>108</v>
      </c>
      <c r="E11" s="1" t="s">
        <v>84</v>
      </c>
      <c r="F11" s="1" t="s">
        <v>34</v>
      </c>
      <c r="G11" s="4">
        <v>0</v>
      </c>
      <c r="I11" s="1" t="s">
        <v>59</v>
      </c>
      <c r="J11" s="1" t="s">
        <v>47</v>
      </c>
    </row>
    <row r="12" spans="1:11" hidden="1" x14ac:dyDescent="0.25">
      <c r="A12" s="1" t="s">
        <v>38</v>
      </c>
      <c r="B12" s="1">
        <v>22</v>
      </c>
      <c r="C12" s="1" t="s">
        <v>118</v>
      </c>
      <c r="D12" s="1" t="s">
        <v>43</v>
      </c>
      <c r="E12" s="1" t="s">
        <v>119</v>
      </c>
      <c r="F12" s="1" t="s">
        <v>34</v>
      </c>
      <c r="G12" s="4">
        <v>0.4</v>
      </c>
      <c r="I12" s="1" t="s">
        <v>121</v>
      </c>
      <c r="J12" s="1" t="s">
        <v>47</v>
      </c>
    </row>
    <row r="13" spans="1:11" hidden="1" x14ac:dyDescent="0.25">
      <c r="A13" s="1" t="s">
        <v>38</v>
      </c>
      <c r="B13" s="1">
        <v>23</v>
      </c>
      <c r="C13" s="1" t="s">
        <v>122</v>
      </c>
      <c r="D13" s="1" t="s">
        <v>123</v>
      </c>
      <c r="E13" s="1" t="s">
        <v>124</v>
      </c>
      <c r="F13" s="1" t="s">
        <v>34</v>
      </c>
      <c r="G13" s="4">
        <v>0</v>
      </c>
      <c r="I13" s="1" t="s">
        <v>121</v>
      </c>
      <c r="J13" s="1" t="s">
        <v>47</v>
      </c>
    </row>
    <row r="14" spans="1:11" x14ac:dyDescent="0.25">
      <c r="A14" s="1" t="s">
        <v>38</v>
      </c>
      <c r="B14" s="1">
        <v>24</v>
      </c>
      <c r="C14" s="1" t="s">
        <v>128</v>
      </c>
      <c r="D14" s="1" t="s">
        <v>129</v>
      </c>
      <c r="E14" s="1" t="s">
        <v>68</v>
      </c>
      <c r="F14" s="1" t="s">
        <v>34</v>
      </c>
      <c r="G14" s="4">
        <v>0</v>
      </c>
      <c r="I14" s="1" t="s">
        <v>121</v>
      </c>
      <c r="J14" s="1" t="s">
        <v>47</v>
      </c>
    </row>
    <row r="15" spans="1:11" hidden="1" x14ac:dyDescent="0.25">
      <c r="A15" s="1" t="s">
        <v>38</v>
      </c>
      <c r="B15" s="1">
        <v>25</v>
      </c>
      <c r="C15" s="1" t="s">
        <v>130</v>
      </c>
      <c r="D15" s="1" t="s">
        <v>129</v>
      </c>
      <c r="E15" s="1" t="s">
        <v>73</v>
      </c>
      <c r="F15" s="1" t="s">
        <v>34</v>
      </c>
      <c r="G15" s="4">
        <v>0</v>
      </c>
      <c r="I15" s="1" t="s">
        <v>121</v>
      </c>
      <c r="J15" s="1" t="s">
        <v>47</v>
      </c>
    </row>
    <row r="16" spans="1:11" hidden="1" x14ac:dyDescent="0.25">
      <c r="A16" s="1" t="s">
        <v>38</v>
      </c>
      <c r="B16" s="1">
        <v>26</v>
      </c>
      <c r="C16" s="1" t="s">
        <v>132</v>
      </c>
      <c r="D16" s="1" t="s">
        <v>129</v>
      </c>
      <c r="E16" s="1" t="s">
        <v>78</v>
      </c>
      <c r="F16" s="1" t="s">
        <v>34</v>
      </c>
      <c r="G16" s="4">
        <v>0</v>
      </c>
      <c r="I16" s="1" t="s">
        <v>121</v>
      </c>
      <c r="J16" s="1" t="s">
        <v>47</v>
      </c>
    </row>
    <row r="17" spans="1:10" hidden="1" x14ac:dyDescent="0.25">
      <c r="A17" s="1" t="s">
        <v>38</v>
      </c>
      <c r="B17" s="1">
        <v>27</v>
      </c>
      <c r="C17" s="1" t="s">
        <v>134</v>
      </c>
      <c r="D17" s="1" t="s">
        <v>129</v>
      </c>
      <c r="E17" s="1" t="s">
        <v>84</v>
      </c>
      <c r="F17" s="1" t="s">
        <v>34</v>
      </c>
      <c r="G17" s="4">
        <v>0</v>
      </c>
      <c r="I17" s="1" t="s">
        <v>121</v>
      </c>
      <c r="J17" s="1" t="s">
        <v>47</v>
      </c>
    </row>
    <row r="18" spans="1:10" hidden="1" x14ac:dyDescent="0.25">
      <c r="A18" s="1" t="s">
        <v>38</v>
      </c>
      <c r="B18" s="1">
        <v>28</v>
      </c>
      <c r="C18" s="1" t="s">
        <v>136</v>
      </c>
      <c r="D18" s="1" t="s">
        <v>123</v>
      </c>
      <c r="E18" s="1" t="s">
        <v>137</v>
      </c>
      <c r="F18" s="1" t="s">
        <v>34</v>
      </c>
      <c r="G18" s="4">
        <v>0</v>
      </c>
      <c r="I18" s="1" t="s">
        <v>121</v>
      </c>
      <c r="J18" s="1" t="s">
        <v>47</v>
      </c>
    </row>
    <row r="19" spans="1:10" x14ac:dyDescent="0.25">
      <c r="B19" s="1">
        <v>29</v>
      </c>
      <c r="C19" s="1" t="s">
        <v>141</v>
      </c>
      <c r="D19" s="1" t="s">
        <v>142</v>
      </c>
      <c r="E19" s="1" t="s">
        <v>68</v>
      </c>
      <c r="F19" s="1" t="s">
        <v>34</v>
      </c>
      <c r="G19" s="4">
        <v>0</v>
      </c>
      <c r="I19" s="1" t="s">
        <v>121</v>
      </c>
      <c r="J19" s="1" t="s">
        <v>47</v>
      </c>
    </row>
    <row r="20" spans="1:10" hidden="1" x14ac:dyDescent="0.25">
      <c r="B20" s="1">
        <v>30</v>
      </c>
      <c r="C20" s="1" t="s">
        <v>143</v>
      </c>
      <c r="D20" s="1" t="s">
        <v>142</v>
      </c>
      <c r="E20" s="1" t="s">
        <v>73</v>
      </c>
      <c r="F20" s="1" t="s">
        <v>34</v>
      </c>
      <c r="G20" s="4">
        <v>0</v>
      </c>
      <c r="I20" s="1" t="s">
        <v>121</v>
      </c>
      <c r="J20" s="1" t="s">
        <v>47</v>
      </c>
    </row>
    <row r="21" spans="1:10" hidden="1" x14ac:dyDescent="0.25">
      <c r="B21" s="1">
        <v>31</v>
      </c>
      <c r="C21" s="1" t="s">
        <v>145</v>
      </c>
      <c r="D21" s="1" t="s">
        <v>142</v>
      </c>
      <c r="E21" s="1" t="s">
        <v>78</v>
      </c>
      <c r="F21" s="1" t="s">
        <v>34</v>
      </c>
      <c r="G21" s="4">
        <v>0</v>
      </c>
      <c r="I21" s="1" t="s">
        <v>121</v>
      </c>
      <c r="J21" s="1" t="s">
        <v>47</v>
      </c>
    </row>
    <row r="22" spans="1:10" hidden="1" x14ac:dyDescent="0.25">
      <c r="B22" s="1">
        <v>32</v>
      </c>
      <c r="C22" s="1" t="s">
        <v>147</v>
      </c>
      <c r="D22" s="1" t="s">
        <v>142</v>
      </c>
      <c r="E22" s="1" t="s">
        <v>84</v>
      </c>
      <c r="F22" s="1" t="s">
        <v>34</v>
      </c>
      <c r="G22" s="4">
        <v>0</v>
      </c>
      <c r="I22" s="1" t="s">
        <v>121</v>
      </c>
      <c r="J22" s="1" t="s">
        <v>47</v>
      </c>
    </row>
    <row r="23" spans="1:10" hidden="1" x14ac:dyDescent="0.25">
      <c r="A23" s="1" t="s">
        <v>38</v>
      </c>
      <c r="B23" s="1">
        <v>33</v>
      </c>
      <c r="C23" s="1" t="s">
        <v>149</v>
      </c>
      <c r="D23" s="1" t="s">
        <v>123</v>
      </c>
      <c r="E23" s="1" t="s">
        <v>150</v>
      </c>
      <c r="F23" s="1" t="s">
        <v>34</v>
      </c>
      <c r="G23" s="4">
        <v>0.71</v>
      </c>
      <c r="I23" s="1" t="s">
        <v>121</v>
      </c>
      <c r="J23" s="1" t="s">
        <v>47</v>
      </c>
    </row>
    <row r="24" spans="1:10" hidden="1" x14ac:dyDescent="0.25">
      <c r="A24" s="1" t="s">
        <v>38</v>
      </c>
      <c r="B24" s="1">
        <v>36</v>
      </c>
      <c r="C24" s="1" t="s">
        <v>158</v>
      </c>
      <c r="D24" s="1" t="s">
        <v>154</v>
      </c>
      <c r="E24" s="1" t="s">
        <v>78</v>
      </c>
      <c r="F24" s="1" t="s">
        <v>34</v>
      </c>
      <c r="G24" s="4">
        <v>0.5</v>
      </c>
      <c r="I24" s="1" t="s">
        <v>121</v>
      </c>
      <c r="J24" s="1" t="s">
        <v>47</v>
      </c>
    </row>
    <row r="25" spans="1:10" hidden="1" x14ac:dyDescent="0.25">
      <c r="A25" s="1" t="s">
        <v>38</v>
      </c>
      <c r="B25" s="1">
        <v>37</v>
      </c>
      <c r="C25" s="1" t="s">
        <v>160</v>
      </c>
      <c r="D25" s="1" t="s">
        <v>154</v>
      </c>
      <c r="E25" s="1" t="s">
        <v>84</v>
      </c>
      <c r="F25" s="1" t="s">
        <v>34</v>
      </c>
      <c r="G25" s="4">
        <v>0</v>
      </c>
      <c r="I25" s="1" t="s">
        <v>121</v>
      </c>
      <c r="J25" s="1" t="s">
        <v>47</v>
      </c>
    </row>
    <row r="26" spans="1:10" hidden="1" x14ac:dyDescent="0.25">
      <c r="A26" s="1" t="s">
        <v>38</v>
      </c>
      <c r="B26" s="1">
        <v>38</v>
      </c>
      <c r="C26" s="1" t="s">
        <v>162</v>
      </c>
      <c r="D26" s="1" t="s">
        <v>123</v>
      </c>
      <c r="E26" s="1" t="s">
        <v>163</v>
      </c>
      <c r="F26" s="1" t="s">
        <v>64</v>
      </c>
      <c r="G26" s="4">
        <v>0.71</v>
      </c>
      <c r="I26" s="1" t="s">
        <v>121</v>
      </c>
      <c r="J26" s="1" t="s">
        <v>47</v>
      </c>
    </row>
    <row r="27" spans="1:10" hidden="1" x14ac:dyDescent="0.25">
      <c r="A27" s="1" t="s">
        <v>38</v>
      </c>
      <c r="B27" s="1">
        <v>43</v>
      </c>
      <c r="C27" s="1" t="s">
        <v>173</v>
      </c>
      <c r="D27" s="1" t="s">
        <v>43</v>
      </c>
      <c r="E27" s="1" t="s">
        <v>174</v>
      </c>
      <c r="F27" s="1" t="s">
        <v>34</v>
      </c>
      <c r="G27" s="4">
        <v>0.31</v>
      </c>
      <c r="I27" s="1" t="s">
        <v>176</v>
      </c>
      <c r="J27" s="1" t="s">
        <v>47</v>
      </c>
    </row>
    <row r="28" spans="1:10" hidden="1" x14ac:dyDescent="0.25">
      <c r="A28" s="1" t="s">
        <v>38</v>
      </c>
      <c r="B28" s="1">
        <v>44</v>
      </c>
      <c r="C28" s="1" t="s">
        <v>177</v>
      </c>
      <c r="D28" s="1" t="s">
        <v>178</v>
      </c>
      <c r="E28" s="1" t="s">
        <v>179</v>
      </c>
      <c r="F28" s="1" t="s">
        <v>34</v>
      </c>
      <c r="G28" s="4">
        <v>0.28000000000000003</v>
      </c>
      <c r="I28" s="1" t="s">
        <v>176</v>
      </c>
      <c r="J28" s="1" t="s">
        <v>47</v>
      </c>
    </row>
    <row r="29" spans="1:10" x14ac:dyDescent="0.25">
      <c r="A29" s="1" t="s">
        <v>38</v>
      </c>
      <c r="B29" s="1">
        <v>45</v>
      </c>
      <c r="C29" s="1" t="s">
        <v>183</v>
      </c>
      <c r="D29" s="1" t="s">
        <v>184</v>
      </c>
      <c r="E29" s="1" t="s">
        <v>68</v>
      </c>
      <c r="F29" s="1" t="s">
        <v>34</v>
      </c>
      <c r="G29" s="4">
        <v>0.5</v>
      </c>
      <c r="I29" s="1" t="s">
        <v>176</v>
      </c>
      <c r="J29" s="1" t="s">
        <v>47</v>
      </c>
    </row>
    <row r="30" spans="1:10" hidden="1" x14ac:dyDescent="0.25">
      <c r="A30" s="1" t="s">
        <v>38</v>
      </c>
      <c r="B30" s="1">
        <v>46</v>
      </c>
      <c r="C30" s="1" t="s">
        <v>188</v>
      </c>
      <c r="D30" s="1" t="s">
        <v>184</v>
      </c>
      <c r="E30" s="1" t="s">
        <v>73</v>
      </c>
      <c r="F30" s="1" t="s">
        <v>34</v>
      </c>
      <c r="G30" s="4">
        <v>0</v>
      </c>
      <c r="I30" s="1" t="s">
        <v>176</v>
      </c>
      <c r="J30" s="1" t="s">
        <v>47</v>
      </c>
    </row>
    <row r="31" spans="1:10" hidden="1" x14ac:dyDescent="0.25">
      <c r="A31" s="1" t="s">
        <v>38</v>
      </c>
      <c r="B31" s="1">
        <v>47</v>
      </c>
      <c r="C31" s="1" t="s">
        <v>189</v>
      </c>
      <c r="D31" s="1" t="s">
        <v>184</v>
      </c>
      <c r="E31" s="1" t="s">
        <v>78</v>
      </c>
      <c r="F31" s="1" t="s">
        <v>34</v>
      </c>
      <c r="G31" s="4">
        <v>0</v>
      </c>
      <c r="I31" s="1" t="s">
        <v>176</v>
      </c>
      <c r="J31" s="1" t="s">
        <v>47</v>
      </c>
    </row>
    <row r="32" spans="1:10" hidden="1" x14ac:dyDescent="0.25">
      <c r="A32" s="1" t="s">
        <v>38</v>
      </c>
      <c r="B32" s="1">
        <v>48</v>
      </c>
      <c r="C32" s="1" t="s">
        <v>190</v>
      </c>
      <c r="D32" s="1" t="s">
        <v>184</v>
      </c>
      <c r="E32" s="1" t="s">
        <v>84</v>
      </c>
      <c r="F32" s="1" t="s">
        <v>34</v>
      </c>
      <c r="G32" s="4">
        <v>0</v>
      </c>
      <c r="I32" s="1" t="s">
        <v>176</v>
      </c>
      <c r="J32" s="1" t="s">
        <v>47</v>
      </c>
    </row>
    <row r="33" spans="1:10" hidden="1" x14ac:dyDescent="0.25">
      <c r="A33" s="1" t="s">
        <v>38</v>
      </c>
      <c r="B33" s="1">
        <v>54</v>
      </c>
      <c r="C33" s="1" t="s">
        <v>202</v>
      </c>
      <c r="D33" s="1" t="s">
        <v>178</v>
      </c>
      <c r="E33" s="1" t="s">
        <v>203</v>
      </c>
      <c r="F33" s="1" t="s">
        <v>34</v>
      </c>
      <c r="G33" s="4">
        <v>0.63</v>
      </c>
      <c r="I33" s="1" t="s">
        <v>176</v>
      </c>
      <c r="J33" s="1" t="s">
        <v>47</v>
      </c>
    </row>
    <row r="34" spans="1:10" hidden="1" x14ac:dyDescent="0.25">
      <c r="A34" s="1" t="s">
        <v>38</v>
      </c>
      <c r="B34" s="1">
        <v>57</v>
      </c>
      <c r="C34" s="1" t="s">
        <v>210</v>
      </c>
      <c r="D34" s="1" t="s">
        <v>206</v>
      </c>
      <c r="E34" s="1" t="s">
        <v>78</v>
      </c>
      <c r="F34" s="1" t="s">
        <v>34</v>
      </c>
      <c r="G34" s="4">
        <v>0.75</v>
      </c>
      <c r="I34" s="1" t="s">
        <v>176</v>
      </c>
      <c r="J34" s="1" t="s">
        <v>47</v>
      </c>
    </row>
    <row r="35" spans="1:10" hidden="1" x14ac:dyDescent="0.25">
      <c r="A35" s="1" t="s">
        <v>38</v>
      </c>
      <c r="B35" s="1">
        <v>58</v>
      </c>
      <c r="C35" s="1" t="s">
        <v>212</v>
      </c>
      <c r="D35" s="1" t="s">
        <v>206</v>
      </c>
      <c r="E35" s="1" t="s">
        <v>84</v>
      </c>
      <c r="F35" s="1" t="s">
        <v>34</v>
      </c>
      <c r="G35" s="4">
        <v>0</v>
      </c>
      <c r="I35" s="1" t="s">
        <v>176</v>
      </c>
      <c r="J35" s="1" t="s">
        <v>47</v>
      </c>
    </row>
    <row r="36" spans="1:10" hidden="1" x14ac:dyDescent="0.25">
      <c r="A36" s="1" t="s">
        <v>38</v>
      </c>
      <c r="B36" s="1">
        <v>59</v>
      </c>
      <c r="C36" s="1" t="s">
        <v>214</v>
      </c>
      <c r="D36" s="1" t="s">
        <v>178</v>
      </c>
      <c r="E36" s="1" t="s">
        <v>215</v>
      </c>
      <c r="F36" s="1" t="s">
        <v>34</v>
      </c>
      <c r="G36" s="4">
        <v>0.63</v>
      </c>
      <c r="I36" s="1" t="s">
        <v>176</v>
      </c>
      <c r="J36" s="1" t="s">
        <v>47</v>
      </c>
    </row>
    <row r="37" spans="1:10" hidden="1" x14ac:dyDescent="0.25">
      <c r="A37" s="1" t="s">
        <v>38</v>
      </c>
      <c r="B37" s="1">
        <v>62</v>
      </c>
      <c r="C37" s="1" t="s">
        <v>221</v>
      </c>
      <c r="D37" s="1" t="s">
        <v>219</v>
      </c>
      <c r="E37" s="1" t="s">
        <v>78</v>
      </c>
      <c r="F37" s="1" t="s">
        <v>34</v>
      </c>
      <c r="G37" s="4">
        <v>0.75</v>
      </c>
      <c r="I37" s="1" t="s">
        <v>176</v>
      </c>
      <c r="J37" s="1" t="s">
        <v>47</v>
      </c>
    </row>
    <row r="38" spans="1:10" hidden="1" x14ac:dyDescent="0.25">
      <c r="A38" s="1" t="s">
        <v>38</v>
      </c>
      <c r="B38" s="1">
        <v>63</v>
      </c>
      <c r="C38" s="1" t="s">
        <v>222</v>
      </c>
      <c r="D38" s="1" t="s">
        <v>219</v>
      </c>
      <c r="E38" s="1" t="s">
        <v>84</v>
      </c>
      <c r="F38" s="1" t="s">
        <v>34</v>
      </c>
      <c r="G38" s="4">
        <v>0</v>
      </c>
      <c r="I38" s="1" t="s">
        <v>176</v>
      </c>
      <c r="J38" s="1" t="s">
        <v>47</v>
      </c>
    </row>
    <row r="39" spans="1:10" hidden="1" x14ac:dyDescent="0.25">
      <c r="A39" s="1" t="s">
        <v>38</v>
      </c>
      <c r="B39" s="1">
        <v>64</v>
      </c>
      <c r="C39" s="1" t="s">
        <v>223</v>
      </c>
      <c r="D39" s="1" t="s">
        <v>43</v>
      </c>
      <c r="E39" s="1" t="s">
        <v>224</v>
      </c>
      <c r="F39" s="1" t="s">
        <v>34</v>
      </c>
      <c r="G39" s="4">
        <v>0.09</v>
      </c>
      <c r="I39" s="1" t="s">
        <v>226</v>
      </c>
      <c r="J39" s="1" t="s">
        <v>47</v>
      </c>
    </row>
    <row r="40" spans="1:10" hidden="1" x14ac:dyDescent="0.25">
      <c r="A40" s="1" t="s">
        <v>38</v>
      </c>
      <c r="B40" s="1">
        <v>65</v>
      </c>
      <c r="C40" s="1" t="s">
        <v>227</v>
      </c>
      <c r="D40" s="1" t="s">
        <v>228</v>
      </c>
      <c r="E40" s="1" t="s">
        <v>229</v>
      </c>
      <c r="F40" s="1" t="s">
        <v>34</v>
      </c>
      <c r="G40" s="4">
        <v>0.67</v>
      </c>
      <c r="I40" s="1" t="s">
        <v>226</v>
      </c>
      <c r="J40" s="1" t="s">
        <v>47</v>
      </c>
    </row>
    <row r="41" spans="1:10" hidden="1" x14ac:dyDescent="0.25">
      <c r="A41" s="1" t="s">
        <v>38</v>
      </c>
      <c r="B41" s="1">
        <v>68</v>
      </c>
      <c r="C41" s="1" t="s">
        <v>236</v>
      </c>
      <c r="D41" s="1" t="s">
        <v>232</v>
      </c>
      <c r="E41" s="1" t="s">
        <v>78</v>
      </c>
      <c r="F41" s="1" t="s">
        <v>34</v>
      </c>
      <c r="G41" s="4">
        <v>0.5</v>
      </c>
      <c r="I41" s="1" t="s">
        <v>226</v>
      </c>
      <c r="J41" s="1" t="s">
        <v>47</v>
      </c>
    </row>
    <row r="42" spans="1:10" hidden="1" x14ac:dyDescent="0.25">
      <c r="A42" s="1" t="s">
        <v>38</v>
      </c>
      <c r="B42" s="1">
        <v>69</v>
      </c>
      <c r="C42" s="1" t="s">
        <v>237</v>
      </c>
      <c r="D42" s="1" t="s">
        <v>232</v>
      </c>
      <c r="E42" s="1" t="s">
        <v>84</v>
      </c>
      <c r="F42" s="1" t="s">
        <v>34</v>
      </c>
      <c r="G42" s="4">
        <v>0</v>
      </c>
      <c r="I42" s="1" t="s">
        <v>226</v>
      </c>
      <c r="J42" s="1" t="s">
        <v>47</v>
      </c>
    </row>
    <row r="43" spans="1:10" hidden="1" x14ac:dyDescent="0.25">
      <c r="A43" s="1" t="s">
        <v>38</v>
      </c>
      <c r="B43" s="1">
        <v>95</v>
      </c>
      <c r="C43" s="1" t="s">
        <v>279</v>
      </c>
      <c r="D43" s="1" t="s">
        <v>228</v>
      </c>
      <c r="E43" s="1" t="s">
        <v>280</v>
      </c>
      <c r="F43" s="1" t="s">
        <v>64</v>
      </c>
      <c r="G43" s="4">
        <v>0</v>
      </c>
      <c r="I43" s="1" t="s">
        <v>226</v>
      </c>
      <c r="J43" s="1" t="s">
        <v>47</v>
      </c>
    </row>
    <row r="44" spans="1:10" x14ac:dyDescent="0.25">
      <c r="A44" s="1" t="s">
        <v>38</v>
      </c>
      <c r="B44" s="1">
        <v>96</v>
      </c>
      <c r="C44" s="1" t="s">
        <v>281</v>
      </c>
      <c r="D44" s="1" t="s">
        <v>282</v>
      </c>
      <c r="E44" s="1" t="s">
        <v>68</v>
      </c>
      <c r="F44" s="1" t="s">
        <v>64</v>
      </c>
      <c r="G44" s="4">
        <v>0</v>
      </c>
      <c r="I44" s="1" t="s">
        <v>226</v>
      </c>
      <c r="J44" s="1" t="s">
        <v>47</v>
      </c>
    </row>
    <row r="45" spans="1:10" hidden="1" x14ac:dyDescent="0.25">
      <c r="A45" s="1" t="s">
        <v>38</v>
      </c>
      <c r="B45" s="1">
        <v>100</v>
      </c>
      <c r="C45" s="1" t="s">
        <v>286</v>
      </c>
      <c r="D45" s="1" t="s">
        <v>43</v>
      </c>
      <c r="E45" s="1" t="s">
        <v>287</v>
      </c>
      <c r="F45" s="1" t="s">
        <v>64</v>
      </c>
      <c r="G45" s="4">
        <v>0.39</v>
      </c>
      <c r="I45" s="1" t="s">
        <v>289</v>
      </c>
      <c r="J45" s="1" t="s">
        <v>47</v>
      </c>
    </row>
    <row r="46" spans="1:10" hidden="1" x14ac:dyDescent="0.25">
      <c r="A46" s="1" t="s">
        <v>38</v>
      </c>
      <c r="B46" s="1">
        <v>111</v>
      </c>
      <c r="C46" s="1" t="s">
        <v>309</v>
      </c>
      <c r="D46" s="1" t="s">
        <v>291</v>
      </c>
      <c r="E46" s="1" t="s">
        <v>310</v>
      </c>
      <c r="F46" s="1" t="s">
        <v>64</v>
      </c>
      <c r="G46" s="4">
        <v>0</v>
      </c>
      <c r="I46" s="1" t="s">
        <v>289</v>
      </c>
      <c r="J46" s="1" t="s">
        <v>47</v>
      </c>
    </row>
    <row r="47" spans="1:10" x14ac:dyDescent="0.25">
      <c r="A47" s="1" t="s">
        <v>38</v>
      </c>
      <c r="B47" s="1">
        <v>112</v>
      </c>
      <c r="C47" s="1" t="s">
        <v>311</v>
      </c>
      <c r="D47" s="1" t="s">
        <v>312</v>
      </c>
      <c r="E47" s="1" t="s">
        <v>68</v>
      </c>
      <c r="F47" s="1" t="s">
        <v>64</v>
      </c>
      <c r="G47" s="4">
        <v>0</v>
      </c>
      <c r="I47" s="1" t="s">
        <v>289</v>
      </c>
      <c r="J47" s="1" t="s">
        <v>47</v>
      </c>
    </row>
    <row r="48" spans="1:10" hidden="1" x14ac:dyDescent="0.25">
      <c r="A48" s="1" t="s">
        <v>38</v>
      </c>
      <c r="B48" s="1">
        <v>116</v>
      </c>
      <c r="C48" s="1" t="s">
        <v>318</v>
      </c>
      <c r="D48" s="1" t="s">
        <v>43</v>
      </c>
      <c r="E48" s="1" t="s">
        <v>319</v>
      </c>
      <c r="F48" s="1" t="s">
        <v>34</v>
      </c>
      <c r="G48" s="4">
        <v>7.0000000000000007E-2</v>
      </c>
      <c r="I48" s="1" t="s">
        <v>321</v>
      </c>
      <c r="J48" s="1" t="s">
        <v>47</v>
      </c>
    </row>
    <row r="49" spans="1:11" hidden="1" x14ac:dyDescent="0.25">
      <c r="A49" s="1" t="s">
        <v>38</v>
      </c>
      <c r="B49" s="1">
        <v>117</v>
      </c>
      <c r="C49" s="1" t="s">
        <v>323</v>
      </c>
      <c r="D49" s="1" t="s">
        <v>324</v>
      </c>
      <c r="E49" s="1" t="s">
        <v>325</v>
      </c>
      <c r="F49" s="1" t="s">
        <v>34</v>
      </c>
      <c r="G49" s="4">
        <v>0.21</v>
      </c>
      <c r="I49" s="1" t="s">
        <v>321</v>
      </c>
      <c r="J49" s="1" t="s">
        <v>47</v>
      </c>
    </row>
    <row r="50" spans="1:11" x14ac:dyDescent="0.25">
      <c r="A50" s="1" t="s">
        <v>38</v>
      </c>
      <c r="B50" s="1">
        <v>118</v>
      </c>
      <c r="C50" s="1" t="s">
        <v>326</v>
      </c>
      <c r="D50" s="1" t="s">
        <v>327</v>
      </c>
      <c r="E50" s="1" t="s">
        <v>68</v>
      </c>
      <c r="F50" s="1" t="s">
        <v>34</v>
      </c>
      <c r="G50" s="4">
        <v>0.5</v>
      </c>
      <c r="I50" s="1" t="s">
        <v>321</v>
      </c>
      <c r="J50" s="1" t="s">
        <v>47</v>
      </c>
      <c r="K50" s="14">
        <v>46211</v>
      </c>
    </row>
    <row r="51" spans="1:11" hidden="1" x14ac:dyDescent="0.25">
      <c r="A51" s="1" t="s">
        <v>38</v>
      </c>
      <c r="B51" s="1">
        <v>119</v>
      </c>
      <c r="C51" s="1" t="s">
        <v>329</v>
      </c>
      <c r="D51" s="1" t="s">
        <v>327</v>
      </c>
      <c r="E51" s="1" t="s">
        <v>73</v>
      </c>
      <c r="F51" s="1" t="s">
        <v>34</v>
      </c>
      <c r="G51" s="4">
        <v>0</v>
      </c>
      <c r="I51" s="1" t="s">
        <v>321</v>
      </c>
      <c r="J51" s="1" t="s">
        <v>47</v>
      </c>
    </row>
    <row r="52" spans="1:11" hidden="1" x14ac:dyDescent="0.25">
      <c r="A52" s="1" t="s">
        <v>38</v>
      </c>
      <c r="B52" s="1">
        <v>120</v>
      </c>
      <c r="C52" s="1" t="s">
        <v>330</v>
      </c>
      <c r="D52" s="1" t="s">
        <v>327</v>
      </c>
      <c r="E52" s="1" t="s">
        <v>78</v>
      </c>
      <c r="F52" s="1" t="s">
        <v>34</v>
      </c>
      <c r="G52" s="4">
        <v>0</v>
      </c>
      <c r="I52" s="1" t="s">
        <v>321</v>
      </c>
      <c r="J52" s="1" t="s">
        <v>47</v>
      </c>
    </row>
    <row r="53" spans="1:11" hidden="1" x14ac:dyDescent="0.25">
      <c r="A53" s="1" t="s">
        <v>38</v>
      </c>
      <c r="B53" s="1">
        <v>121</v>
      </c>
      <c r="C53" s="1" t="s">
        <v>331</v>
      </c>
      <c r="D53" s="1" t="s">
        <v>327</v>
      </c>
      <c r="E53" s="1" t="s">
        <v>84</v>
      </c>
      <c r="F53" s="1" t="s">
        <v>34</v>
      </c>
      <c r="G53" s="4">
        <v>0</v>
      </c>
      <c r="I53" s="1" t="s">
        <v>321</v>
      </c>
      <c r="J53" s="1" t="s">
        <v>47</v>
      </c>
    </row>
    <row r="54" spans="1:11" hidden="1" x14ac:dyDescent="0.25">
      <c r="A54" s="1" t="s">
        <v>38</v>
      </c>
      <c r="B54" s="1">
        <v>127</v>
      </c>
      <c r="C54" s="1" t="s">
        <v>340</v>
      </c>
      <c r="D54" s="1" t="s">
        <v>324</v>
      </c>
      <c r="E54" s="1" t="s">
        <v>341</v>
      </c>
      <c r="F54" s="1" t="s">
        <v>64</v>
      </c>
      <c r="G54" s="4">
        <v>0</v>
      </c>
      <c r="I54" s="1" t="s">
        <v>321</v>
      </c>
      <c r="J54" s="1" t="s">
        <v>47</v>
      </c>
    </row>
    <row r="55" spans="1:11" x14ac:dyDescent="0.25">
      <c r="A55" s="1" t="s">
        <v>38</v>
      </c>
      <c r="B55" s="1">
        <v>128</v>
      </c>
      <c r="C55" s="1" t="s">
        <v>342</v>
      </c>
      <c r="D55" s="1" t="s">
        <v>343</v>
      </c>
      <c r="E55" s="1" t="s">
        <v>68</v>
      </c>
      <c r="F55" s="1" t="s">
        <v>64</v>
      </c>
      <c r="G55" s="4">
        <v>0</v>
      </c>
      <c r="I55" s="1" t="s">
        <v>321</v>
      </c>
      <c r="J55" s="1" t="s">
        <v>47</v>
      </c>
    </row>
    <row r="56" spans="1:11" hidden="1" x14ac:dyDescent="0.25">
      <c r="A56" s="1" t="s">
        <v>38</v>
      </c>
      <c r="B56" s="1">
        <v>132</v>
      </c>
      <c r="C56" s="1" t="s">
        <v>347</v>
      </c>
      <c r="D56" s="1" t="s">
        <v>43</v>
      </c>
      <c r="E56" s="1" t="s">
        <v>348</v>
      </c>
      <c r="F56" s="1" t="s">
        <v>34</v>
      </c>
      <c r="G56" s="4">
        <v>0.28999999999999998</v>
      </c>
      <c r="I56" s="1" t="s">
        <v>350</v>
      </c>
      <c r="J56" s="1" t="s">
        <v>47</v>
      </c>
    </row>
    <row r="57" spans="1:11" hidden="1" x14ac:dyDescent="0.25">
      <c r="A57" s="1" t="s">
        <v>38</v>
      </c>
      <c r="B57" s="1">
        <v>133</v>
      </c>
      <c r="C57" s="1" t="s">
        <v>351</v>
      </c>
      <c r="D57" s="1" t="s">
        <v>352</v>
      </c>
      <c r="E57" s="1" t="s">
        <v>353</v>
      </c>
      <c r="F57" s="1" t="s">
        <v>34</v>
      </c>
      <c r="G57" s="4">
        <v>0.8</v>
      </c>
      <c r="I57" s="1" t="s">
        <v>350</v>
      </c>
      <c r="J57" s="1" t="s">
        <v>47</v>
      </c>
    </row>
    <row r="58" spans="1:11" hidden="1" x14ac:dyDescent="0.25">
      <c r="A58" s="1" t="s">
        <v>38</v>
      </c>
      <c r="B58" s="1">
        <v>136</v>
      </c>
      <c r="C58" s="1" t="s">
        <v>358</v>
      </c>
      <c r="D58" s="1" t="s">
        <v>356</v>
      </c>
      <c r="E58" s="1" t="s">
        <v>78</v>
      </c>
      <c r="F58" s="1" t="s">
        <v>34</v>
      </c>
      <c r="G58" s="4">
        <v>0.5</v>
      </c>
      <c r="I58" s="1" t="s">
        <v>350</v>
      </c>
      <c r="J58" s="1" t="s">
        <v>47</v>
      </c>
    </row>
    <row r="59" spans="1:11" hidden="1" x14ac:dyDescent="0.25">
      <c r="A59" s="1" t="s">
        <v>38</v>
      </c>
      <c r="B59" s="1">
        <v>137</v>
      </c>
      <c r="C59" s="1" t="s">
        <v>359</v>
      </c>
      <c r="D59" s="1" t="s">
        <v>356</v>
      </c>
      <c r="E59" s="1" t="s">
        <v>84</v>
      </c>
      <c r="F59" s="1" t="s">
        <v>34</v>
      </c>
      <c r="G59" s="4">
        <v>0</v>
      </c>
      <c r="I59" s="1" t="s">
        <v>350</v>
      </c>
      <c r="J59" s="1" t="s">
        <v>47</v>
      </c>
    </row>
    <row r="60" spans="1:11" hidden="1" x14ac:dyDescent="0.25">
      <c r="A60" s="1" t="s">
        <v>38</v>
      </c>
      <c r="B60" s="1">
        <v>143</v>
      </c>
      <c r="C60" s="1" t="s">
        <v>370</v>
      </c>
      <c r="D60" s="1" t="s">
        <v>352</v>
      </c>
      <c r="E60" s="1" t="s">
        <v>371</v>
      </c>
      <c r="F60" s="1" t="s">
        <v>64</v>
      </c>
      <c r="G60" s="4">
        <v>0</v>
      </c>
      <c r="I60" s="1" t="s">
        <v>350</v>
      </c>
      <c r="J60" s="1" t="s">
        <v>47</v>
      </c>
    </row>
    <row r="61" spans="1:11" x14ac:dyDescent="0.25">
      <c r="A61" s="1" t="s">
        <v>38</v>
      </c>
      <c r="B61" s="1">
        <v>144</v>
      </c>
      <c r="C61" s="1" t="s">
        <v>372</v>
      </c>
      <c r="D61" s="1" t="s">
        <v>373</v>
      </c>
      <c r="E61" s="1" t="s">
        <v>68</v>
      </c>
      <c r="F61" s="1" t="s">
        <v>64</v>
      </c>
      <c r="G61" s="4">
        <v>0</v>
      </c>
      <c r="I61" s="1" t="s">
        <v>350</v>
      </c>
      <c r="J61" s="1" t="s">
        <v>47</v>
      </c>
    </row>
    <row r="62" spans="1:11" hidden="1" x14ac:dyDescent="0.25">
      <c r="A62" s="1" t="s">
        <v>38</v>
      </c>
      <c r="B62" s="1">
        <v>148</v>
      </c>
      <c r="C62" s="1" t="s">
        <v>377</v>
      </c>
      <c r="D62" s="1" t="s">
        <v>43</v>
      </c>
      <c r="E62" s="1" t="s">
        <v>378</v>
      </c>
      <c r="F62" s="1" t="s">
        <v>34</v>
      </c>
      <c r="G62" s="4">
        <v>0.23</v>
      </c>
      <c r="I62" s="1" t="s">
        <v>380</v>
      </c>
      <c r="J62" s="1" t="s">
        <v>47</v>
      </c>
    </row>
    <row r="63" spans="1:11" hidden="1" x14ac:dyDescent="0.25">
      <c r="A63" s="1" t="s">
        <v>38</v>
      </c>
      <c r="B63" s="1">
        <v>149</v>
      </c>
      <c r="C63" s="1" t="s">
        <v>381</v>
      </c>
      <c r="D63" s="1" t="s">
        <v>382</v>
      </c>
      <c r="E63" s="1" t="s">
        <v>383</v>
      </c>
      <c r="F63" s="1" t="s">
        <v>34</v>
      </c>
      <c r="G63" s="4">
        <v>0.5</v>
      </c>
      <c r="I63" s="1" t="s">
        <v>380</v>
      </c>
      <c r="J63" s="1" t="s">
        <v>47</v>
      </c>
    </row>
    <row r="64" spans="1:11" hidden="1" x14ac:dyDescent="0.25">
      <c r="A64" s="1" t="s">
        <v>38</v>
      </c>
      <c r="B64" s="1">
        <v>152</v>
      </c>
      <c r="C64" s="1" t="s">
        <v>388</v>
      </c>
      <c r="D64" s="1" t="s">
        <v>385</v>
      </c>
      <c r="E64" s="1" t="s">
        <v>78</v>
      </c>
      <c r="F64" s="1" t="s">
        <v>34</v>
      </c>
      <c r="G64" s="4">
        <v>0.5</v>
      </c>
      <c r="I64" s="1" t="s">
        <v>380</v>
      </c>
      <c r="J64" s="1" t="s">
        <v>47</v>
      </c>
    </row>
    <row r="65" spans="1:10" hidden="1" x14ac:dyDescent="0.25">
      <c r="A65" s="1" t="s">
        <v>38</v>
      </c>
      <c r="B65" s="1">
        <v>153</v>
      </c>
      <c r="C65" s="1" t="s">
        <v>389</v>
      </c>
      <c r="D65" s="1" t="s">
        <v>385</v>
      </c>
      <c r="E65" s="1" t="s">
        <v>84</v>
      </c>
      <c r="F65" s="1" t="s">
        <v>34</v>
      </c>
      <c r="G65" s="4">
        <v>0</v>
      </c>
      <c r="I65" s="1" t="s">
        <v>380</v>
      </c>
      <c r="J65" s="1" t="s">
        <v>47</v>
      </c>
    </row>
    <row r="66" spans="1:10" hidden="1" x14ac:dyDescent="0.25">
      <c r="A66" s="1" t="s">
        <v>38</v>
      </c>
      <c r="B66" s="1">
        <v>154</v>
      </c>
      <c r="C66" s="1" t="s">
        <v>390</v>
      </c>
      <c r="D66" s="1" t="s">
        <v>382</v>
      </c>
      <c r="E66" s="1" t="s">
        <v>391</v>
      </c>
      <c r="F66" s="1" t="s">
        <v>34</v>
      </c>
      <c r="G66" s="4">
        <v>0.5</v>
      </c>
      <c r="I66" s="1" t="s">
        <v>380</v>
      </c>
      <c r="J66" s="1" t="s">
        <v>47</v>
      </c>
    </row>
    <row r="67" spans="1:10" hidden="1" x14ac:dyDescent="0.25">
      <c r="A67" s="1" t="s">
        <v>38</v>
      </c>
      <c r="B67" s="1">
        <v>157</v>
      </c>
      <c r="C67" s="1" t="s">
        <v>396</v>
      </c>
      <c r="D67" s="1" t="s">
        <v>393</v>
      </c>
      <c r="E67" s="1" t="s">
        <v>78</v>
      </c>
      <c r="F67" s="1" t="s">
        <v>34</v>
      </c>
      <c r="G67" s="4">
        <v>0.5</v>
      </c>
      <c r="I67" s="1" t="s">
        <v>380</v>
      </c>
      <c r="J67" s="1" t="s">
        <v>47</v>
      </c>
    </row>
    <row r="68" spans="1:10" hidden="1" x14ac:dyDescent="0.25">
      <c r="A68" s="1" t="s">
        <v>38</v>
      </c>
      <c r="B68" s="1">
        <v>158</v>
      </c>
      <c r="C68" s="1" t="s">
        <v>397</v>
      </c>
      <c r="D68" s="1" t="s">
        <v>393</v>
      </c>
      <c r="E68" s="1" t="s">
        <v>84</v>
      </c>
      <c r="F68" s="1" t="s">
        <v>34</v>
      </c>
      <c r="G68" s="4">
        <v>0</v>
      </c>
      <c r="I68" s="1" t="s">
        <v>380</v>
      </c>
      <c r="J68" s="1" t="s">
        <v>47</v>
      </c>
    </row>
    <row r="69" spans="1:10" hidden="1" x14ac:dyDescent="0.25">
      <c r="A69" s="1" t="s">
        <v>38</v>
      </c>
      <c r="B69" s="1">
        <v>164</v>
      </c>
      <c r="C69" s="1" t="s">
        <v>409</v>
      </c>
      <c r="D69" s="1" t="s">
        <v>382</v>
      </c>
      <c r="E69" s="1" t="s">
        <v>410</v>
      </c>
      <c r="F69" s="1" t="s">
        <v>64</v>
      </c>
      <c r="G69" s="4">
        <v>0</v>
      </c>
      <c r="I69" s="1" t="s">
        <v>380</v>
      </c>
      <c r="J69" s="1" t="s">
        <v>47</v>
      </c>
    </row>
    <row r="70" spans="1:10" x14ac:dyDescent="0.25">
      <c r="A70" s="1" t="s">
        <v>38</v>
      </c>
      <c r="B70" s="1">
        <v>165</v>
      </c>
      <c r="C70" s="1" t="s">
        <v>411</v>
      </c>
      <c r="D70" s="1" t="s">
        <v>412</v>
      </c>
      <c r="E70" s="1" t="s">
        <v>68</v>
      </c>
      <c r="F70" s="1" t="s">
        <v>64</v>
      </c>
      <c r="G70" s="4">
        <v>0</v>
      </c>
      <c r="I70" s="1" t="s">
        <v>380</v>
      </c>
      <c r="J70" s="1" t="s">
        <v>47</v>
      </c>
    </row>
    <row r="71" spans="1:10" hidden="1" x14ac:dyDescent="0.25">
      <c r="A71" s="1" t="s">
        <v>38</v>
      </c>
      <c r="B71" s="1">
        <v>169</v>
      </c>
      <c r="C71" s="1" t="s">
        <v>416</v>
      </c>
      <c r="D71" s="1" t="s">
        <v>382</v>
      </c>
      <c r="E71" s="1" t="s">
        <v>417</v>
      </c>
      <c r="F71" s="1" t="s">
        <v>64</v>
      </c>
      <c r="G71" s="4">
        <v>0.39</v>
      </c>
      <c r="I71" s="1" t="s">
        <v>380</v>
      </c>
      <c r="J71" s="1" t="s">
        <v>47</v>
      </c>
    </row>
    <row r="72" spans="1:10" x14ac:dyDescent="0.25">
      <c r="A72" s="12" t="s">
        <v>38</v>
      </c>
      <c r="B72" s="12">
        <v>170</v>
      </c>
      <c r="C72" s="12" t="s">
        <v>418</v>
      </c>
      <c r="D72" s="12" t="s">
        <v>419</v>
      </c>
      <c r="E72" s="12" t="s">
        <v>68</v>
      </c>
      <c r="F72" s="12" t="s">
        <v>64</v>
      </c>
      <c r="G72" s="13">
        <v>1</v>
      </c>
      <c r="H72" s="12"/>
      <c r="I72" s="12" t="s">
        <v>380</v>
      </c>
      <c r="J72" s="12" t="s">
        <v>47</v>
      </c>
    </row>
    <row r="73" spans="1:10" hidden="1" x14ac:dyDescent="0.25">
      <c r="A73" s="1" t="s">
        <v>38</v>
      </c>
      <c r="B73" s="1">
        <v>171</v>
      </c>
      <c r="C73" s="1" t="s">
        <v>420</v>
      </c>
      <c r="D73" s="1" t="s">
        <v>419</v>
      </c>
      <c r="E73" s="1" t="s">
        <v>73</v>
      </c>
      <c r="F73" s="1" t="s">
        <v>80</v>
      </c>
      <c r="G73" s="4">
        <v>0</v>
      </c>
      <c r="I73" s="1" t="s">
        <v>380</v>
      </c>
      <c r="J73" s="1" t="s">
        <v>47</v>
      </c>
    </row>
    <row r="74" spans="1:10" hidden="1" x14ac:dyDescent="0.25">
      <c r="A74" s="1" t="s">
        <v>38</v>
      </c>
      <c r="B74" s="1">
        <v>172</v>
      </c>
      <c r="C74" s="1" t="s">
        <v>421</v>
      </c>
      <c r="D74" s="1" t="s">
        <v>419</v>
      </c>
      <c r="E74" s="1" t="s">
        <v>78</v>
      </c>
      <c r="F74" s="1" t="s">
        <v>80</v>
      </c>
      <c r="G74" s="4">
        <v>0</v>
      </c>
      <c r="I74" s="1" t="s">
        <v>380</v>
      </c>
      <c r="J74" s="1" t="s">
        <v>47</v>
      </c>
    </row>
    <row r="75" spans="1:10" hidden="1" x14ac:dyDescent="0.25">
      <c r="A75" s="1" t="s">
        <v>38</v>
      </c>
      <c r="B75" s="1">
        <v>7</v>
      </c>
      <c r="C75" s="1" t="s">
        <v>60</v>
      </c>
      <c r="D75" s="1" t="s">
        <v>61</v>
      </c>
      <c r="E75" s="1" t="s">
        <v>440</v>
      </c>
      <c r="F75" s="1" t="s">
        <v>80</v>
      </c>
      <c r="G75" s="4">
        <v>0</v>
      </c>
      <c r="I75" s="1" t="s">
        <v>442</v>
      </c>
      <c r="J75" s="1" t="s">
        <v>35</v>
      </c>
    </row>
  </sheetData>
  <conditionalFormatting sqref="G1:G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{4FCABA3C-F2B7-4179-A16C-DE1702F74A09}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CABA3C-F2B7-4179-A16C-DE1702F74A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8"/>
  <sheetViews>
    <sheetView workbookViewId="0"/>
  </sheetViews>
  <sheetFormatPr defaultRowHeight="15" x14ac:dyDescent="0.25"/>
  <sheetData>
    <row r="1" spans="1:10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11</v>
      </c>
      <c r="G1" t="s">
        <v>9</v>
      </c>
      <c r="H1" t="s">
        <v>19</v>
      </c>
      <c r="I1" t="s">
        <v>13</v>
      </c>
      <c r="J1" t="s">
        <v>12</v>
      </c>
    </row>
    <row r="2" spans="1:10" x14ac:dyDescent="0.25">
      <c r="A2" t="s">
        <v>38</v>
      </c>
      <c r="B2">
        <v>41</v>
      </c>
      <c r="C2" t="s">
        <v>169</v>
      </c>
      <c r="D2" t="s">
        <v>166</v>
      </c>
      <c r="E2" t="s">
        <v>78</v>
      </c>
      <c r="F2" t="s">
        <v>80</v>
      </c>
      <c r="G2">
        <v>0.5</v>
      </c>
      <c r="I2" t="s">
        <v>121</v>
      </c>
      <c r="J2" t="s">
        <v>47</v>
      </c>
    </row>
    <row r="3" spans="1:10" x14ac:dyDescent="0.25">
      <c r="A3" t="s">
        <v>38</v>
      </c>
      <c r="B3">
        <v>97</v>
      </c>
      <c r="C3" t="s">
        <v>283</v>
      </c>
      <c r="D3" t="s">
        <v>282</v>
      </c>
      <c r="E3" t="s">
        <v>73</v>
      </c>
      <c r="F3" t="s">
        <v>80</v>
      </c>
      <c r="G3">
        <v>0</v>
      </c>
      <c r="I3" t="s">
        <v>226</v>
      </c>
      <c r="J3" t="s">
        <v>47</v>
      </c>
    </row>
    <row r="4" spans="1:10" x14ac:dyDescent="0.25">
      <c r="A4" t="s">
        <v>38</v>
      </c>
      <c r="B4">
        <v>98</v>
      </c>
      <c r="C4" t="s">
        <v>284</v>
      </c>
      <c r="D4" t="s">
        <v>282</v>
      </c>
      <c r="E4" t="s">
        <v>78</v>
      </c>
      <c r="F4" t="s">
        <v>80</v>
      </c>
      <c r="G4">
        <v>0</v>
      </c>
      <c r="I4" t="s">
        <v>226</v>
      </c>
      <c r="J4" t="s">
        <v>47</v>
      </c>
    </row>
    <row r="5" spans="1:10" x14ac:dyDescent="0.25">
      <c r="A5" t="s">
        <v>38</v>
      </c>
      <c r="B5">
        <v>99</v>
      </c>
      <c r="C5" t="s">
        <v>285</v>
      </c>
      <c r="D5" t="s">
        <v>282</v>
      </c>
      <c r="E5" t="s">
        <v>84</v>
      </c>
      <c r="F5" t="s">
        <v>80</v>
      </c>
      <c r="G5">
        <v>0</v>
      </c>
      <c r="I5" t="s">
        <v>226</v>
      </c>
      <c r="J5" t="s">
        <v>47</v>
      </c>
    </row>
    <row r="6" spans="1:10" x14ac:dyDescent="0.25">
      <c r="A6" t="s">
        <v>38</v>
      </c>
      <c r="B6">
        <v>113</v>
      </c>
      <c r="C6" t="s">
        <v>313</v>
      </c>
      <c r="D6" t="s">
        <v>312</v>
      </c>
      <c r="E6" t="s">
        <v>73</v>
      </c>
      <c r="F6" t="s">
        <v>80</v>
      </c>
      <c r="G6">
        <v>0</v>
      </c>
      <c r="I6" t="s">
        <v>289</v>
      </c>
      <c r="J6" t="s">
        <v>47</v>
      </c>
    </row>
    <row r="7" spans="1:10" x14ac:dyDescent="0.25">
      <c r="A7" t="s">
        <v>38</v>
      </c>
      <c r="B7">
        <v>114</v>
      </c>
      <c r="C7" t="s">
        <v>315</v>
      </c>
      <c r="D7" t="s">
        <v>312</v>
      </c>
      <c r="E7" t="s">
        <v>78</v>
      </c>
      <c r="F7" t="s">
        <v>80</v>
      </c>
      <c r="G7">
        <v>0</v>
      </c>
      <c r="I7" t="s">
        <v>289</v>
      </c>
      <c r="J7" t="s">
        <v>47</v>
      </c>
    </row>
    <row r="8" spans="1:10" x14ac:dyDescent="0.25">
      <c r="A8" t="s">
        <v>38</v>
      </c>
      <c r="B8">
        <v>115</v>
      </c>
      <c r="C8" t="s">
        <v>316</v>
      </c>
      <c r="D8" t="s">
        <v>312</v>
      </c>
      <c r="E8" t="s">
        <v>84</v>
      </c>
      <c r="F8" t="s">
        <v>80</v>
      </c>
      <c r="G8">
        <v>0</v>
      </c>
      <c r="I8" t="s">
        <v>289</v>
      </c>
      <c r="J8" t="s">
        <v>47</v>
      </c>
    </row>
    <row r="9" spans="1:10" x14ac:dyDescent="0.25">
      <c r="A9" t="s">
        <v>38</v>
      </c>
      <c r="B9">
        <v>129</v>
      </c>
      <c r="C9" t="s">
        <v>344</v>
      </c>
      <c r="D9" t="s">
        <v>343</v>
      </c>
      <c r="E9" t="s">
        <v>73</v>
      </c>
      <c r="F9" t="s">
        <v>80</v>
      </c>
      <c r="G9">
        <v>0</v>
      </c>
      <c r="I9" t="s">
        <v>321</v>
      </c>
      <c r="J9" t="s">
        <v>47</v>
      </c>
    </row>
    <row r="10" spans="1:10" x14ac:dyDescent="0.25">
      <c r="A10" t="s">
        <v>38</v>
      </c>
      <c r="B10">
        <v>130</v>
      </c>
      <c r="C10" t="s">
        <v>345</v>
      </c>
      <c r="D10" t="s">
        <v>343</v>
      </c>
      <c r="E10" t="s">
        <v>78</v>
      </c>
      <c r="F10" t="s">
        <v>80</v>
      </c>
      <c r="G10">
        <v>0</v>
      </c>
      <c r="I10" t="s">
        <v>321</v>
      </c>
      <c r="J10" t="s">
        <v>47</v>
      </c>
    </row>
    <row r="11" spans="1:10" x14ac:dyDescent="0.25">
      <c r="A11" t="s">
        <v>38</v>
      </c>
      <c r="B11">
        <v>131</v>
      </c>
      <c r="C11" t="s">
        <v>346</v>
      </c>
      <c r="D11" t="s">
        <v>343</v>
      </c>
      <c r="E11" t="s">
        <v>84</v>
      </c>
      <c r="F11" t="s">
        <v>80</v>
      </c>
      <c r="G11">
        <v>0</v>
      </c>
      <c r="I11" t="s">
        <v>321</v>
      </c>
      <c r="J11" t="s">
        <v>47</v>
      </c>
    </row>
    <row r="12" spans="1:10" x14ac:dyDescent="0.25">
      <c r="A12" t="s">
        <v>38</v>
      </c>
      <c r="B12">
        <v>145</v>
      </c>
      <c r="C12" t="s">
        <v>374</v>
      </c>
      <c r="D12" t="s">
        <v>373</v>
      </c>
      <c r="E12" t="s">
        <v>73</v>
      </c>
      <c r="F12" t="s">
        <v>80</v>
      </c>
      <c r="G12">
        <v>0</v>
      </c>
      <c r="I12" t="s">
        <v>350</v>
      </c>
      <c r="J12" t="s">
        <v>47</v>
      </c>
    </row>
    <row r="13" spans="1:10" x14ac:dyDescent="0.25">
      <c r="A13" t="s">
        <v>38</v>
      </c>
      <c r="B13">
        <v>146</v>
      </c>
      <c r="C13" t="s">
        <v>375</v>
      </c>
      <c r="D13" t="s">
        <v>373</v>
      </c>
      <c r="E13" t="s">
        <v>78</v>
      </c>
      <c r="F13" t="s">
        <v>80</v>
      </c>
      <c r="G13">
        <v>0</v>
      </c>
      <c r="I13" t="s">
        <v>350</v>
      </c>
      <c r="J13" t="s">
        <v>47</v>
      </c>
    </row>
    <row r="14" spans="1:10" x14ac:dyDescent="0.25">
      <c r="A14" t="s">
        <v>38</v>
      </c>
      <c r="B14">
        <v>147</v>
      </c>
      <c r="C14" t="s">
        <v>376</v>
      </c>
      <c r="D14" t="s">
        <v>373</v>
      </c>
      <c r="E14" t="s">
        <v>84</v>
      </c>
      <c r="F14" t="s">
        <v>80</v>
      </c>
      <c r="G14">
        <v>0</v>
      </c>
      <c r="I14" t="s">
        <v>350</v>
      </c>
      <c r="J14" t="s">
        <v>47</v>
      </c>
    </row>
    <row r="15" spans="1:10" x14ac:dyDescent="0.25">
      <c r="A15" t="s">
        <v>38</v>
      </c>
      <c r="B15">
        <v>166</v>
      </c>
      <c r="C15" t="s">
        <v>413</v>
      </c>
      <c r="D15" t="s">
        <v>412</v>
      </c>
      <c r="E15" t="s">
        <v>73</v>
      </c>
      <c r="F15" t="s">
        <v>80</v>
      </c>
      <c r="G15">
        <v>0</v>
      </c>
      <c r="I15" t="s">
        <v>380</v>
      </c>
      <c r="J15" t="s">
        <v>47</v>
      </c>
    </row>
    <row r="16" spans="1:10" x14ac:dyDescent="0.25">
      <c r="A16" t="s">
        <v>38</v>
      </c>
      <c r="B16">
        <v>167</v>
      </c>
      <c r="C16" t="s">
        <v>414</v>
      </c>
      <c r="D16" t="s">
        <v>412</v>
      </c>
      <c r="E16" t="s">
        <v>78</v>
      </c>
      <c r="F16" t="s">
        <v>80</v>
      </c>
      <c r="G16">
        <v>0</v>
      </c>
      <c r="I16" t="s">
        <v>380</v>
      </c>
      <c r="J16" t="s">
        <v>47</v>
      </c>
    </row>
    <row r="17" spans="1:10" x14ac:dyDescent="0.25">
      <c r="A17" t="s">
        <v>38</v>
      </c>
      <c r="B17">
        <v>168</v>
      </c>
      <c r="C17" t="s">
        <v>415</v>
      </c>
      <c r="D17" t="s">
        <v>412</v>
      </c>
      <c r="E17" t="s">
        <v>84</v>
      </c>
      <c r="F17" t="s">
        <v>80</v>
      </c>
      <c r="G17">
        <v>0</v>
      </c>
      <c r="I17" t="s">
        <v>380</v>
      </c>
      <c r="J17" t="s">
        <v>47</v>
      </c>
    </row>
    <row r="18" spans="1:10" x14ac:dyDescent="0.25">
      <c r="A18" t="s">
        <v>38</v>
      </c>
      <c r="B18">
        <v>173</v>
      </c>
      <c r="C18" t="s">
        <v>422</v>
      </c>
      <c r="D18" t="s">
        <v>419</v>
      </c>
      <c r="E18" t="s">
        <v>84</v>
      </c>
      <c r="F18" t="s">
        <v>80</v>
      </c>
      <c r="G18">
        <v>0</v>
      </c>
      <c r="I18" t="s">
        <v>380</v>
      </c>
      <c r="J18" t="s">
        <v>47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ACE1AF-9695-485E-AC7F-CBB0B2981F41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customXml/itemProps2.xml><?xml version="1.0" encoding="utf-8"?>
<ds:datastoreItem xmlns:ds="http://schemas.openxmlformats.org/officeDocument/2006/customXml" ds:itemID="{8138B1AB-1972-4DFF-B096-6552737E50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F5282B-EB3A-4047-A7AA-7FD92B2BC9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 Candido</cp:lastModifiedBy>
  <dcterms:created xsi:type="dcterms:W3CDTF">2026-07-07T19:38:26Z</dcterms:created>
  <dcterms:modified xsi:type="dcterms:W3CDTF">2026-07-08T19:14:15Z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2026-07-07T19:39:14Z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d678ca1c-8924-4000-afd1-26641cf17fb6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