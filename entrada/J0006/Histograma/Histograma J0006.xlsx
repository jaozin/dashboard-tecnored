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joao_santos5_bureauveritas_com/Documents/Documents/Tecnored/Planejamento BQM-LS/"/>
    </mc:Choice>
  </mc:AlternateContent>
  <xr:revisionPtr revIDLastSave="1" documentId="8_{D1B4E05F-EA48-4435-8E14-DE1BD9EF7F7C}" xr6:coauthVersionLast="47" xr6:coauthVersionMax="47" xr10:uidLastSave="{9C28EAC5-1DF0-4DEB-BFE8-C567414F4370}"/>
  <bookViews>
    <workbookView xWindow="20370" yWindow="-120" windowWidth="29040" windowHeight="15720" xr2:uid="{66EF4C67-47A8-4125-847D-317D5983EB3E}"/>
  </bookViews>
  <sheets>
    <sheet name="Histograma J006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E36" i="1" l="1"/>
  <c r="EF36" i="1" s="1"/>
  <c r="ED36" i="1"/>
  <c r="DO36" i="1"/>
  <c r="DP36" i="1" s="1"/>
  <c r="DJ36" i="1"/>
  <c r="DI36" i="1"/>
  <c r="DH36" i="1"/>
  <c r="EQ36" i="1" s="1"/>
  <c r="ER36" i="1" s="1"/>
  <c r="DG36" i="1"/>
  <c r="DF36" i="1"/>
  <c r="DE36" i="1"/>
  <c r="DD36" i="1"/>
  <c r="DC36" i="1"/>
  <c r="DB36" i="1"/>
  <c r="DA36" i="1"/>
  <c r="EO36" i="1" s="1"/>
  <c r="EP36" i="1" s="1"/>
  <c r="CZ36" i="1"/>
  <c r="CY36" i="1"/>
  <c r="CX36" i="1"/>
  <c r="EM36" i="1" s="1"/>
  <c r="EN36" i="1" s="1"/>
  <c r="CW36" i="1"/>
  <c r="CV36" i="1"/>
  <c r="CU36" i="1"/>
  <c r="CT36" i="1"/>
  <c r="CS36" i="1"/>
  <c r="CR36" i="1"/>
  <c r="CQ36" i="1"/>
  <c r="CP36" i="1"/>
  <c r="CO36" i="1"/>
  <c r="CN36" i="1"/>
  <c r="CM36" i="1"/>
  <c r="EK36" i="1" s="1"/>
  <c r="EL36" i="1" s="1"/>
  <c r="CL36" i="1"/>
  <c r="CK36" i="1"/>
  <c r="CJ36" i="1"/>
  <c r="CI36" i="1"/>
  <c r="CH36" i="1"/>
  <c r="EI36" i="1" s="1"/>
  <c r="EJ36" i="1" s="1"/>
  <c r="CG36" i="1"/>
  <c r="CF36" i="1"/>
  <c r="CE36" i="1"/>
  <c r="CD36" i="1"/>
  <c r="CC36" i="1"/>
  <c r="CB36" i="1"/>
  <c r="CA36" i="1"/>
  <c r="BZ36" i="1"/>
  <c r="EG36" i="1" s="1"/>
  <c r="EH36" i="1" s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EC36" i="1" s="1"/>
  <c r="BJ36" i="1"/>
  <c r="BI36" i="1"/>
  <c r="BH36" i="1"/>
  <c r="BG36" i="1"/>
  <c r="BF36" i="1"/>
  <c r="BE36" i="1"/>
  <c r="BD36" i="1"/>
  <c r="EA36" i="1" s="1"/>
  <c r="EB36" i="1" s="1"/>
  <c r="BC36" i="1"/>
  <c r="BB36" i="1"/>
  <c r="BA36" i="1"/>
  <c r="AZ36" i="1"/>
  <c r="AY36" i="1"/>
  <c r="AX36" i="1"/>
  <c r="AW36" i="1"/>
  <c r="DY36" i="1" s="1"/>
  <c r="DZ36" i="1" s="1"/>
  <c r="AV36" i="1"/>
  <c r="AU36" i="1"/>
  <c r="AT36" i="1"/>
  <c r="DW36" i="1" s="1"/>
  <c r="DX36" i="1" s="1"/>
  <c r="AS36" i="1"/>
  <c r="AR36" i="1"/>
  <c r="AQ36" i="1"/>
  <c r="AP36" i="1"/>
  <c r="AO36" i="1"/>
  <c r="AN36" i="1"/>
  <c r="AM36" i="1"/>
  <c r="AL36" i="1"/>
  <c r="AK36" i="1"/>
  <c r="AJ36" i="1"/>
  <c r="AI36" i="1"/>
  <c r="DU36" i="1" s="1"/>
  <c r="DV36" i="1" s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DQ36" i="1" s="1"/>
  <c r="DR36" i="1" s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 s="1"/>
  <c r="EI35" i="1"/>
  <c r="EJ35" i="1" s="1"/>
  <c r="DW35" i="1"/>
  <c r="DX35" i="1" s="1"/>
  <c r="DQ35" i="1"/>
  <c r="DR35" i="1" s="1"/>
  <c r="DJ35" i="1"/>
  <c r="DI35" i="1"/>
  <c r="DH35" i="1"/>
  <c r="DG35" i="1"/>
  <c r="DF35" i="1"/>
  <c r="DE35" i="1"/>
  <c r="DD35" i="1"/>
  <c r="DC35" i="1"/>
  <c r="DB35" i="1"/>
  <c r="DA35" i="1"/>
  <c r="EO35" i="1" s="1"/>
  <c r="EP35" i="1" s="1"/>
  <c r="CZ35" i="1"/>
  <c r="CY35" i="1"/>
  <c r="CX35" i="1"/>
  <c r="CW35" i="1"/>
  <c r="CV35" i="1"/>
  <c r="CU35" i="1"/>
  <c r="CT35" i="1"/>
  <c r="EM35" i="1" s="1"/>
  <c r="EN35" i="1" s="1"/>
  <c r="CS35" i="1"/>
  <c r="CR35" i="1"/>
  <c r="CQ35" i="1"/>
  <c r="CP35" i="1"/>
  <c r="CO35" i="1"/>
  <c r="CN35" i="1"/>
  <c r="CM35" i="1"/>
  <c r="EK35" i="1" s="1"/>
  <c r="EL35" i="1" s="1"/>
  <c r="CL35" i="1"/>
  <c r="CK35" i="1"/>
  <c r="CJ35" i="1"/>
  <c r="CI35" i="1"/>
  <c r="CH35" i="1"/>
  <c r="CG35" i="1"/>
  <c r="CF35" i="1"/>
  <c r="CE35" i="1"/>
  <c r="CD35" i="1"/>
  <c r="CC35" i="1"/>
  <c r="EG35" i="1" s="1"/>
  <c r="EH35" i="1" s="1"/>
  <c r="CB35" i="1"/>
  <c r="CA35" i="1"/>
  <c r="BZ35" i="1"/>
  <c r="BY35" i="1"/>
  <c r="BX35" i="1"/>
  <c r="BW35" i="1"/>
  <c r="BV35" i="1"/>
  <c r="BU35" i="1"/>
  <c r="EE35" i="1" s="1"/>
  <c r="EF35" i="1" s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DY35" i="1" s="1"/>
  <c r="DZ35" i="1" s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DU35" i="1" s="1"/>
  <c r="DV35" i="1" s="1"/>
  <c r="AH35" i="1"/>
  <c r="AG35" i="1"/>
  <c r="AF35" i="1"/>
  <c r="AE35" i="1"/>
  <c r="DS35" i="1" s="1"/>
  <c r="DT35" i="1" s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DO35" i="1" s="1"/>
  <c r="DP35" i="1" s="1"/>
  <c r="P35" i="1"/>
  <c r="O35" i="1"/>
  <c r="N35" i="1"/>
  <c r="M35" i="1"/>
  <c r="L35" i="1"/>
  <c r="K35" i="1"/>
  <c r="J35" i="1"/>
  <c r="I35" i="1"/>
  <c r="H35" i="1"/>
  <c r="G35" i="1"/>
  <c r="EQ34" i="1"/>
  <c r="ER34" i="1" s="1"/>
  <c r="EP34" i="1"/>
  <c r="EO34" i="1"/>
  <c r="EN34" i="1"/>
  <c r="EM34" i="1"/>
  <c r="EK34" i="1"/>
  <c r="EL34" i="1" s="1"/>
  <c r="EI34" i="1"/>
  <c r="EJ34" i="1" s="1"/>
  <c r="EG34" i="1"/>
  <c r="EH34" i="1" s="1"/>
  <c r="EF34" i="1"/>
  <c r="EE34" i="1"/>
  <c r="EC34" i="1"/>
  <c r="ED34" i="1" s="1"/>
  <c r="EA34" i="1"/>
  <c r="EB34" i="1" s="1"/>
  <c r="DZ34" i="1"/>
  <c r="DY34" i="1"/>
  <c r="DX34" i="1"/>
  <c r="DW34" i="1"/>
  <c r="DU34" i="1"/>
  <c r="DV34" i="1" s="1"/>
  <c r="DS34" i="1"/>
  <c r="DT34" i="1" s="1"/>
  <c r="DQ34" i="1"/>
  <c r="DR34" i="1" s="1"/>
  <c r="DP34" i="1"/>
  <c r="DO34" i="1"/>
  <c r="DM34" i="1"/>
  <c r="DN34" i="1" s="1"/>
  <c r="DK34" i="1"/>
  <c r="DL34" i="1" s="1"/>
  <c r="F34" i="1"/>
  <c r="E34" i="1"/>
  <c r="D34" i="1"/>
  <c r="EQ33" i="1"/>
  <c r="ER33" i="1" s="1"/>
  <c r="EO33" i="1"/>
  <c r="EP33" i="1" s="1"/>
  <c r="EM33" i="1"/>
  <c r="EN33" i="1" s="1"/>
  <c r="EK33" i="1"/>
  <c r="EL33" i="1" s="1"/>
  <c r="EI33" i="1"/>
  <c r="EJ33" i="1" s="1"/>
  <c r="EG33" i="1"/>
  <c r="EH33" i="1" s="1"/>
  <c r="EE33" i="1"/>
  <c r="EF33" i="1" s="1"/>
  <c r="EC33" i="1"/>
  <c r="ED33" i="1" s="1"/>
  <c r="EA33" i="1"/>
  <c r="EB33" i="1" s="1"/>
  <c r="DY33" i="1"/>
  <c r="DZ33" i="1" s="1"/>
  <c r="DW33" i="1"/>
  <c r="DX33" i="1" s="1"/>
  <c r="DU33" i="1"/>
  <c r="DV33" i="1" s="1"/>
  <c r="DS33" i="1"/>
  <c r="DT33" i="1" s="1"/>
  <c r="DQ33" i="1"/>
  <c r="DR33" i="1" s="1"/>
  <c r="DO33" i="1"/>
  <c r="DP33" i="1" s="1"/>
  <c r="DM33" i="1"/>
  <c r="DN33" i="1" s="1"/>
  <c r="DK33" i="1"/>
  <c r="DL33" i="1" s="1"/>
  <c r="F33" i="1"/>
  <c r="E33" i="1"/>
  <c r="D33" i="1"/>
  <c r="EQ32" i="1"/>
  <c r="ER32" i="1" s="1"/>
  <c r="EP32" i="1"/>
  <c r="EO32" i="1"/>
  <c r="EM32" i="1"/>
  <c r="EN32" i="1" s="1"/>
  <c r="EK32" i="1"/>
  <c r="EL32" i="1" s="1"/>
  <c r="EI32" i="1"/>
  <c r="EJ32" i="1" s="1"/>
  <c r="EH32" i="1"/>
  <c r="EG32" i="1"/>
  <c r="EE32" i="1"/>
  <c r="EF32" i="1" s="1"/>
  <c r="EC32" i="1"/>
  <c r="ED32" i="1" s="1"/>
  <c r="EA32" i="1"/>
  <c r="EB32" i="1" s="1"/>
  <c r="DZ32" i="1"/>
  <c r="DY32" i="1"/>
  <c r="DW32" i="1"/>
  <c r="DX32" i="1" s="1"/>
  <c r="DU32" i="1"/>
  <c r="DV32" i="1" s="1"/>
  <c r="DS32" i="1"/>
  <c r="DT32" i="1" s="1"/>
  <c r="DR32" i="1"/>
  <c r="DQ32" i="1"/>
  <c r="DO32" i="1"/>
  <c r="DP32" i="1" s="1"/>
  <c r="DM32" i="1"/>
  <c r="DN32" i="1" s="1"/>
  <c r="DK32" i="1"/>
  <c r="DL32" i="1" s="1"/>
  <c r="F32" i="1"/>
  <c r="E32" i="1"/>
  <c r="D32" i="1"/>
  <c r="EQ31" i="1"/>
  <c r="ER31" i="1" s="1"/>
  <c r="EO31" i="1"/>
  <c r="EP31" i="1" s="1"/>
  <c r="EM31" i="1"/>
  <c r="EN31" i="1" s="1"/>
  <c r="EK31" i="1"/>
  <c r="EL31" i="1" s="1"/>
  <c r="EI31" i="1"/>
  <c r="EJ31" i="1" s="1"/>
  <c r="EG31" i="1"/>
  <c r="EH31" i="1" s="1"/>
  <c r="EE31" i="1"/>
  <c r="EF31" i="1" s="1"/>
  <c r="EC31" i="1"/>
  <c r="ED31" i="1" s="1"/>
  <c r="EA31" i="1"/>
  <c r="EB31" i="1" s="1"/>
  <c r="DY31" i="1"/>
  <c r="DZ31" i="1" s="1"/>
  <c r="DW31" i="1"/>
  <c r="DX31" i="1" s="1"/>
  <c r="DU31" i="1"/>
  <c r="DV31" i="1" s="1"/>
  <c r="DS31" i="1"/>
  <c r="DT31" i="1" s="1"/>
  <c r="DQ31" i="1"/>
  <c r="DR31" i="1" s="1"/>
  <c r="DO31" i="1"/>
  <c r="DP31" i="1" s="1"/>
  <c r="DM31" i="1"/>
  <c r="DN31" i="1" s="1"/>
  <c r="DK31" i="1"/>
  <c r="DL31" i="1" s="1"/>
  <c r="F31" i="1"/>
  <c r="E31" i="1"/>
  <c r="D31" i="1"/>
  <c r="ER30" i="1"/>
  <c r="EQ30" i="1"/>
  <c r="EO30" i="1"/>
  <c r="EP30" i="1" s="1"/>
  <c r="EM30" i="1"/>
  <c r="EN30" i="1" s="1"/>
  <c r="EL30" i="1"/>
  <c r="EK30" i="1"/>
  <c r="EJ30" i="1"/>
  <c r="EI30" i="1"/>
  <c r="EG30" i="1"/>
  <c r="EH30" i="1" s="1"/>
  <c r="EE30" i="1"/>
  <c r="EF30" i="1" s="1"/>
  <c r="EC30" i="1"/>
  <c r="ED30" i="1" s="1"/>
  <c r="EB30" i="1"/>
  <c r="EA30" i="1"/>
  <c r="DY30" i="1"/>
  <c r="DZ30" i="1" s="1"/>
  <c r="DW30" i="1"/>
  <c r="DX30" i="1" s="1"/>
  <c r="DV30" i="1"/>
  <c r="DU30" i="1"/>
  <c r="DT30" i="1"/>
  <c r="DS30" i="1"/>
  <c r="DQ30" i="1"/>
  <c r="DR30" i="1" s="1"/>
  <c r="DO30" i="1"/>
  <c r="DP30" i="1" s="1"/>
  <c r="DM30" i="1"/>
  <c r="DN30" i="1" s="1"/>
  <c r="DL30" i="1"/>
  <c r="DK30" i="1"/>
  <c r="F30" i="1"/>
  <c r="E30" i="1"/>
  <c r="D30" i="1"/>
  <c r="EQ29" i="1"/>
  <c r="ER29" i="1" s="1"/>
  <c r="EO29" i="1"/>
  <c r="EP29" i="1" s="1"/>
  <c r="EM29" i="1"/>
  <c r="EN29" i="1" s="1"/>
  <c r="EK29" i="1"/>
  <c r="EL29" i="1" s="1"/>
  <c r="EI29" i="1"/>
  <c r="EJ29" i="1" s="1"/>
  <c r="EG29" i="1"/>
  <c r="EH29" i="1" s="1"/>
  <c r="EE29" i="1"/>
  <c r="EF29" i="1" s="1"/>
  <c r="EC29" i="1"/>
  <c r="ED29" i="1" s="1"/>
  <c r="EA29" i="1"/>
  <c r="EB29" i="1" s="1"/>
  <c r="DY29" i="1"/>
  <c r="DZ29" i="1" s="1"/>
  <c r="DW29" i="1"/>
  <c r="DX29" i="1" s="1"/>
  <c r="DU29" i="1"/>
  <c r="DV29" i="1" s="1"/>
  <c r="DS29" i="1"/>
  <c r="DT29" i="1" s="1"/>
  <c r="DQ29" i="1"/>
  <c r="DR29" i="1" s="1"/>
  <c r="DO29" i="1"/>
  <c r="DP29" i="1" s="1"/>
  <c r="DM29" i="1"/>
  <c r="DN29" i="1" s="1"/>
  <c r="DK29" i="1"/>
  <c r="DL29" i="1" s="1"/>
  <c r="F29" i="1"/>
  <c r="E29" i="1"/>
  <c r="D29" i="1"/>
  <c r="EQ28" i="1"/>
  <c r="ER28" i="1" s="1"/>
  <c r="EO28" i="1"/>
  <c r="EP28" i="1" s="1"/>
  <c r="EN28" i="1"/>
  <c r="EM28" i="1"/>
  <c r="EL28" i="1"/>
  <c r="EK28" i="1"/>
  <c r="EI28" i="1"/>
  <c r="EJ28" i="1" s="1"/>
  <c r="EG28" i="1"/>
  <c r="EH28" i="1" s="1"/>
  <c r="EE28" i="1"/>
  <c r="EF28" i="1" s="1"/>
  <c r="ED28" i="1"/>
  <c r="EC28" i="1"/>
  <c r="EA28" i="1"/>
  <c r="EB28" i="1" s="1"/>
  <c r="DY28" i="1"/>
  <c r="DZ28" i="1" s="1"/>
  <c r="DX28" i="1"/>
  <c r="DW28" i="1"/>
  <c r="DV28" i="1"/>
  <c r="DU28" i="1"/>
  <c r="DS28" i="1"/>
  <c r="DT28" i="1" s="1"/>
  <c r="DQ28" i="1"/>
  <c r="DR28" i="1" s="1"/>
  <c r="DO28" i="1"/>
  <c r="DP28" i="1" s="1"/>
  <c r="DN28" i="1"/>
  <c r="DM28" i="1"/>
  <c r="DK28" i="1"/>
  <c r="DL28" i="1" s="1"/>
  <c r="F28" i="1"/>
  <c r="E28" i="1"/>
  <c r="D28" i="1"/>
  <c r="EQ27" i="1"/>
  <c r="ER27" i="1" s="1"/>
  <c r="EO27" i="1"/>
  <c r="EP27" i="1" s="1"/>
  <c r="EM27" i="1"/>
  <c r="EN27" i="1" s="1"/>
  <c r="EK27" i="1"/>
  <c r="EL27" i="1" s="1"/>
  <c r="EJ27" i="1"/>
  <c r="EI27" i="1"/>
  <c r="EG27" i="1"/>
  <c r="EH27" i="1" s="1"/>
  <c r="EE27" i="1"/>
  <c r="EF27" i="1" s="1"/>
  <c r="ED27" i="1"/>
  <c r="EC27" i="1"/>
  <c r="EA27" i="1"/>
  <c r="EB27" i="1" s="1"/>
  <c r="DY27" i="1"/>
  <c r="DZ27" i="1" s="1"/>
  <c r="DW27" i="1"/>
  <c r="DX27" i="1" s="1"/>
  <c r="DU27" i="1"/>
  <c r="DV27" i="1" s="1"/>
  <c r="DT27" i="1"/>
  <c r="DS27" i="1"/>
  <c r="DQ27" i="1"/>
  <c r="DR27" i="1" s="1"/>
  <c r="DO27" i="1"/>
  <c r="DP27" i="1" s="1"/>
  <c r="DN27" i="1"/>
  <c r="DM27" i="1"/>
  <c r="DK27" i="1"/>
  <c r="DL27" i="1" s="1"/>
  <c r="F27" i="1"/>
  <c r="E27" i="1"/>
  <c r="D27" i="1"/>
  <c r="EQ26" i="1"/>
  <c r="ER26" i="1" s="1"/>
  <c r="EP26" i="1"/>
  <c r="EO26" i="1"/>
  <c r="EN26" i="1"/>
  <c r="EM26" i="1"/>
  <c r="EK26" i="1"/>
  <c r="EL26" i="1" s="1"/>
  <c r="EI26" i="1"/>
  <c r="EJ26" i="1" s="1"/>
  <c r="EG26" i="1"/>
  <c r="EH26" i="1" s="1"/>
  <c r="EF26" i="1"/>
  <c r="EE26" i="1"/>
  <c r="EC26" i="1"/>
  <c r="ED26" i="1" s="1"/>
  <c r="EA26" i="1"/>
  <c r="EB26" i="1" s="1"/>
  <c r="DZ26" i="1"/>
  <c r="DY26" i="1"/>
  <c r="DX26" i="1"/>
  <c r="DW26" i="1"/>
  <c r="DU26" i="1"/>
  <c r="DV26" i="1" s="1"/>
  <c r="DS26" i="1"/>
  <c r="DT26" i="1" s="1"/>
  <c r="DQ26" i="1"/>
  <c r="DR26" i="1" s="1"/>
  <c r="DP26" i="1"/>
  <c r="DO26" i="1"/>
  <c r="DM26" i="1"/>
  <c r="DN26" i="1" s="1"/>
  <c r="DK26" i="1"/>
  <c r="DL26" i="1" s="1"/>
  <c r="F26" i="1"/>
  <c r="E26" i="1"/>
  <c r="D26" i="1"/>
  <c r="EQ25" i="1"/>
  <c r="ER25" i="1" s="1"/>
  <c r="EO25" i="1"/>
  <c r="EP25" i="1" s="1"/>
  <c r="EM25" i="1"/>
  <c r="EN25" i="1" s="1"/>
  <c r="EK25" i="1"/>
  <c r="EL25" i="1" s="1"/>
  <c r="EI25" i="1"/>
  <c r="EJ25" i="1" s="1"/>
  <c r="EG25" i="1"/>
  <c r="EH25" i="1" s="1"/>
  <c r="EE25" i="1"/>
  <c r="EF25" i="1" s="1"/>
  <c r="EC25" i="1"/>
  <c r="ED25" i="1" s="1"/>
  <c r="EA25" i="1"/>
  <c r="EB25" i="1" s="1"/>
  <c r="DY25" i="1"/>
  <c r="DZ25" i="1" s="1"/>
  <c r="DW25" i="1"/>
  <c r="DX25" i="1" s="1"/>
  <c r="DU25" i="1"/>
  <c r="DV25" i="1" s="1"/>
  <c r="DS25" i="1"/>
  <c r="DT25" i="1" s="1"/>
  <c r="DQ25" i="1"/>
  <c r="DR25" i="1" s="1"/>
  <c r="DO25" i="1"/>
  <c r="DP25" i="1" s="1"/>
  <c r="DM25" i="1"/>
  <c r="DN25" i="1" s="1"/>
  <c r="DK25" i="1"/>
  <c r="DL25" i="1" s="1"/>
  <c r="F25" i="1"/>
  <c r="E25" i="1"/>
  <c r="D25" i="1"/>
  <c r="EQ24" i="1"/>
  <c r="ER24" i="1" s="1"/>
  <c r="EP24" i="1"/>
  <c r="EO24" i="1"/>
  <c r="EM24" i="1"/>
  <c r="EN24" i="1" s="1"/>
  <c r="EK24" i="1"/>
  <c r="EL24" i="1" s="1"/>
  <c r="EI24" i="1"/>
  <c r="EJ24" i="1" s="1"/>
  <c r="EH24" i="1"/>
  <c r="EG24" i="1"/>
  <c r="EE24" i="1"/>
  <c r="EF24" i="1" s="1"/>
  <c r="EC24" i="1"/>
  <c r="ED24" i="1" s="1"/>
  <c r="EA24" i="1"/>
  <c r="EB24" i="1" s="1"/>
  <c r="DZ24" i="1"/>
  <c r="DY24" i="1"/>
  <c r="DW24" i="1"/>
  <c r="DX24" i="1" s="1"/>
  <c r="DU24" i="1"/>
  <c r="DV24" i="1" s="1"/>
  <c r="DS24" i="1"/>
  <c r="DT24" i="1" s="1"/>
  <c r="DR24" i="1"/>
  <c r="DQ24" i="1"/>
  <c r="DO24" i="1"/>
  <c r="DP24" i="1" s="1"/>
  <c r="DM24" i="1"/>
  <c r="DN24" i="1" s="1"/>
  <c r="DK24" i="1"/>
  <c r="DL24" i="1" s="1"/>
  <c r="F24" i="1"/>
  <c r="E24" i="1"/>
  <c r="D24" i="1"/>
  <c r="EQ23" i="1"/>
  <c r="ER23" i="1" s="1"/>
  <c r="EO23" i="1"/>
  <c r="EP23" i="1" s="1"/>
  <c r="EM23" i="1"/>
  <c r="EN23" i="1" s="1"/>
  <c r="EK23" i="1"/>
  <c r="EL23" i="1" s="1"/>
  <c r="EI23" i="1"/>
  <c r="EJ23" i="1" s="1"/>
  <c r="EG23" i="1"/>
  <c r="EH23" i="1" s="1"/>
  <c r="EE23" i="1"/>
  <c r="EF23" i="1" s="1"/>
  <c r="EC23" i="1"/>
  <c r="ED23" i="1" s="1"/>
  <c r="EA23" i="1"/>
  <c r="EB23" i="1" s="1"/>
  <c r="DY23" i="1"/>
  <c r="DZ23" i="1" s="1"/>
  <c r="DW23" i="1"/>
  <c r="DX23" i="1" s="1"/>
  <c r="DU23" i="1"/>
  <c r="DV23" i="1" s="1"/>
  <c r="DS23" i="1"/>
  <c r="DT23" i="1" s="1"/>
  <c r="DQ23" i="1"/>
  <c r="DR23" i="1" s="1"/>
  <c r="DO23" i="1"/>
  <c r="DP23" i="1" s="1"/>
  <c r="DM23" i="1"/>
  <c r="DN23" i="1" s="1"/>
  <c r="DK23" i="1"/>
  <c r="DL23" i="1" s="1"/>
  <c r="F23" i="1"/>
  <c r="E23" i="1"/>
  <c r="D23" i="1"/>
  <c r="ER22" i="1"/>
  <c r="EQ22" i="1"/>
  <c r="EO22" i="1"/>
  <c r="EP22" i="1" s="1"/>
  <c r="EM22" i="1"/>
  <c r="EN22" i="1" s="1"/>
  <c r="EL22" i="1"/>
  <c r="EK22" i="1"/>
  <c r="EJ22" i="1"/>
  <c r="EI22" i="1"/>
  <c r="EG22" i="1"/>
  <c r="EH22" i="1" s="1"/>
  <c r="EE22" i="1"/>
  <c r="EF22" i="1" s="1"/>
  <c r="EC22" i="1"/>
  <c r="ED22" i="1" s="1"/>
  <c r="EB22" i="1"/>
  <c r="EA22" i="1"/>
  <c r="DY22" i="1"/>
  <c r="DZ22" i="1" s="1"/>
  <c r="DW22" i="1"/>
  <c r="DX22" i="1" s="1"/>
  <c r="DV22" i="1"/>
  <c r="DU22" i="1"/>
  <c r="DT22" i="1"/>
  <c r="DS22" i="1"/>
  <c r="DQ22" i="1"/>
  <c r="DR22" i="1" s="1"/>
  <c r="DO22" i="1"/>
  <c r="DP22" i="1" s="1"/>
  <c r="DM22" i="1"/>
  <c r="DN22" i="1" s="1"/>
  <c r="DL22" i="1"/>
  <c r="DK22" i="1"/>
  <c r="F22" i="1"/>
  <c r="E22" i="1"/>
  <c r="D22" i="1"/>
  <c r="EQ21" i="1"/>
  <c r="ER21" i="1" s="1"/>
  <c r="EO21" i="1"/>
  <c r="EP21" i="1" s="1"/>
  <c r="EM21" i="1"/>
  <c r="EN21" i="1" s="1"/>
  <c r="EK21" i="1"/>
  <c r="EL21" i="1" s="1"/>
  <c r="EI21" i="1"/>
  <c r="EJ21" i="1" s="1"/>
  <c r="EG21" i="1"/>
  <c r="EH21" i="1" s="1"/>
  <c r="EE21" i="1"/>
  <c r="EF21" i="1" s="1"/>
  <c r="EC21" i="1"/>
  <c r="ED21" i="1" s="1"/>
  <c r="EA21" i="1"/>
  <c r="EB21" i="1" s="1"/>
  <c r="DY21" i="1"/>
  <c r="DZ21" i="1" s="1"/>
  <c r="DW21" i="1"/>
  <c r="DX21" i="1" s="1"/>
  <c r="DU21" i="1"/>
  <c r="DV21" i="1" s="1"/>
  <c r="DS21" i="1"/>
  <c r="DT21" i="1" s="1"/>
  <c r="DQ21" i="1"/>
  <c r="DR21" i="1" s="1"/>
  <c r="DO21" i="1"/>
  <c r="DP21" i="1" s="1"/>
  <c r="DM21" i="1"/>
  <c r="DN21" i="1" s="1"/>
  <c r="DK21" i="1"/>
  <c r="DL21" i="1" s="1"/>
  <c r="F21" i="1"/>
  <c r="E21" i="1"/>
  <c r="D21" i="1"/>
  <c r="ER20" i="1"/>
  <c r="EQ20" i="1"/>
  <c r="EP20" i="1"/>
  <c r="EO20" i="1"/>
  <c r="EM20" i="1"/>
  <c r="EN20" i="1" s="1"/>
  <c r="EL20" i="1"/>
  <c r="EK20" i="1"/>
  <c r="EJ20" i="1"/>
  <c r="EI20" i="1"/>
  <c r="EH20" i="1"/>
  <c r="EG20" i="1"/>
  <c r="EE20" i="1"/>
  <c r="EF20" i="1" s="1"/>
  <c r="ED20" i="1"/>
  <c r="EC20" i="1"/>
  <c r="EB20" i="1"/>
  <c r="EA20" i="1"/>
  <c r="DZ20" i="1"/>
  <c r="DY20" i="1"/>
  <c r="DW20" i="1"/>
  <c r="DX20" i="1" s="1"/>
  <c r="DV20" i="1"/>
  <c r="DU20" i="1"/>
  <c r="DT20" i="1"/>
  <c r="DS20" i="1"/>
  <c r="DR20" i="1"/>
  <c r="DQ20" i="1"/>
  <c r="DO20" i="1"/>
  <c r="DP20" i="1" s="1"/>
  <c r="DN20" i="1"/>
  <c r="DM20" i="1"/>
  <c r="DL20" i="1"/>
  <c r="DK20" i="1"/>
  <c r="F20" i="1"/>
  <c r="E20" i="1"/>
  <c r="D20" i="1"/>
  <c r="EQ19" i="1"/>
  <c r="ER19" i="1" s="1"/>
  <c r="EP19" i="1"/>
  <c r="EO19" i="1"/>
  <c r="EM19" i="1"/>
  <c r="EN19" i="1" s="1"/>
  <c r="EL19" i="1"/>
  <c r="EK19" i="1"/>
  <c r="EI19" i="1"/>
  <c r="EJ19" i="1" s="1"/>
  <c r="EH19" i="1"/>
  <c r="EG19" i="1"/>
  <c r="EE19" i="1"/>
  <c r="EF19" i="1" s="1"/>
  <c r="EC19" i="1"/>
  <c r="ED19" i="1" s="1"/>
  <c r="EA19" i="1"/>
  <c r="EB19" i="1" s="1"/>
  <c r="DZ19" i="1"/>
  <c r="DY19" i="1"/>
  <c r="DW19" i="1"/>
  <c r="DX19" i="1" s="1"/>
  <c r="DU19" i="1"/>
  <c r="DV19" i="1" s="1"/>
  <c r="DT19" i="1"/>
  <c r="DS19" i="1"/>
  <c r="DR19" i="1"/>
  <c r="DQ19" i="1"/>
  <c r="DO19" i="1"/>
  <c r="DP19" i="1" s="1"/>
  <c r="DM19" i="1"/>
  <c r="DN19" i="1" s="1"/>
  <c r="DK19" i="1"/>
  <c r="DL19" i="1" s="1"/>
  <c r="F19" i="1"/>
  <c r="E19" i="1"/>
  <c r="D19" i="1"/>
  <c r="ER18" i="1"/>
  <c r="EQ18" i="1"/>
  <c r="EO18" i="1"/>
  <c r="EP18" i="1" s="1"/>
  <c r="EN18" i="1"/>
  <c r="EM18" i="1"/>
  <c r="EL18" i="1"/>
  <c r="EK18" i="1"/>
  <c r="EJ18" i="1"/>
  <c r="EI18" i="1"/>
  <c r="EG18" i="1"/>
  <c r="EH18" i="1" s="1"/>
  <c r="EF18" i="1"/>
  <c r="EE18" i="1"/>
  <c r="ED18" i="1"/>
  <c r="EC18" i="1"/>
  <c r="EB18" i="1"/>
  <c r="EA18" i="1"/>
  <c r="DY18" i="1"/>
  <c r="DZ18" i="1" s="1"/>
  <c r="DX18" i="1"/>
  <c r="DW18" i="1"/>
  <c r="DV18" i="1"/>
  <c r="DU18" i="1"/>
  <c r="DT18" i="1"/>
  <c r="DS18" i="1"/>
  <c r="DQ18" i="1"/>
  <c r="DR18" i="1" s="1"/>
  <c r="DP18" i="1"/>
  <c r="DO18" i="1"/>
  <c r="DN18" i="1"/>
  <c r="DM18" i="1"/>
  <c r="DL18" i="1"/>
  <c r="DK18" i="1"/>
  <c r="F18" i="1"/>
  <c r="E18" i="1"/>
  <c r="D18" i="1"/>
  <c r="ER17" i="1"/>
  <c r="EQ17" i="1"/>
  <c r="EO17" i="1"/>
  <c r="EP17" i="1" s="1"/>
  <c r="EN17" i="1"/>
  <c r="EM17" i="1"/>
  <c r="EK17" i="1"/>
  <c r="EL17" i="1" s="1"/>
  <c r="EJ17" i="1"/>
  <c r="EI17" i="1"/>
  <c r="EG17" i="1"/>
  <c r="EH17" i="1" s="1"/>
  <c r="EE17" i="1"/>
  <c r="EF17" i="1" s="1"/>
  <c r="EC17" i="1"/>
  <c r="ED17" i="1" s="1"/>
  <c r="EB17" i="1"/>
  <c r="EA17" i="1"/>
  <c r="DY17" i="1"/>
  <c r="DZ17" i="1" s="1"/>
  <c r="DW17" i="1"/>
  <c r="DX17" i="1" s="1"/>
  <c r="DV17" i="1"/>
  <c r="DU17" i="1"/>
  <c r="DT17" i="1"/>
  <c r="DS17" i="1"/>
  <c r="DQ17" i="1"/>
  <c r="DR17" i="1" s="1"/>
  <c r="DO17" i="1"/>
  <c r="DP17" i="1" s="1"/>
  <c r="DM17" i="1"/>
  <c r="DN17" i="1" s="1"/>
  <c r="DK17" i="1"/>
  <c r="DL17" i="1" s="1"/>
  <c r="F17" i="1"/>
  <c r="E17" i="1"/>
  <c r="D17" i="1"/>
  <c r="EQ16" i="1"/>
  <c r="ER16" i="1" s="1"/>
  <c r="EP16" i="1"/>
  <c r="EO16" i="1"/>
  <c r="EN16" i="1"/>
  <c r="EM16" i="1"/>
  <c r="EK16" i="1"/>
  <c r="EL16" i="1" s="1"/>
  <c r="EI16" i="1"/>
  <c r="EJ16" i="1" s="1"/>
  <c r="EH16" i="1"/>
  <c r="EG16" i="1"/>
  <c r="EF16" i="1"/>
  <c r="EE16" i="1"/>
  <c r="EC16" i="1"/>
  <c r="ED16" i="1" s="1"/>
  <c r="EA16" i="1"/>
  <c r="EB16" i="1" s="1"/>
  <c r="DZ16" i="1"/>
  <c r="DY16" i="1"/>
  <c r="DX16" i="1"/>
  <c r="DW16" i="1"/>
  <c r="DU16" i="1"/>
  <c r="DV16" i="1" s="1"/>
  <c r="DS16" i="1"/>
  <c r="DT16" i="1" s="1"/>
  <c r="DR16" i="1"/>
  <c r="DQ16" i="1"/>
  <c r="DP16" i="1"/>
  <c r="DO16" i="1"/>
  <c r="DM16" i="1"/>
  <c r="DN16" i="1" s="1"/>
  <c r="DK16" i="1"/>
  <c r="DL16" i="1" s="1"/>
  <c r="F16" i="1"/>
  <c r="E16" i="1"/>
  <c r="D16" i="1"/>
  <c r="EQ15" i="1"/>
  <c r="ER15" i="1" s="1"/>
  <c r="EO15" i="1"/>
  <c r="EP15" i="1" s="1"/>
  <c r="EM15" i="1"/>
  <c r="EN15" i="1" s="1"/>
  <c r="EK15" i="1"/>
  <c r="EL15" i="1" s="1"/>
  <c r="EI15" i="1"/>
  <c r="EJ15" i="1" s="1"/>
  <c r="EG15" i="1"/>
  <c r="EH15" i="1" s="1"/>
  <c r="EE15" i="1"/>
  <c r="EF15" i="1" s="1"/>
  <c r="EC15" i="1"/>
  <c r="ED15" i="1" s="1"/>
  <c r="EA15" i="1"/>
  <c r="EB15" i="1" s="1"/>
  <c r="DY15" i="1"/>
  <c r="DZ15" i="1" s="1"/>
  <c r="DW15" i="1"/>
  <c r="DX15" i="1" s="1"/>
  <c r="DU15" i="1"/>
  <c r="DV15" i="1" s="1"/>
  <c r="DS15" i="1"/>
  <c r="DT15" i="1" s="1"/>
  <c r="DQ15" i="1"/>
  <c r="DR15" i="1" s="1"/>
  <c r="DO15" i="1"/>
  <c r="DP15" i="1" s="1"/>
  <c r="DM15" i="1"/>
  <c r="DN15" i="1" s="1"/>
  <c r="DK15" i="1"/>
  <c r="DL15" i="1" s="1"/>
  <c r="F15" i="1"/>
  <c r="E15" i="1"/>
  <c r="D15" i="1"/>
  <c r="ER14" i="1"/>
  <c r="EQ14" i="1"/>
  <c r="EP14" i="1"/>
  <c r="EO14" i="1"/>
  <c r="EM14" i="1"/>
  <c r="EN14" i="1" s="1"/>
  <c r="EL14" i="1"/>
  <c r="EK14" i="1"/>
  <c r="EJ14" i="1"/>
  <c r="EI14" i="1"/>
  <c r="EH14" i="1"/>
  <c r="EG14" i="1"/>
  <c r="EE14" i="1"/>
  <c r="EF14" i="1" s="1"/>
  <c r="ED14" i="1"/>
  <c r="EC14" i="1"/>
  <c r="EB14" i="1"/>
  <c r="EA14" i="1"/>
  <c r="DZ14" i="1"/>
  <c r="DY14" i="1"/>
  <c r="DW14" i="1"/>
  <c r="DX14" i="1" s="1"/>
  <c r="DV14" i="1"/>
  <c r="DU14" i="1"/>
  <c r="DT14" i="1"/>
  <c r="DS14" i="1"/>
  <c r="DR14" i="1"/>
  <c r="DQ14" i="1"/>
  <c r="DO14" i="1"/>
  <c r="DP14" i="1" s="1"/>
  <c r="DN14" i="1"/>
  <c r="DM14" i="1"/>
  <c r="DL14" i="1"/>
  <c r="DK14" i="1"/>
  <c r="F14" i="1"/>
  <c r="E14" i="1"/>
  <c r="D14" i="1"/>
  <c r="EQ13" i="1"/>
  <c r="ER13" i="1" s="1"/>
  <c r="EO13" i="1"/>
  <c r="EP13" i="1" s="1"/>
  <c r="EM13" i="1"/>
  <c r="EN13" i="1" s="1"/>
  <c r="EK13" i="1"/>
  <c r="EL13" i="1" s="1"/>
  <c r="EI13" i="1"/>
  <c r="EJ13" i="1" s="1"/>
  <c r="EG13" i="1"/>
  <c r="EH13" i="1" s="1"/>
  <c r="EE13" i="1"/>
  <c r="EF13" i="1" s="1"/>
  <c r="EC13" i="1"/>
  <c r="ED13" i="1" s="1"/>
  <c r="EA13" i="1"/>
  <c r="EB13" i="1" s="1"/>
  <c r="DY13" i="1"/>
  <c r="DZ13" i="1" s="1"/>
  <c r="DW13" i="1"/>
  <c r="DX13" i="1" s="1"/>
  <c r="DU13" i="1"/>
  <c r="DV13" i="1" s="1"/>
  <c r="DS13" i="1"/>
  <c r="DT13" i="1" s="1"/>
  <c r="DQ13" i="1"/>
  <c r="DR13" i="1" s="1"/>
  <c r="DP13" i="1"/>
  <c r="DO13" i="1"/>
  <c r="DM13" i="1"/>
  <c r="DN13" i="1" s="1"/>
  <c r="DL13" i="1"/>
  <c r="DK13" i="1"/>
  <c r="F13" i="1"/>
  <c r="E13" i="1"/>
  <c r="D13" i="1"/>
  <c r="ER12" i="1"/>
  <c r="EQ12" i="1"/>
  <c r="EO12" i="1"/>
  <c r="EP12" i="1" s="1"/>
  <c r="EM12" i="1"/>
  <c r="EN12" i="1" s="1"/>
  <c r="EL12" i="1"/>
  <c r="EK12" i="1"/>
  <c r="EJ12" i="1"/>
  <c r="EI12" i="1"/>
  <c r="EG12" i="1"/>
  <c r="EH12" i="1" s="1"/>
  <c r="EE12" i="1"/>
  <c r="EF12" i="1" s="1"/>
  <c r="ED12" i="1"/>
  <c r="EC12" i="1"/>
  <c r="EB12" i="1"/>
  <c r="EA12" i="1"/>
  <c r="DY12" i="1"/>
  <c r="DZ12" i="1" s="1"/>
  <c r="DW12" i="1"/>
  <c r="DX12" i="1" s="1"/>
  <c r="DV12" i="1"/>
  <c r="DU12" i="1"/>
  <c r="DT12" i="1"/>
  <c r="DS12" i="1"/>
  <c r="DQ12" i="1"/>
  <c r="DR12" i="1" s="1"/>
  <c r="DO12" i="1"/>
  <c r="DP12" i="1" s="1"/>
  <c r="DN12" i="1"/>
  <c r="DM12" i="1"/>
  <c r="DL12" i="1"/>
  <c r="DK12" i="1"/>
  <c r="F12" i="1"/>
  <c r="E12" i="1"/>
  <c r="D12" i="1"/>
  <c r="EQ11" i="1"/>
  <c r="ER11" i="1" s="1"/>
  <c r="EP11" i="1"/>
  <c r="EO11" i="1"/>
  <c r="EM11" i="1"/>
  <c r="EN11" i="1" s="1"/>
  <c r="EK11" i="1"/>
  <c r="EL11" i="1" s="1"/>
  <c r="EI11" i="1"/>
  <c r="EJ11" i="1" s="1"/>
  <c r="EH11" i="1"/>
  <c r="EG11" i="1"/>
  <c r="EE11" i="1"/>
  <c r="EF11" i="1" s="1"/>
  <c r="EC11" i="1"/>
  <c r="ED11" i="1" s="1"/>
  <c r="EB11" i="1"/>
  <c r="EA11" i="1"/>
  <c r="DZ11" i="1"/>
  <c r="DY11" i="1"/>
  <c r="DW11" i="1"/>
  <c r="DX11" i="1" s="1"/>
  <c r="DU11" i="1"/>
  <c r="DV11" i="1" s="1"/>
  <c r="DS11" i="1"/>
  <c r="DT11" i="1" s="1"/>
  <c r="DR11" i="1"/>
  <c r="DQ11" i="1"/>
  <c r="DO11" i="1"/>
  <c r="DP11" i="1" s="1"/>
  <c r="DN11" i="1"/>
  <c r="DM11" i="1"/>
  <c r="DK11" i="1"/>
  <c r="DL11" i="1" s="1"/>
  <c r="F11" i="1"/>
  <c r="E11" i="1"/>
  <c r="D11" i="1"/>
  <c r="EQ10" i="1"/>
  <c r="ER10" i="1" s="1"/>
  <c r="EO10" i="1"/>
  <c r="EP10" i="1" s="1"/>
  <c r="EN10" i="1"/>
  <c r="EM10" i="1"/>
  <c r="EL10" i="1"/>
  <c r="EK10" i="1"/>
  <c r="EI10" i="1"/>
  <c r="EJ10" i="1" s="1"/>
  <c r="EG10" i="1"/>
  <c r="EH10" i="1" s="1"/>
  <c r="EF10" i="1"/>
  <c r="EE10" i="1"/>
  <c r="ED10" i="1"/>
  <c r="EC10" i="1"/>
  <c r="EA10" i="1"/>
  <c r="EB10" i="1" s="1"/>
  <c r="DY10" i="1"/>
  <c r="DZ10" i="1" s="1"/>
  <c r="DX10" i="1"/>
  <c r="DW10" i="1"/>
  <c r="DV10" i="1"/>
  <c r="DU10" i="1"/>
  <c r="DS10" i="1"/>
  <c r="DT10" i="1" s="1"/>
  <c r="DQ10" i="1"/>
  <c r="DR10" i="1" s="1"/>
  <c r="DP10" i="1"/>
  <c r="DO10" i="1"/>
  <c r="DN10" i="1"/>
  <c r="DM10" i="1"/>
  <c r="DK10" i="1"/>
  <c r="DL10" i="1" s="1"/>
  <c r="F10" i="1"/>
  <c r="E10" i="1"/>
  <c r="D10" i="1"/>
  <c r="ER9" i="1"/>
  <c r="EQ9" i="1"/>
  <c r="EO9" i="1"/>
  <c r="EP9" i="1" s="1"/>
  <c r="EM9" i="1"/>
  <c r="EN9" i="1" s="1"/>
  <c r="EK9" i="1"/>
  <c r="EL9" i="1" s="1"/>
  <c r="EJ9" i="1"/>
  <c r="EI9" i="1"/>
  <c r="EG9" i="1"/>
  <c r="EH9" i="1" s="1"/>
  <c r="EE9" i="1"/>
  <c r="EF9" i="1" s="1"/>
  <c r="ED9" i="1"/>
  <c r="EC9" i="1"/>
  <c r="EB9" i="1"/>
  <c r="EA9" i="1"/>
  <c r="DY9" i="1"/>
  <c r="DZ9" i="1" s="1"/>
  <c r="DW9" i="1"/>
  <c r="DX9" i="1" s="1"/>
  <c r="DU9" i="1"/>
  <c r="DV9" i="1" s="1"/>
  <c r="DT9" i="1"/>
  <c r="DS9" i="1"/>
  <c r="DQ9" i="1"/>
  <c r="DR9" i="1" s="1"/>
  <c r="DP9" i="1"/>
  <c r="DO9" i="1"/>
  <c r="DM9" i="1"/>
  <c r="DN9" i="1" s="1"/>
  <c r="DL9" i="1"/>
  <c r="DK9" i="1"/>
  <c r="F9" i="1"/>
  <c r="E9" i="1"/>
  <c r="D9" i="1"/>
  <c r="EQ8" i="1"/>
  <c r="ER8" i="1" s="1"/>
  <c r="EP8" i="1"/>
  <c r="EO8" i="1"/>
  <c r="EN8" i="1"/>
  <c r="EM8" i="1"/>
  <c r="EK8" i="1"/>
  <c r="EL8" i="1" s="1"/>
  <c r="EI8" i="1"/>
  <c r="EJ8" i="1" s="1"/>
  <c r="EH8" i="1"/>
  <c r="EG8" i="1"/>
  <c r="EF8" i="1"/>
  <c r="EE8" i="1"/>
  <c r="EC8" i="1"/>
  <c r="ED8" i="1" s="1"/>
  <c r="EA8" i="1"/>
  <c r="EB8" i="1" s="1"/>
  <c r="DZ8" i="1"/>
  <c r="DY8" i="1"/>
  <c r="DX8" i="1"/>
  <c r="DW8" i="1"/>
  <c r="DU8" i="1"/>
  <c r="DV8" i="1" s="1"/>
  <c r="DS8" i="1"/>
  <c r="DT8" i="1" s="1"/>
  <c r="DR8" i="1"/>
  <c r="DQ8" i="1"/>
  <c r="DP8" i="1"/>
  <c r="DO8" i="1"/>
  <c r="DM8" i="1"/>
  <c r="DN8" i="1" s="1"/>
  <c r="DK8" i="1"/>
  <c r="DL8" i="1" s="1"/>
  <c r="F8" i="1"/>
  <c r="E8" i="1"/>
  <c r="D8" i="1"/>
  <c r="EQ7" i="1"/>
  <c r="ER7" i="1" s="1"/>
  <c r="EO7" i="1"/>
  <c r="EP7" i="1" s="1"/>
  <c r="EM7" i="1"/>
  <c r="EN7" i="1" s="1"/>
  <c r="EL7" i="1"/>
  <c r="EK7" i="1"/>
  <c r="EI7" i="1"/>
  <c r="EJ7" i="1" s="1"/>
  <c r="EG7" i="1"/>
  <c r="EH7" i="1" s="1"/>
  <c r="EF7" i="1"/>
  <c r="EE7" i="1"/>
  <c r="ED7" i="1"/>
  <c r="EC7" i="1"/>
  <c r="EA7" i="1"/>
  <c r="EB7" i="1" s="1"/>
  <c r="DY7" i="1"/>
  <c r="DZ7" i="1" s="1"/>
  <c r="DW7" i="1"/>
  <c r="DX7" i="1" s="1"/>
  <c r="DU7" i="1"/>
  <c r="DV7" i="1" s="1"/>
  <c r="DS7" i="1"/>
  <c r="DT7" i="1" s="1"/>
  <c r="DQ7" i="1"/>
  <c r="DR7" i="1" s="1"/>
  <c r="DO7" i="1"/>
  <c r="DP7" i="1" s="1"/>
  <c r="DN7" i="1"/>
  <c r="DM7" i="1"/>
  <c r="DK7" i="1"/>
  <c r="F7" i="1"/>
  <c r="E7" i="1"/>
  <c r="D7" i="1"/>
  <c r="F5" i="1"/>
  <c r="E5" i="1"/>
  <c r="D5" i="1"/>
  <c r="O4" i="1"/>
  <c r="DL7" i="1" l="1"/>
  <c r="DK35" i="1"/>
  <c r="DL35" i="1" s="1"/>
  <c r="DS36" i="1"/>
  <c r="DT36" i="1" s="1"/>
  <c r="F35" i="1"/>
  <c r="DM35" i="1"/>
  <c r="DN35" i="1" s="1"/>
  <c r="E35" i="1"/>
  <c r="D35" i="1"/>
  <c r="EC35" i="1"/>
  <c r="ED35" i="1" s="1"/>
  <c r="DK36" i="1"/>
  <c r="DL36" i="1" s="1"/>
  <c r="DL38" i="1" s="1"/>
  <c r="DM36" i="1"/>
  <c r="DN36" i="1" s="1"/>
  <c r="E36" i="1"/>
  <c r="D36" i="1"/>
  <c r="EA35" i="1"/>
  <c r="EB35" i="1" s="1"/>
  <c r="EQ35" i="1"/>
  <c r="ER35" i="1" s="1"/>
</calcChain>
</file>

<file path=xl/sharedStrings.xml><?xml version="1.0" encoding="utf-8"?>
<sst xmlns="http://schemas.openxmlformats.org/spreadsheetml/2006/main" count="216" uniqueCount="171">
  <si>
    <t>HISTOGRAMA DE UTILIZAÇÃO DE MÃO DE OBRA INDIRETA E DIRETA</t>
  </si>
  <si>
    <t>Nº Contrato:</t>
  </si>
  <si>
    <t>Revisão:</t>
  </si>
  <si>
    <t>Data Atualização:</t>
  </si>
  <si>
    <t>SEMANAL</t>
  </si>
  <si>
    <t>Prev.</t>
  </si>
  <si>
    <t>16/03 - 20/03</t>
  </si>
  <si>
    <t>23/03 - 27/03</t>
  </si>
  <si>
    <t>30/03 - 02/04</t>
  </si>
  <si>
    <t>07/04 - 10/04</t>
  </si>
  <si>
    <t>13/04 - 17/04</t>
  </si>
  <si>
    <t>22/04 - 24/04</t>
  </si>
  <si>
    <t>27/04 - 30/04</t>
  </si>
  <si>
    <t>04/05 - 08/05</t>
  </si>
  <si>
    <t>11/05 - 15/05</t>
  </si>
  <si>
    <t>18/05 - 22/05</t>
  </si>
  <si>
    <t>25/05 - 29/05</t>
  </si>
  <si>
    <t>01/06 - 03/06</t>
  </si>
  <si>
    <t>08/06 - 12/06</t>
  </si>
  <si>
    <t>15/06 - 19/06</t>
  </si>
  <si>
    <t>22/06 - 26/06</t>
  </si>
  <si>
    <t>29/06 - 01/07</t>
  </si>
  <si>
    <t>ITEM</t>
  </si>
  <si>
    <t>BQM</t>
  </si>
  <si>
    <t>DISTRIB.</t>
  </si>
  <si>
    <t>QTD Mínima</t>
  </si>
  <si>
    <t>QTD Média</t>
  </si>
  <si>
    <t>QTD Pico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</si>
  <si>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</si>
  <si>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</si>
  <si>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</si>
  <si>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</si>
  <si>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</si>
  <si>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</si>
  <si>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</si>
  <si>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</si>
  <si>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</si>
  <si>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</si>
  <si>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</si>
  <si>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</si>
  <si>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</si>
  <si>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</si>
  <si>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</si>
  <si>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</si>
  <si>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1-abr</t>
  </si>
  <si>
    <t>2-abr</t>
  </si>
  <si>
    <t>3-abr</t>
  </si>
  <si>
    <t>4-abr</t>
  </si>
  <si>
    <t>5-abr</t>
  </si>
  <si>
    <t>6-abr</t>
  </si>
  <si>
    <t>7-abr</t>
  </si>
  <si>
    <t>8-abr</t>
  </si>
  <si>
    <t>9-abr</t>
  </si>
  <si>
    <t>10-abr</t>
  </si>
  <si>
    <t>11-abr</t>
  </si>
  <si>
    <t>12-abr</t>
  </si>
  <si>
    <t>13-abr</t>
  </si>
  <si>
    <t>14-abr</t>
  </si>
  <si>
    <t>15-abr</t>
  </si>
  <si>
    <t>16-abr</t>
  </si>
  <si>
    <t>17-abr</t>
  </si>
  <si>
    <t>18-abr</t>
  </si>
  <si>
    <t>19-abr</t>
  </si>
  <si>
    <t>20-abr</t>
  </si>
  <si>
    <t>21-abr</t>
  </si>
  <si>
    <t>22-abr</t>
  </si>
  <si>
    <t>23-abr</t>
  </si>
  <si>
    <t>24-abr</t>
  </si>
  <si>
    <t>25-abr</t>
  </si>
  <si>
    <t>26-abr</t>
  </si>
  <si>
    <t>27-abr</t>
  </si>
  <si>
    <t>28-abr</t>
  </si>
  <si>
    <t>29-abr</t>
  </si>
  <si>
    <t>30-abr</t>
  </si>
  <si>
    <t>1-mai</t>
  </si>
  <si>
    <t>2-mai</t>
  </si>
  <si>
    <t>3-mai</t>
  </si>
  <si>
    <t>4-mai</t>
  </si>
  <si>
    <t>5-mai</t>
  </si>
  <si>
    <t>6-mai</t>
  </si>
  <si>
    <t>7-mai</t>
  </si>
  <si>
    <t>8-mai</t>
  </si>
  <si>
    <t>9-mai</t>
  </si>
  <si>
    <t>10-mai</t>
  </si>
  <si>
    <t>11-mai</t>
  </si>
  <si>
    <t>12-mai</t>
  </si>
  <si>
    <t>13-mai</t>
  </si>
  <si>
    <t>14-mai</t>
  </si>
  <si>
    <t>15-mai</t>
  </si>
  <si>
    <t>16-mai</t>
  </si>
  <si>
    <t>17-mai</t>
  </si>
  <si>
    <t>18-mai</t>
  </si>
  <si>
    <t>19-mai</t>
  </si>
  <si>
    <t>20-mai</t>
  </si>
  <si>
    <t>21-mai</t>
  </si>
  <si>
    <t>22-mai</t>
  </si>
  <si>
    <t>23-mai</t>
  </si>
  <si>
    <t>24-mai</t>
  </si>
  <si>
    <t>25-mai</t>
  </si>
  <si>
    <t>26-mai</t>
  </si>
  <si>
    <t>27-mai</t>
  </si>
  <si>
    <t>28-mai</t>
  </si>
  <si>
    <t>29-mai</t>
  </si>
  <si>
    <t>30-mai</t>
  </si>
  <si>
    <t>31-mai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</si>
  <si>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</si>
  <si>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</si>
  <si>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</si>
  <si>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</si>
  <si>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</si>
  <si>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</si>
  <si>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</si>
  <si>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</si>
  <si>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</si>
  <si>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</si>
  <si>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</si>
  <si>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</si>
  <si>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</si>
  <si>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</si>
  <si>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</si>
  <si>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</si>
  <si>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</si>
  <si>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</si>
  <si>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</si>
  <si>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</si>
  <si>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</si>
  <si>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</si>
  <si>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</si>
  <si>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</si>
  <si>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</si>
  <si>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</si>
  <si>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</si>
  <si>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</si>
  <si>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29/jun</t>
  </si>
  <si>
    <t>30/jun</t>
  </si>
  <si>
    <t>01/jul</t>
  </si>
  <si>
    <t>Dias</t>
  </si>
  <si>
    <t>Horas</t>
  </si>
  <si>
    <t>16/03 - 20/04
HORAS</t>
  </si>
  <si>
    <t>23/03 - 27/04
HORAS</t>
  </si>
  <si>
    <t>30/03 - 02/05
HORAS</t>
  </si>
  <si>
    <t>07/04 - 10/05
HORAS</t>
  </si>
  <si>
    <t>13/04 - 17/05
HORAS</t>
  </si>
  <si>
    <t>22/04 - 24/05
HORAS</t>
  </si>
  <si>
    <t>27/04 - 30/05
HORAS</t>
  </si>
  <si>
    <t>04/05 - 08/06
HORAS</t>
  </si>
  <si>
    <t>11/05 - 15/06
HORAS</t>
  </si>
  <si>
    <t>18/05 - 22/06
HORAS</t>
  </si>
  <si>
    <t>25/05 - 29/06
HORAS</t>
  </si>
  <si>
    <t>01/06 - 03/07
HORAS</t>
  </si>
  <si>
    <t>08/06 - 12/07
HORAS</t>
  </si>
  <si>
    <t>15/06 - 19/07
HORAS</t>
  </si>
  <si>
    <t>22/06 - 26/07
HORAS</t>
  </si>
  <si>
    <t>29/06 - 01/072
HORAS</t>
  </si>
  <si>
    <t>Coordenador de Projeto</t>
  </si>
  <si>
    <t>Real.</t>
  </si>
  <si>
    <t>Planejamento</t>
  </si>
  <si>
    <t>Eng. Mecânico</t>
  </si>
  <si>
    <t>Projetista Mecânico</t>
  </si>
  <si>
    <t>Eng. Calculista</t>
  </si>
  <si>
    <t>Projetista Metálica</t>
  </si>
  <si>
    <t>Eng. Tubulação</t>
  </si>
  <si>
    <t>Projetista Tubulação</t>
  </si>
  <si>
    <t>Eng. Elétrica</t>
  </si>
  <si>
    <t>Projetista Elétrica</t>
  </si>
  <si>
    <t>Eng. Automação</t>
  </si>
  <si>
    <t>Projetista Automação</t>
  </si>
  <si>
    <t>Eng. Processos</t>
  </si>
  <si>
    <t>Projetista Processos</t>
  </si>
  <si>
    <t>TOTAL MECÂNICA E ESTRUTURA</t>
  </si>
  <si>
    <t>AVANÇO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</si>
</sst>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416]d\-mmm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b/>
      <sz val="12"/>
      <color rgb="FF000099"/>
      <name val="Arial"/>
      <family val="2"/>
    </font>
    <font>
      <sz val="12"/>
      <color rgb="FF000099"/>
      <name val="Arial"/>
      <family val="2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99"/>
      <name val="Aptos Narrow"/>
      <family val="2"/>
      <scheme val="minor"/>
    </font>
    <font>
      <b/>
      <sz val="12"/>
      <name val="Segoe UI"/>
      <family val="2"/>
    </font>
    <font>
      <sz val="12"/>
      <color rgb="FFFF0000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2"/>
      <color rgb="FF9C0006"/>
      <name val="Arial"/>
      <family val="2"/>
    </font>
    <font>
      <b/>
      <sz val="12"/>
      <color theme="3"/>
      <name val="Arial"/>
      <family val="2"/>
    </font>
    <font>
      <b/>
      <sz val="12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1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3"/>
    <xf numFmtId="0" fontId="4" fillId="0" borderId="2" xfId="3" applyFont="1" applyBorder="1" applyAlignment="1">
      <alignment horizontal="center" vertical="center"/>
    </xf>
    <xf numFmtId="0" fontId="5" fillId="0" borderId="3" xfId="3" applyFont="1" applyBorder="1" applyAlignment="1">
      <alignment horizontal="right" vertical="center"/>
    </xf>
    <xf numFmtId="0" fontId="5" fillId="0" borderId="3" xfId="3" applyFont="1" applyBorder="1" applyAlignment="1">
      <alignment vertical="center"/>
    </xf>
    <xf numFmtId="0" fontId="5" fillId="0" borderId="3" xfId="3" applyFont="1" applyBorder="1" applyAlignment="1">
      <alignment horizontal="left" vertical="center"/>
    </xf>
    <xf numFmtId="0" fontId="6" fillId="0" borderId="3" xfId="3" applyFont="1" applyBorder="1" applyAlignment="1">
      <alignment vertical="center"/>
    </xf>
    <xf numFmtId="0" fontId="4" fillId="0" borderId="3" xfId="3" applyFont="1" applyBorder="1" applyAlignment="1">
      <alignment vertical="center"/>
    </xf>
    <xf numFmtId="14" fontId="6" fillId="0" borderId="3" xfId="3" applyNumberFormat="1" applyFont="1" applyBorder="1" applyAlignment="1">
      <alignment vertical="center"/>
    </xf>
    <xf numFmtId="0" fontId="2" fillId="0" borderId="3" xfId="3" applyBorder="1"/>
    <xf numFmtId="0" fontId="0" fillId="0" borderId="3" xfId="0" applyBorder="1"/>
    <xf numFmtId="0" fontId="5" fillId="0" borderId="4" xfId="3" applyFont="1" applyBorder="1" applyAlignment="1">
      <alignment horizontal="center" vertical="center"/>
    </xf>
    <xf numFmtId="0" fontId="7" fillId="3" borderId="5" xfId="3" applyFont="1" applyFill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2" fontId="8" fillId="2" borderId="7" xfId="3" applyNumberFormat="1" applyFont="1" applyFill="1" applyBorder="1" applyAlignment="1">
      <alignment horizontal="center" vertical="center"/>
    </xf>
    <xf numFmtId="2" fontId="8" fillId="2" borderId="8" xfId="3" applyNumberFormat="1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7" fillId="3" borderId="15" xfId="3" applyFont="1" applyFill="1" applyBorder="1" applyAlignment="1">
      <alignment horizontal="center" vertical="center"/>
    </xf>
    <xf numFmtId="0" fontId="7" fillId="3" borderId="16" xfId="3" applyFont="1" applyFill="1" applyBorder="1" applyAlignment="1">
      <alignment horizontal="center" vertical="center" wrapText="1"/>
    </xf>
    <xf numFmtId="0" fontId="7" fillId="3" borderId="17" xfId="3" applyFont="1" applyFill="1" applyBorder="1" applyAlignment="1">
      <alignment horizontal="center" vertical="center"/>
    </xf>
    <xf numFmtId="0" fontId="7" fillId="3" borderId="18" xfId="3" applyFont="1" applyFill="1" applyBorder="1" applyAlignment="1">
      <alignment horizontal="center" vertical="center" wrapText="1"/>
    </xf>
    <xf numFmtId="0" fontId="7" fillId="3" borderId="19" xfId="3" applyFont="1" applyFill="1" applyBorder="1" applyAlignment="1">
      <alignment horizontal="center" vertical="center" wrapText="1"/>
    </xf>
    <xf numFmtId="164" fontId="13" fillId="5" borderId="20" xfId="0" applyNumberFormat="1" applyFont="1" applyFill="1" applyBorder="1" applyAlignment="1">
      <alignment horizontal="center" vertical="center" wrapText="1"/>
    </xf>
    <xf numFmtId="164" fontId="13" fillId="6" borderId="20" xfId="0" applyNumberFormat="1" applyFont="1" applyFill="1" applyBorder="1" applyAlignment="1">
      <alignment horizontal="center" vertical="center" wrapText="1"/>
    </xf>
    <xf numFmtId="164" fontId="13" fillId="7" borderId="20" xfId="0" applyNumberFormat="1" applyFont="1" applyFill="1" applyBorder="1" applyAlignment="1">
      <alignment horizontal="center" vertical="center" wrapText="1"/>
    </xf>
    <xf numFmtId="164" fontId="13" fillId="8" borderId="20" xfId="0" applyNumberFormat="1" applyFont="1" applyFill="1" applyBorder="1" applyAlignment="1">
      <alignment horizontal="center" vertical="center" wrapText="1"/>
    </xf>
    <xf numFmtId="164" fontId="13" fillId="0" borderId="20" xfId="0" applyNumberFormat="1" applyFont="1" applyBorder="1" applyAlignment="1">
      <alignment horizontal="center" vertical="center" wrapText="1"/>
    </xf>
    <xf numFmtId="17" fontId="5" fillId="0" borderId="21" xfId="3" applyNumberFormat="1" applyFont="1" applyBorder="1" applyAlignment="1">
      <alignment horizontal="center" vertical="center"/>
    </xf>
    <xf numFmtId="17" fontId="7" fillId="0" borderId="14" xfId="3" applyNumberFormat="1" applyFont="1" applyBorder="1" applyAlignment="1">
      <alignment horizontal="center" vertical="center"/>
    </xf>
    <xf numFmtId="17" fontId="7" fillId="0" borderId="22" xfId="3" applyNumberFormat="1" applyFont="1" applyBorder="1" applyAlignment="1">
      <alignment horizontal="center" vertical="center"/>
    </xf>
    <xf numFmtId="17" fontId="7" fillId="9" borderId="23" xfId="3" applyNumberFormat="1" applyFont="1" applyFill="1" applyBorder="1" applyAlignment="1">
      <alignment horizontal="center" vertical="center" wrapText="1"/>
    </xf>
    <xf numFmtId="17" fontId="7" fillId="9" borderId="24" xfId="3" applyNumberFormat="1" applyFont="1" applyFill="1" applyBorder="1" applyAlignment="1">
      <alignment horizontal="center" vertical="center" wrapText="1"/>
    </xf>
    <xf numFmtId="17" fontId="7" fillId="9" borderId="25" xfId="3" applyNumberFormat="1" applyFont="1" applyFill="1" applyBorder="1" applyAlignment="1">
      <alignment horizontal="center" vertical="center" wrapText="1"/>
    </xf>
    <xf numFmtId="17" fontId="7" fillId="9" borderId="26" xfId="3" applyNumberFormat="1" applyFont="1" applyFill="1" applyBorder="1" applyAlignment="1">
      <alignment horizontal="center" vertical="center" wrapText="1"/>
    </xf>
    <xf numFmtId="17" fontId="7" fillId="9" borderId="0" xfId="3" applyNumberFormat="1" applyFont="1" applyFill="1" applyAlignment="1">
      <alignment horizontal="center" vertical="center" wrapText="1"/>
    </xf>
    <xf numFmtId="17" fontId="7" fillId="9" borderId="15" xfId="3" applyNumberFormat="1" applyFont="1" applyFill="1" applyBorder="1" applyAlignment="1">
      <alignment horizontal="center" vertical="center" wrapText="1"/>
    </xf>
    <xf numFmtId="17" fontId="7" fillId="9" borderId="21" xfId="3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4" fillId="0" borderId="27" xfId="0" applyFont="1" applyBorder="1" applyAlignment="1">
      <alignment horizontal="center" vertical="center" wrapText="1"/>
    </xf>
    <xf numFmtId="2" fontId="9" fillId="4" borderId="28" xfId="3" applyNumberFormat="1" applyFont="1" applyFill="1" applyBorder="1" applyAlignment="1">
      <alignment horizontal="center" vertical="center"/>
    </xf>
    <xf numFmtId="2" fontId="9" fillId="4" borderId="14" xfId="3" applyNumberFormat="1" applyFont="1" applyFill="1" applyBorder="1" applyAlignment="1">
      <alignment horizontal="center" vertical="center"/>
    </xf>
    <xf numFmtId="2" fontId="9" fillId="10" borderId="14" xfId="3" applyNumberFormat="1" applyFont="1" applyFill="1" applyBorder="1" applyAlignment="1">
      <alignment horizontal="center" vertical="center"/>
    </xf>
    <xf numFmtId="2" fontId="10" fillId="0" borderId="22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 wrapText="1"/>
    </xf>
    <xf numFmtId="2" fontId="10" fillId="0" borderId="15" xfId="1" applyNumberFormat="1" applyFont="1" applyFill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 wrapText="1"/>
    </xf>
    <xf numFmtId="2" fontId="12" fillId="0" borderId="0" xfId="1" applyNumberFormat="1" applyFont="1" applyBorder="1" applyAlignment="1">
      <alignment horizontal="center" vertical="center" wrapText="1"/>
    </xf>
    <xf numFmtId="2" fontId="12" fillId="0" borderId="16" xfId="0" applyNumberFormat="1" applyFont="1" applyBorder="1" applyAlignment="1">
      <alignment horizontal="center" vertical="center" wrapText="1"/>
    </xf>
    <xf numFmtId="2" fontId="12" fillId="0" borderId="15" xfId="1" applyNumberFormat="1" applyFont="1" applyBorder="1" applyAlignment="1">
      <alignment horizontal="center" vertical="center" wrapText="1"/>
    </xf>
    <xf numFmtId="2" fontId="12" fillId="0" borderId="15" xfId="0" applyNumberFormat="1" applyFont="1" applyBorder="1" applyAlignment="1">
      <alignment horizontal="center" vertical="center" wrapText="1"/>
    </xf>
    <xf numFmtId="2" fontId="12" fillId="0" borderId="25" xfId="0" applyNumberFormat="1" applyFont="1" applyBorder="1" applyAlignment="1">
      <alignment horizontal="center" vertical="center" wrapText="1"/>
    </xf>
    <xf numFmtId="2" fontId="12" fillId="0" borderId="26" xfId="0" applyNumberFormat="1" applyFont="1" applyBorder="1" applyAlignment="1">
      <alignment horizontal="center" vertical="center" wrapText="1"/>
    </xf>
    <xf numFmtId="0" fontId="5" fillId="0" borderId="28" xfId="3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0" fontId="15" fillId="0" borderId="29" xfId="3" applyFont="1" applyBorder="1" applyAlignment="1">
      <alignment horizontal="center" vertical="center" wrapText="1"/>
    </xf>
    <xf numFmtId="2" fontId="15" fillId="2" borderId="30" xfId="3" applyNumberFormat="1" applyFont="1" applyFill="1" applyBorder="1" applyAlignment="1">
      <alignment horizontal="center" vertical="center"/>
    </xf>
    <xf numFmtId="2" fontId="15" fillId="2" borderId="31" xfId="3" applyNumberFormat="1" applyFont="1" applyFill="1" applyBorder="1" applyAlignment="1">
      <alignment horizontal="center" vertical="center"/>
    </xf>
    <xf numFmtId="2" fontId="16" fillId="4" borderId="32" xfId="3" applyNumberFormat="1" applyFont="1" applyFill="1" applyBorder="1" applyAlignment="1">
      <alignment horizontal="center" vertical="center"/>
    </xf>
    <xf numFmtId="2" fontId="16" fillId="4" borderId="33" xfId="3" applyNumberFormat="1" applyFont="1" applyFill="1" applyBorder="1" applyAlignment="1">
      <alignment horizontal="center" vertical="center"/>
    </xf>
    <xf numFmtId="2" fontId="16" fillId="10" borderId="33" xfId="3" applyNumberFormat="1" applyFont="1" applyFill="1" applyBorder="1" applyAlignment="1">
      <alignment horizontal="center" vertical="center"/>
    </xf>
    <xf numFmtId="2" fontId="16" fillId="4" borderId="34" xfId="3" applyNumberFormat="1" applyFont="1" applyFill="1" applyBorder="1" applyAlignment="1">
      <alignment horizontal="center" vertical="center"/>
    </xf>
    <xf numFmtId="2" fontId="10" fillId="0" borderId="15" xfId="1" applyNumberFormat="1" applyFont="1" applyBorder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2" fontId="10" fillId="0" borderId="0" xfId="1" applyNumberFormat="1" applyFont="1" applyBorder="1" applyAlignment="1">
      <alignment horizontal="center" vertical="center" wrapText="1"/>
    </xf>
    <xf numFmtId="2" fontId="10" fillId="0" borderId="15" xfId="0" applyNumberFormat="1" applyFont="1" applyBorder="1" applyAlignment="1">
      <alignment horizontal="center" vertical="center" wrapText="1"/>
    </xf>
    <xf numFmtId="0" fontId="8" fillId="0" borderId="17" xfId="3" applyFont="1" applyBorder="1" applyAlignment="1">
      <alignment horizontal="center" vertical="center" wrapText="1"/>
    </xf>
    <xf numFmtId="2" fontId="8" fillId="2" borderId="18" xfId="3" applyNumberFormat="1" applyFont="1" applyFill="1" applyBorder="1" applyAlignment="1">
      <alignment horizontal="center" vertical="center"/>
    </xf>
    <xf numFmtId="2" fontId="8" fillId="2" borderId="19" xfId="3" applyNumberFormat="1" applyFont="1" applyFill="1" applyBorder="1" applyAlignment="1">
      <alignment horizontal="center" vertical="center"/>
    </xf>
    <xf numFmtId="2" fontId="9" fillId="4" borderId="35" xfId="3" applyNumberFormat="1" applyFont="1" applyFill="1" applyBorder="1" applyAlignment="1">
      <alignment horizontal="center" vertical="center"/>
    </xf>
    <xf numFmtId="2" fontId="16" fillId="0" borderId="33" xfId="3" applyNumberFormat="1" applyFont="1" applyBorder="1" applyAlignment="1">
      <alignment horizontal="center" vertical="center"/>
    </xf>
    <xf numFmtId="0" fontId="8" fillId="0" borderId="36" xfId="3" applyFont="1" applyBorder="1" applyAlignment="1">
      <alignment horizontal="center" vertical="center" wrapText="1"/>
    </xf>
    <xf numFmtId="2" fontId="9" fillId="10" borderId="37" xfId="3" applyNumberFormat="1" applyFont="1" applyFill="1" applyBorder="1" applyAlignment="1">
      <alignment horizontal="center" vertical="center"/>
    </xf>
    <xf numFmtId="2" fontId="16" fillId="4" borderId="38" xfId="3" applyNumberFormat="1" applyFont="1" applyFill="1" applyBorder="1" applyAlignment="1">
      <alignment horizontal="center" vertical="center"/>
    </xf>
    <xf numFmtId="49" fontId="14" fillId="0" borderId="22" xfId="0" applyNumberFormat="1" applyFont="1" applyBorder="1" applyAlignment="1" applyProtection="1">
      <alignment horizontal="center" vertical="center" wrapText="1"/>
      <protection locked="0"/>
    </xf>
    <xf numFmtId="2" fontId="17" fillId="11" borderId="14" xfId="0" applyNumberFormat="1" applyFont="1" applyFill="1" applyBorder="1" applyAlignment="1">
      <alignment horizontal="center" vertical="center"/>
    </xf>
    <xf numFmtId="2" fontId="16" fillId="4" borderId="14" xfId="3" applyNumberFormat="1" applyFont="1" applyFill="1" applyBorder="1" applyAlignment="1">
      <alignment horizontal="center" vertical="center"/>
    </xf>
    <xf numFmtId="2" fontId="9" fillId="10" borderId="39" xfId="3" applyNumberFormat="1" applyFont="1" applyFill="1" applyBorder="1" applyAlignment="1">
      <alignment horizontal="center" vertical="center"/>
    </xf>
    <xf numFmtId="0" fontId="14" fillId="0" borderId="22" xfId="3" applyFont="1" applyBorder="1" applyAlignment="1">
      <alignment horizontal="center" vertical="center" wrapText="1"/>
    </xf>
    <xf numFmtId="0" fontId="15" fillId="0" borderId="40" xfId="3" applyFont="1" applyBorder="1" applyAlignment="1">
      <alignment horizontal="center" vertical="center" wrapText="1"/>
    </xf>
    <xf numFmtId="2" fontId="15" fillId="2" borderId="41" xfId="3" applyNumberFormat="1" applyFont="1" applyFill="1" applyBorder="1" applyAlignment="1">
      <alignment horizontal="center" vertical="center"/>
    </xf>
    <xf numFmtId="2" fontId="15" fillId="2" borderId="42" xfId="3" applyNumberFormat="1" applyFont="1" applyFill="1" applyBorder="1" applyAlignment="1">
      <alignment horizontal="center" vertical="center"/>
    </xf>
    <xf numFmtId="2" fontId="16" fillId="4" borderId="43" xfId="3" applyNumberFormat="1" applyFont="1" applyFill="1" applyBorder="1" applyAlignment="1">
      <alignment horizontal="center" vertical="center"/>
    </xf>
    <xf numFmtId="2" fontId="16" fillId="10" borderId="34" xfId="3" applyNumberFormat="1" applyFont="1" applyFill="1" applyBorder="1" applyAlignment="1">
      <alignment horizontal="center" vertical="center"/>
    </xf>
    <xf numFmtId="2" fontId="16" fillId="0" borderId="34" xfId="3" applyNumberFormat="1" applyFont="1" applyBorder="1" applyAlignment="1">
      <alignment horizontal="center" vertical="center"/>
    </xf>
    <xf numFmtId="0" fontId="5" fillId="12" borderId="44" xfId="3" applyFont="1" applyFill="1" applyBorder="1" applyAlignment="1">
      <alignment horizontal="center" vertical="center"/>
    </xf>
    <xf numFmtId="0" fontId="5" fillId="12" borderId="45" xfId="3" applyFont="1" applyFill="1" applyBorder="1" applyAlignment="1">
      <alignment horizontal="center" vertical="center"/>
    </xf>
    <xf numFmtId="0" fontId="18" fillId="12" borderId="46" xfId="3" applyFont="1" applyFill="1" applyBorder="1" applyAlignment="1">
      <alignment horizontal="center" vertical="center" wrapText="1"/>
    </xf>
    <xf numFmtId="2" fontId="8" fillId="12" borderId="39" xfId="3" applyNumberFormat="1" applyFont="1" applyFill="1" applyBorder="1" applyAlignment="1">
      <alignment horizontal="center" vertical="center"/>
    </xf>
    <xf numFmtId="2" fontId="8" fillId="12" borderId="47" xfId="3" applyNumberFormat="1" applyFont="1" applyFill="1" applyBorder="1" applyAlignment="1">
      <alignment horizontal="center" vertical="center"/>
    </xf>
    <xf numFmtId="2" fontId="18" fillId="12" borderId="48" xfId="3" applyNumberFormat="1" applyFont="1" applyFill="1" applyBorder="1" applyAlignment="1">
      <alignment horizontal="center" vertical="center"/>
    </xf>
    <xf numFmtId="2" fontId="18" fillId="12" borderId="49" xfId="3" applyNumberFormat="1" applyFont="1" applyFill="1" applyBorder="1" applyAlignment="1">
      <alignment horizontal="center" vertical="center"/>
    </xf>
    <xf numFmtId="2" fontId="18" fillId="0" borderId="49" xfId="3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2" fontId="19" fillId="0" borderId="22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wrapText="1"/>
    </xf>
    <xf numFmtId="2" fontId="10" fillId="0" borderId="15" xfId="1" applyNumberFormat="1" applyFont="1" applyBorder="1" applyAlignment="1">
      <alignment horizontal="center" wrapText="1"/>
    </xf>
    <xf numFmtId="0" fontId="5" fillId="12" borderId="26" xfId="3" applyFont="1" applyFill="1" applyBorder="1" applyAlignment="1">
      <alignment horizontal="center" vertical="center"/>
    </xf>
    <xf numFmtId="0" fontId="5" fillId="12" borderId="25" xfId="3" applyFont="1" applyFill="1" applyBorder="1" applyAlignment="1">
      <alignment horizontal="center" vertical="center"/>
    </xf>
    <xf numFmtId="0" fontId="15" fillId="12" borderId="50" xfId="3" applyFont="1" applyFill="1" applyBorder="1" applyAlignment="1">
      <alignment horizontal="center" vertical="center" wrapText="1"/>
    </xf>
    <xf numFmtId="2" fontId="15" fillId="12" borderId="23" xfId="3" applyNumberFormat="1" applyFont="1" applyFill="1" applyBorder="1" applyAlignment="1">
      <alignment horizontal="center" vertical="center"/>
    </xf>
    <xf numFmtId="2" fontId="15" fillId="12" borderId="51" xfId="3" applyNumberFormat="1" applyFont="1" applyFill="1" applyBorder="1" applyAlignment="1">
      <alignment horizontal="center" vertical="center"/>
    </xf>
    <xf numFmtId="2" fontId="15" fillId="12" borderId="50" xfId="3" applyNumberFormat="1" applyFont="1" applyFill="1" applyBorder="1" applyAlignment="1">
      <alignment horizontal="center" vertical="center"/>
    </xf>
    <xf numFmtId="0" fontId="19" fillId="12" borderId="14" xfId="0" applyFont="1" applyFill="1" applyBorder="1" applyAlignment="1">
      <alignment horizontal="center" vertical="center"/>
    </xf>
    <xf numFmtId="2" fontId="19" fillId="12" borderId="22" xfId="0" applyNumberFormat="1" applyFont="1" applyFill="1" applyBorder="1" applyAlignment="1">
      <alignment horizontal="center" vertical="center"/>
    </xf>
    <xf numFmtId="2" fontId="10" fillId="0" borderId="27" xfId="0" applyNumberFormat="1" applyFont="1" applyBorder="1" applyAlignment="1">
      <alignment horizontal="center" vertical="center" wrapText="1"/>
    </xf>
    <xf numFmtId="2" fontId="10" fillId="0" borderId="4" xfId="1" applyNumberFormat="1" applyFont="1" applyFill="1" applyBorder="1" applyAlignment="1">
      <alignment horizontal="center" vertical="center" wrapText="1"/>
    </xf>
    <xf numFmtId="2" fontId="10" fillId="0" borderId="27" xfId="0" applyNumberFormat="1" applyFont="1" applyBorder="1" applyAlignment="1">
      <alignment horizontal="center" wrapText="1"/>
    </xf>
    <xf numFmtId="2" fontId="10" fillId="0" borderId="4" xfId="1" applyNumberFormat="1" applyFont="1" applyBorder="1" applyAlignment="1">
      <alignment horizont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3" xfId="0" applyNumberFormat="1" applyFont="1" applyBorder="1" applyAlignment="1">
      <alignment horizontal="center" vertical="center" wrapText="1"/>
    </xf>
    <xf numFmtId="2" fontId="10" fillId="0" borderId="3" xfId="1" applyNumberFormat="1" applyFont="1" applyBorder="1" applyAlignment="1">
      <alignment horizontal="center" vertical="center" wrapText="1"/>
    </xf>
    <xf numFmtId="2" fontId="10" fillId="0" borderId="4" xfId="0" applyNumberFormat="1" applyFont="1" applyBorder="1" applyAlignment="1">
      <alignment horizontal="center" vertical="center" wrapText="1"/>
    </xf>
    <xf numFmtId="2" fontId="10" fillId="0" borderId="52" xfId="0" applyNumberFormat="1" applyFont="1" applyBorder="1" applyAlignment="1">
      <alignment horizontal="center" vertical="center" wrapText="1"/>
    </xf>
    <xf numFmtId="10" fontId="10" fillId="0" borderId="22" xfId="0" applyNumberFormat="1" applyFont="1" applyBorder="1" applyAlignment="1">
      <alignment horizontal="right" vertical="center"/>
    </xf>
    <xf numFmtId="0" fontId="0" fillId="0" borderId="28" xfId="0" applyBorder="1" applyAlignment="1">
      <alignment horizontal="center" vertical="center" wrapText="1"/>
    </xf>
    <xf numFmtId="0" fontId="0" fillId="4" borderId="0" xfId="0" applyFill="1"/>
    <xf numFmtId="0" fontId="0" fillId="13" borderId="0" xfId="0" applyFill="1"/>
    <xf numFmtId="0" fontId="10" fillId="0" borderId="0" xfId="0" applyFont="1" applyAlignment="1">
      <alignment horizontal="center" vertical="center" wrapText="1"/>
    </xf>
    <xf numFmtId="9" fontId="0" fillId="0" borderId="0" xfId="2" applyFont="1" applyFill="1" applyAlignment="1">
      <alignment horizontal="center" vertical="center" wrapText="1"/>
    </xf>
    <xf numFmtId="2" fontId="9" fillId="4" borderId="13" xfId="3" applyNumberFormat="1" applyFont="1" applyFill="1" applyBorder="1" applyAlignment="1">
      <alignment horizontal="center" vertical="center"/>
    </xf>
    <xf numFmtId="2" fontId="9" fillId="4" borderId="10" xfId="3" applyNumberFormat="1" applyFont="1" applyFill="1" applyBorder="1" applyAlignment="1">
      <alignment horizontal="center" vertical="center"/>
    </xf>
    <xf numFmtId="2" fontId="9" fillId="4" borderId="12" xfId="3" applyNumberFormat="1" applyFont="1" applyFill="1" applyBorder="1" applyAlignment="1">
      <alignment horizontal="center" vertical="center"/>
    </xf>
    <xf numFmtId="2" fontId="9" fillId="0" borderId="13" xfId="3" applyNumberFormat="1" applyFont="1" applyBorder="1" applyAlignment="1">
      <alignment horizontal="center" vertical="center"/>
    </xf>
    <xf numFmtId="2" fontId="9" fillId="0" borderId="10" xfId="3" applyNumberFormat="1" applyFont="1" applyBorder="1" applyAlignment="1">
      <alignment horizontal="center" vertical="center"/>
    </xf>
    <xf numFmtId="2" fontId="9" fillId="0" borderId="12" xfId="3" applyNumberFormat="1" applyFont="1" applyBorder="1" applyAlignment="1">
      <alignment horizontal="center" vertical="center"/>
    </xf>
    <xf numFmtId="2" fontId="9" fillId="4" borderId="9" xfId="3" applyNumberFormat="1" applyFont="1" applyFill="1" applyBorder="1" applyAlignment="1">
      <alignment horizontal="center" vertical="center"/>
    </xf>
    <xf numFmtId="2" fontId="9" fillId="4" borderId="11" xfId="3" applyNumberFormat="1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3" xfId="3" applyFont="1" applyBorder="1" applyAlignment="1">
      <alignment horizontal="right" vertical="center"/>
    </xf>
    <xf numFmtId="0" fontId="5" fillId="0" borderId="3" xfId="3" applyFont="1" applyBorder="1" applyAlignment="1">
      <alignment vertical="center"/>
    </xf>
    <xf numFmtId="14" fontId="5" fillId="0" borderId="3" xfId="3" applyNumberFormat="1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14" fontId="6" fillId="0" borderId="3" xfId="3" applyNumberFormat="1" applyFont="1" applyBorder="1" applyAlignment="1">
      <alignment vertical="center"/>
    </xf>
  </cellXfs>
  <cellStyles count="4">
    <cellStyle name="Moeda" xfId="1" builtinId="4"/>
    <cellStyle name="Normal" xfId="0" builtinId="0"/>
    <cellStyle name="Normal 2" xfId="3" xr:uid="{2112694F-CF81-4D0A-B17E-99419C8FD55E}"/>
    <cellStyle name="Porcentagem" xfId="2" builtinId="5"/>
  </cellStyles>
  <dxfs count="87"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textRotation="0" wrapText="1" indent="0" justifyLastLine="0" shrinkToFit="0" readingOrder="0"/>
    </dxf>
    <dxf>
      <numFmt numFmtId="2" formatCode="0.00"/>
      <alignment horizontal="center" textRotation="0" wrapText="1" indent="0" justifyLastLine="0" shrinkToFit="0" readingOrder="0"/>
    </dxf>
    <dxf>
      <numFmt numFmtId="2" formatCode="0.00"/>
      <alignment horizontal="center" textRotation="0" wrapText="1" indent="0" justifyLastLine="0" shrinkToFit="0" readingOrder="0"/>
    </dxf>
    <dxf>
      <numFmt numFmtId="2" formatCode="0.00"/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thin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2" formatCode="mmm/yy"/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58056</xdr:colOff>
      <xdr:row>0</xdr:row>
      <xdr:rowOff>101602</xdr:rowOff>
    </xdr:from>
    <xdr:to>
      <xdr:col>1</xdr:col>
      <xdr:colOff>2066103</xdr:colOff>
      <xdr:row>4</xdr:row>
      <xdr:rowOff>160112</xdr:rowOff>
    </xdr:to>
    <xdr:pic>
      <xdr:nvPicPr>
        <xdr:cNvPr id="2" name="Picture 2" descr="Tecnored – Our purpose is to provide sustainable low carbon solutions for  steel making">
          <a:extLst>
            <a:ext uri="{FF2B5EF4-FFF2-40B4-BE49-F238E27FC236}">
              <a16:creationId xmlns:a16="http://schemas.microsoft.com/office/drawing/2014/main" id="{1C4E7C7A-58DA-494D-9439-4B4D84908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06" y="101602"/>
          <a:ext cx="2008047" cy="82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ECNORED\DADOS\J0006\HISTOGRAMAS%20BQM%20100-200%20-%20Tenax%201.xlsx" TargetMode="External"/><Relationship Id="rId1" Type="http://schemas.openxmlformats.org/officeDocument/2006/relationships/externalLinkPath" Target="file:///D:\TECNORED\DADOS\J0006\HISTOGRAMAS%20BQM%20100-200%20-%20Tenax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I &amp; MOD"/>
      <sheetName val="RECURSOS - CRONOGRAMA"/>
      <sheetName val="Comparativo MOI&amp;MOD x CRONOGR"/>
      <sheetName val="MOI &amp; MOD R1"/>
      <sheetName val="MOI &amp; MOD R2"/>
      <sheetName val="HISTOGRAMAS BQM 100-200 - Tenax"/>
      <sheetName val="MOI &amp; MOD R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0364C-B86B-45D4-A33A-F3950A8CF3A3}" name="Tabela246379" displayName="Tabela246379" ref="A6:ER36" totalsRowShown="0" headerRowDxfId="86" tableBorderDxfId="85" headerRowCellStyle="Normal 2">
  <tableColumns count="148">
    <tableColumn id="1" xr3:uid="{D9CEFE79-9F29-4EC5-9CF7-B3E01592341F}" name="ITEM" dataDxfId="84" dataCellStyle="Normal 2"/>
    <tableColumn id="2" xr3:uid="{C5DC0A51-645D-4745-B954-9D90B484C022}" name="BQM" dataDxfId="83" dataCellStyle="Normal 2"/>
    <tableColumn id="3" xr3:uid="{3D8B9F22-9ED3-47CB-8D4A-21CCAF66278D}" name="DISTRIB."/>
    <tableColumn id="4" xr3:uid="{D74F5592-FAAA-4C95-8D19-B99788D3D32B}" name="QTD Mínima">
      <calculatedColumnFormula>MIN(G7:CZ7)</calculatedColumnFormula>
    </tableColumn>
    <tableColumn id="5" xr3:uid="{AD2DBC80-3A57-4474-85CC-CC7BC3223BE4}" name="QTD Média">
      <calculatedColumnFormula>AVERAGE(G7:CZ7)</calculatedColumnFormula>
    </tableColumn>
    <tableColumn id="6" xr3:uid="{6EA581AF-8246-40E1-82D2-72BE63FB00AA}" name="QTD Pico">
      <calculatedColumnFormula>MAX(G7:CZ7)</calculatedColumnFormula>
    </tableColumn>
    <tableColumn id="7" xr3:uid="{3C90827A-1F01-43AC-A379-AF40E53A1086}" name="16-mar"/>
    <tableColumn id="8" xr3:uid="{716EA977-0087-4E5C-B970-32898E73D519}" name="17-mar"/>
    <tableColumn id="9" xr3:uid="{422F98E7-8FAC-43DF-98D4-81BA5C006F1F}" name="18-mar"/>
    <tableColumn id="10" xr3:uid="{0C5E5684-82B3-40D8-995A-89CBE36C78AC}" name="19-mar"/>
    <tableColumn id="11" xr3:uid="{96BD1FD4-33EA-408D-99D6-2C4D51D8B9CF}" name="20-mar"/>
    <tableColumn id="115" xr3:uid="{8D9EA9CB-A955-4A8E-98A0-21316999D52A}" name="21-mar" dataDxfId="82">
      <calculatedColumnFormula>IF(AND(Tabela246379[[#This Row],[BQM]]='[1]Comparativo MOI&amp;MOD x CRONOGR'!$A3,Tabela246379[[#Headers],[16-mar]]=[1]!Tabela1[[#Headers],[16-mar]],'[1]Comparativo MOI&amp;MOD x CRONOGR'!H3&gt;0),0.25,0)</calculatedColumnFormula>
    </tableColumn>
    <tableColumn id="116" xr3:uid="{B579A4F2-5D68-4097-B9D7-A26B478B5797}" name="22-mar" dataDxfId="81">
      <calculatedColumnFormula>IF(AND(Tabela246379[[#This Row],[BQM]]='[1]Comparativo MOI&amp;MOD x CRONOGR'!$A3,Tabela246379[[#Headers],[16-mar]]=[1]!Tabela1[[#Headers],[16-mar]],'[1]Comparativo MOI&amp;MOD x CRONOGR'!I3&gt;0),0.25,0)</calculatedColumnFormula>
    </tableColumn>
    <tableColumn id="12" xr3:uid="{7791458B-8961-4BFB-9C24-A576556B7F60}" name="23-mar"/>
    <tableColumn id="13" xr3:uid="{19D723B1-D62A-43B4-918C-CE4F154D7917}" name="24-mar"/>
    <tableColumn id="14" xr3:uid="{49464E15-07A0-4D69-88EA-5972B03ABE05}" name="25-mar"/>
    <tableColumn id="15" xr3:uid="{3F878E4A-3CE6-4BBE-9C87-00283A9956D4}" name="26-mar"/>
    <tableColumn id="16" xr3:uid="{94ADA88B-7E43-46E3-BE6F-1C6DBFCC6453}" name="27-mar"/>
    <tableColumn id="117" xr3:uid="{02CD9B6C-6232-4D1D-93B9-CC7297A35EE8}" name="28-mar" dataDxfId="80">
      <calculatedColumnFormula>IF(AND(Tabela246379[[#This Row],[BQM]]='[1]Comparativo MOI&amp;MOD x CRONOGR'!$A3,Tabela246379[[#Headers],[16-mar]]=[1]!Tabela1[[#Headers],[16-mar]],'[1]Comparativo MOI&amp;MOD x CRONOGR'!O3&gt;0),0.25,0)</calculatedColumnFormula>
    </tableColumn>
    <tableColumn id="118" xr3:uid="{15C95920-4C18-4B95-B532-A74DB50BBB0D}" name="29-mar" dataDxfId="79">
      <calculatedColumnFormula>IF(AND(Tabela246379[[#This Row],[BQM]]='[1]Comparativo MOI&amp;MOD x CRONOGR'!$A3,Tabela246379[[#Headers],[16-mar]]=[1]!Tabela1[[#Headers],[16-mar]],'[1]Comparativo MOI&amp;MOD x CRONOGR'!P3&gt;0),0.25,0)</calculatedColumnFormula>
    </tableColumn>
    <tableColumn id="17" xr3:uid="{B550E9D0-C638-4D21-AE8F-AB4818C28C04}" name="30-mar"/>
    <tableColumn id="18" xr3:uid="{C1AA9CAE-4079-4DC9-AA69-6135783BF437}" name="31-mar"/>
    <tableColumn id="19" xr3:uid="{F4A19CEB-295B-434E-93F2-0BD0B04EC8D5}" name="1-abr"/>
    <tableColumn id="20" xr3:uid="{C5C59FC4-287F-4FF9-B832-E1B6B4C476CE}" name="2-abr"/>
    <tableColumn id="119" xr3:uid="{54DA24C7-B2CB-4C93-8A38-A6E59EFE143C}" name="3-abr"/>
    <tableColumn id="120" xr3:uid="{95BA1F8B-87EC-4021-BAF8-B74C0C7DBA21}" name="4-abr" dataDxfId="78">
      <calculatedColumnFormula>IF(AND(Tabela246379[[#This Row],[BQM]]='[1]Comparativo MOI&amp;MOD x CRONOGR'!$A3,Tabela246379[[#Headers],[16-mar]]=[1]!Tabela1[[#Headers],[16-mar]],'[1]Comparativo MOI&amp;MOD x CRONOGR'!V3&gt;0),0.25,0)</calculatedColumnFormula>
    </tableColumn>
    <tableColumn id="121" xr3:uid="{3C786EAC-A434-4F91-ABCB-2366B0D13896}" name="5-abr" dataDxfId="77">
      <calculatedColumnFormula>IF(AND(Tabela246379[[#This Row],[BQM]]='[1]Comparativo MOI&amp;MOD x CRONOGR'!$A3,Tabela246379[[#Headers],[16-mar]]=[1]!Tabela1[[#Headers],[16-mar]],'[1]Comparativo MOI&amp;MOD x CRONOGR'!W3&gt;0),0.25,0)</calculatedColumnFormula>
    </tableColumn>
    <tableColumn id="122" xr3:uid="{B9DD3E31-2EEE-4BDC-B2AC-4FF8CE46A370}" name="6-abr"/>
    <tableColumn id="21" xr3:uid="{B133A2B9-14E1-4FC9-8BA8-5E526EAB9F80}" name="7-abr"/>
    <tableColumn id="22" xr3:uid="{8C311068-1CE1-4588-9E8D-75E71CC2AE21}" name="8-abr"/>
    <tableColumn id="23" xr3:uid="{91A9C45B-FB94-453C-B694-FA317EE5F9A2}" name="9-abr"/>
    <tableColumn id="24" xr3:uid="{1A6203D4-E7B5-450F-8560-ECF75ADA88A7}" name="10-abr"/>
    <tableColumn id="123" xr3:uid="{E5850C16-59C2-4B18-8CAD-7C87FE24D807}" name="11-abr" dataDxfId="76">
      <calculatedColumnFormula>IF(AND(Tabela246379[[#This Row],[BQM]]='[1]Comparativo MOI&amp;MOD x CRONOGR'!$A3,Tabela246379[[#Headers],[16-mar]]=[1]!Tabela1[[#Headers],[16-mar]],'[1]Comparativo MOI&amp;MOD x CRONOGR'!AC3&gt;0),0.25,0)</calculatedColumnFormula>
    </tableColumn>
    <tableColumn id="124" xr3:uid="{58BC3674-8B9E-457B-A53F-8325377434F7}" name="12-abr" dataDxfId="75">
      <calculatedColumnFormula>IF(AND(Tabela246379[[#This Row],[BQM]]='[1]Comparativo MOI&amp;MOD x CRONOGR'!$A3,Tabela246379[[#Headers],[16-mar]]=[1]!Tabela1[[#Headers],[16-mar]],'[1]Comparativo MOI&amp;MOD x CRONOGR'!AD3&gt;0),0.25,0)</calculatedColumnFormula>
    </tableColumn>
    <tableColumn id="25" xr3:uid="{D9F1A4E1-0F2F-43B2-B019-4594DD37C8C7}" name="13-abr"/>
    <tableColumn id="26" xr3:uid="{AE2EB9A4-7145-4C4C-B058-01F6DE620A52}" name="14-abr"/>
    <tableColumn id="27" xr3:uid="{4A2885AC-1CB7-484D-8D19-E9A5F9F1434E}" name="15-abr"/>
    <tableColumn id="28" xr3:uid="{D3B4BC5B-F698-4456-9914-BA3082E5F90B}" name="16-abr"/>
    <tableColumn id="29" xr3:uid="{82F3E280-9C09-4AD3-AEA7-B3FE1EDE0ADC}" name="17-abr"/>
    <tableColumn id="125" xr3:uid="{48DBF94F-4A67-4D61-94D3-75A28F2921F7}" name="18-abr" dataDxfId="74">
      <calculatedColumnFormula>IF(AND(Tabela246379[[#This Row],[BQM]]='[1]Comparativo MOI&amp;MOD x CRONOGR'!$A3,Tabela246379[[#Headers],[16-mar]]=[1]!Tabela1[[#Headers],[16-mar]],'[1]Comparativo MOI&amp;MOD x CRONOGR'!AJ3&gt;0),0.25,0)</calculatedColumnFormula>
    </tableColumn>
    <tableColumn id="126" xr3:uid="{5B098D81-0803-4A19-8C26-D18D29DA3DB4}" name="19-abr" dataDxfId="73">
      <calculatedColumnFormula>IF(AND(Tabela246379[[#This Row],[BQM]]='[1]Comparativo MOI&amp;MOD x CRONOGR'!$A3,Tabela246379[[#Headers],[16-mar]]=[1]!Tabela1[[#Headers],[16-mar]],'[1]Comparativo MOI&amp;MOD x CRONOGR'!AK3&gt;0),0.25,0)</calculatedColumnFormula>
    </tableColumn>
    <tableColumn id="30" xr3:uid="{AEAB1426-E3DC-4872-9841-AD6CA7AEC4E8}" name="20-abr"/>
    <tableColumn id="127" xr3:uid="{5C213952-A52C-44EE-B3B6-04A33BC48702}" name="21-abr"/>
    <tableColumn id="31" xr3:uid="{90B92A94-112A-4844-A545-EAEE949327D0}" name="22-abr"/>
    <tableColumn id="32" xr3:uid="{85CDB334-A68E-4AB5-A182-3280BB559DA7}" name="23-abr"/>
    <tableColumn id="33" xr3:uid="{926F06F5-69A9-4655-8201-58310552D47B}" name="24-abr"/>
    <tableColumn id="128" xr3:uid="{53B58263-ACA5-451D-8A79-972C8C316BDB}" name="25-abr" dataDxfId="72">
      <calculatedColumnFormula>IF(AND(Tabela246379[[#This Row],[BQM]]='[1]Comparativo MOI&amp;MOD x CRONOGR'!$A3,Tabela246379[[#Headers],[16-mar]]=[1]!Tabela1[[#Headers],[16-mar]],'[1]Comparativo MOI&amp;MOD x CRONOGR'!AQ3&gt;0),0.25,0)</calculatedColumnFormula>
    </tableColumn>
    <tableColumn id="129" xr3:uid="{BAD8B833-38FA-4C7B-B7EF-887B74309E36}" name="26-abr" dataDxfId="71">
      <calculatedColumnFormula>IF(AND(Tabela246379[[#This Row],[BQM]]='[1]Comparativo MOI&amp;MOD x CRONOGR'!$A3,Tabela246379[[#Headers],[16-mar]]=[1]!Tabela1[[#Headers],[16-mar]],'[1]Comparativo MOI&amp;MOD x CRONOGR'!AR3&gt;0),0.25,0)</calculatedColumnFormula>
    </tableColumn>
    <tableColumn id="34" xr3:uid="{331DCA6B-CEA8-48AB-B5F0-FB0360D981CB}" name="27-abr"/>
    <tableColumn id="35" xr3:uid="{9D3EF969-1638-48A4-BB06-551444F052B9}" name="28-abr"/>
    <tableColumn id="36" xr3:uid="{3E5A4A38-67FE-49F4-9CAF-CF61A7BD71A4}" name="29-abr"/>
    <tableColumn id="37" xr3:uid="{8C8FB82C-7819-4F82-97E1-1A66CF40F85E}" name="30-abr"/>
    <tableColumn id="130" xr3:uid="{27D8D016-53C4-488B-A74D-90EB332DB480}" name="1-mai"/>
    <tableColumn id="131" xr3:uid="{A766247D-7B01-430C-A45B-42340A9132A9}" name="2-mai" dataDxfId="70">
      <calculatedColumnFormula>IF(AND(Tabela246379[[#This Row],[BQM]]='[1]Comparativo MOI&amp;MOD x CRONOGR'!$A3,Tabela246379[[#Headers],[16-mar]]=[1]!Tabela1[[#Headers],[16-mar]],'[1]Comparativo MOI&amp;MOD x CRONOGR'!AX3&gt;0),0.25,0)</calculatedColumnFormula>
    </tableColumn>
    <tableColumn id="132" xr3:uid="{BC6EEC4B-B0A8-4AAD-BFB0-5B8D3CDFBCB2}" name="3-mai" dataDxfId="69">
      <calculatedColumnFormula>IF(AND(Tabela246379[[#This Row],[BQM]]='[1]Comparativo MOI&amp;MOD x CRONOGR'!$A3,Tabela246379[[#Headers],[16-mar]]=[1]!Tabela1[[#Headers],[16-mar]],'[1]Comparativo MOI&amp;MOD x CRONOGR'!AY3&gt;0),0.25,0)</calculatedColumnFormula>
    </tableColumn>
    <tableColumn id="38" xr3:uid="{6494529E-0034-4357-8FE3-6F62D4B8081C}" name="4-mai"/>
    <tableColumn id="39" xr3:uid="{2C740320-5793-4E25-A286-BDCEA77C3651}" name="5-mai"/>
    <tableColumn id="40" xr3:uid="{E88B61DE-D999-4307-83E5-E0365D1DB8C2}" name="6-mai"/>
    <tableColumn id="41" xr3:uid="{C6F044DC-F196-4BAC-883A-54437A43CA7D}" name="7-mai"/>
    <tableColumn id="42" xr3:uid="{456D2372-412E-4A1D-9BC0-39CD23AC9843}" name="8-mai"/>
    <tableColumn id="133" xr3:uid="{E1F56500-072C-423E-A116-CFE54544D672}" name="9-mai" dataDxfId="68">
      <calculatedColumnFormula>IF(AND(Tabela246379[[#This Row],[BQM]]='[1]Comparativo MOI&amp;MOD x CRONOGR'!$A3,Tabela246379[[#Headers],[16-mar]]=[1]!Tabela1[[#Headers],[16-mar]],'[1]Comparativo MOI&amp;MOD x CRONOGR'!BE3&gt;0),0.25,0)</calculatedColumnFormula>
    </tableColumn>
    <tableColumn id="134" xr3:uid="{E7BA32E5-9D65-413F-AF9B-26BB4A01B757}" name="10-mai" dataDxfId="67">
      <calculatedColumnFormula>IF(AND(Tabela246379[[#This Row],[BQM]]='[1]Comparativo MOI&amp;MOD x CRONOGR'!$A3,Tabela246379[[#Headers],[16-mar]]=[1]!Tabela1[[#Headers],[16-mar]],'[1]Comparativo MOI&amp;MOD x CRONOGR'!BF3&gt;0),0.25,0)</calculatedColumnFormula>
    </tableColumn>
    <tableColumn id="43" xr3:uid="{BE349D41-0EE9-4EFA-AD79-4EFDF7F944CE}" name="11-mai"/>
    <tableColumn id="44" xr3:uid="{8D1D58C3-9A28-4250-B345-E19E758FB89E}" name="12-mai"/>
    <tableColumn id="45" xr3:uid="{16F2179A-31A8-4CE2-B2BA-5DC539F56567}" name="13-mai"/>
    <tableColumn id="46" xr3:uid="{9C5760F8-4EF7-4C56-9BE0-A7C2F8637AD9}" name="14-mai"/>
    <tableColumn id="47" xr3:uid="{0A3E7B25-9C19-4D64-A1C8-93C74030ED30}" name="15-mai"/>
    <tableColumn id="135" xr3:uid="{B318C999-7320-4BD1-86A7-2641977E54DF}" name="16-mai" dataDxfId="66">
      <calculatedColumnFormula>IF(AND(Tabela246379[[#This Row],[BQM]]='[1]Comparativo MOI&amp;MOD x CRONOGR'!$A3,Tabela246379[[#Headers],[16-mar]]=[1]!Tabela1[[#Headers],[16-mar]],'[1]Comparativo MOI&amp;MOD x CRONOGR'!BL3&gt;0),0.25,0)</calculatedColumnFormula>
    </tableColumn>
    <tableColumn id="136" xr3:uid="{8FDCDEE4-F2BB-4D4F-B599-99E5C4C3C594}" name="17-mai" dataDxfId="65">
      <calculatedColumnFormula>IF(AND(Tabela246379[[#This Row],[BQM]]='[1]Comparativo MOI&amp;MOD x CRONOGR'!$A3,Tabela246379[[#Headers],[16-mar]]=[1]!Tabela1[[#Headers],[16-mar]],'[1]Comparativo MOI&amp;MOD x CRONOGR'!BM3&gt;0),0.25,0)</calculatedColumnFormula>
    </tableColumn>
    <tableColumn id="48" xr3:uid="{DF39AD20-2EDE-4861-9157-7A482E9BCA57}" name="18-mai"/>
    <tableColumn id="49" xr3:uid="{83030021-ECC5-465B-90AE-B7E5F712C783}" name="19-mai"/>
    <tableColumn id="50" xr3:uid="{0B17B04F-C0F5-4D50-9E0A-CE23F2614160}" name="20-mai"/>
    <tableColumn id="51" xr3:uid="{EC31FCB1-1657-4D90-9155-18EFEF04D907}" name="21-mai"/>
    <tableColumn id="52" xr3:uid="{497550A8-7D60-4396-B32C-93E011B23FB8}" name="22-mai"/>
    <tableColumn id="137" xr3:uid="{98979602-91C8-4B68-8EBB-A0BE2A10D1F8}" name="23-mai" dataDxfId="64">
      <calculatedColumnFormula>IF(AND(Tabela246379[[#This Row],[BQM]]='[1]Comparativo MOI&amp;MOD x CRONOGR'!$A3,Tabela246379[[#Headers],[16-mar]]=[1]!Tabela1[[#Headers],[16-mar]],'[1]Comparativo MOI&amp;MOD x CRONOGR'!BS3&gt;0),0.25,0)</calculatedColumnFormula>
    </tableColumn>
    <tableColumn id="138" xr3:uid="{E5ADBF98-5DED-40D1-AFC9-2FA0CBFAF124}" name="24-mai" dataDxfId="63">
      <calculatedColumnFormula>IF(AND(Tabela246379[[#This Row],[BQM]]='[1]Comparativo MOI&amp;MOD x CRONOGR'!$A3,Tabela246379[[#Headers],[16-mar]]=[1]!Tabela1[[#Headers],[16-mar]],'[1]Comparativo MOI&amp;MOD x CRONOGR'!BT3&gt;0),0.25,0)</calculatedColumnFormula>
    </tableColumn>
    <tableColumn id="53" xr3:uid="{4CFF93C5-4A89-4C12-AD94-AF1D278809F2}" name="25-mai"/>
    <tableColumn id="54" xr3:uid="{EB403D55-D894-4125-9C25-41EB3A4E9B58}" name="26-mai"/>
    <tableColumn id="55" xr3:uid="{4564FFB8-AD20-41D8-9B86-00BBCEA41D44}" name="27-mai"/>
    <tableColumn id="56" xr3:uid="{96CAE49A-CE0A-4FE0-8C59-99CC65F9CEEA}" name="28-mai"/>
    <tableColumn id="57" xr3:uid="{96E72C89-5B2D-4DFC-B34C-607757822918}" name="29-mai"/>
    <tableColumn id="139" xr3:uid="{FA597566-1094-40BC-B667-B5C40E5DDA7E}" name="30-mai" dataDxfId="62">
      <calculatedColumnFormula>IF(AND(Tabela246379[[#This Row],[BQM]]='[1]Comparativo MOI&amp;MOD x CRONOGR'!$A3,Tabela246379[[#Headers],[16-mar]]=[1]!Tabela1[[#Headers],[16-mar]],'[1]Comparativo MOI&amp;MOD x CRONOGR'!BZ3&gt;0),0.25,0)</calculatedColumnFormula>
    </tableColumn>
    <tableColumn id="140" xr3:uid="{6C699D58-A501-434A-B659-17BC63C19626}" name="31-mai" dataDxfId="61">
      <calculatedColumnFormula>IF(AND(Tabela246379[[#This Row],[BQM]]='[1]Comparativo MOI&amp;MOD x CRONOGR'!$A3,Tabela246379[[#Headers],[16-mar]]=[1]!Tabela1[[#Headers],[16-mar]],'[1]Comparativo MOI&amp;MOD x CRONOGR'!CA3&gt;0),0.25,0)</calculatedColumnFormula>
    </tableColumn>
    <tableColumn id="58" xr3:uid="{DD951F98-A940-483C-B182-ECBF38FA4EC1}" name="1-jun"/>
    <tableColumn id="59" xr3:uid="{991211C6-D247-4DAE-893E-FB18CA3F7ACA}" name="2-jun"/>
    <tableColumn id="60" xr3:uid="{93A42E14-AAD1-4F24-B195-DEE597D82BDF}" name="3-jun"/>
    <tableColumn id="147" xr3:uid="{3939055B-4F60-4873-AB70-D37FADCC8ACE}" name="4-jun"/>
    <tableColumn id="61" xr3:uid="{F07DD466-9AEE-46A3-8058-B8EEFC76098E}" name="5-jun"/>
    <tableColumn id="62" xr3:uid="{73FF1F3C-AEB2-41DE-BFDF-2007011C6053}" name="6-jun" dataDxfId="60">
      <calculatedColumnFormula>IF(AND(Tabela246379[[#This Row],[BQM]]='[1]Comparativo MOI&amp;MOD x CRONOGR'!$A3,Tabela246379[[#Headers],[16-mar]]=[1]!Tabela1[[#Headers],[16-mar]],'[1]Comparativo MOI&amp;MOD x CRONOGR'!CG3&gt;0),0.25,0)</calculatedColumnFormula>
    </tableColumn>
    <tableColumn id="141" xr3:uid="{9ABCA8D4-043A-42EA-BE13-7C72D064CE59}" name="7-jun" dataDxfId="59">
      <calculatedColumnFormula>IF(AND(Tabela246379[[#This Row],[BQM]]='[1]Comparativo MOI&amp;MOD x CRONOGR'!$A3,Tabela246379[[#Headers],[16-mar]]=[1]!Tabela1[[#Headers],[16-mar]],'[1]Comparativo MOI&amp;MOD x CRONOGR'!CH3&gt;0),0.25,0)</calculatedColumnFormula>
    </tableColumn>
    <tableColumn id="142" xr3:uid="{8AE7ADE8-1934-449D-93F8-0F4BFC88A114}" name="8-jun"/>
    <tableColumn id="63" xr3:uid="{9A6FF121-C0D9-4971-990D-4617E2B539D1}" name="9-jun"/>
    <tableColumn id="66" xr3:uid="{3220CA86-D23F-4013-96A6-BB050E28EE9F}" name="10-jun"/>
    <tableColumn id="67" xr3:uid="{5C6ED038-EAD5-4BBA-987C-D39BD2F6FC70}" name="11-jun"/>
    <tableColumn id="143" xr3:uid="{690580EF-B49C-4154-86D0-56E659A86466}" name="12-jun"/>
    <tableColumn id="144" xr3:uid="{BACC1FF0-5DDD-4E47-8D9D-59D0BFEFE813}" name="13-jun" dataDxfId="58">
      <calculatedColumnFormula>IF(AND(Tabela246379[[#This Row],[BQM]]='[1]Comparativo MOI&amp;MOD x CRONOGR'!$A3,Tabela246379[[#Headers],[16-mar]]=[1]!Tabela1[[#Headers],[16-mar]],'[1]Comparativo MOI&amp;MOD x CRONOGR'!CN3&gt;0),0.25,0)</calculatedColumnFormula>
    </tableColumn>
    <tableColumn id="68" xr3:uid="{E0B30249-F42C-4CFA-9D6E-FE9FD025B9CF}" name="14-jun" dataDxfId="57">
      <calculatedColumnFormula>IF(AND(Tabela246379[[#This Row],[BQM]]='[1]Comparativo MOI&amp;MOD x CRONOGR'!$A3,Tabela246379[[#Headers],[16-mar]]=[1]!Tabela1[[#Headers],[16-mar]],'[1]Comparativo MOI&amp;MOD x CRONOGR'!CO3&gt;0),0.25,0)</calculatedColumnFormula>
    </tableColumn>
    <tableColumn id="69" xr3:uid="{401077AB-D916-4F08-BF56-A20B4268B567}" name="15-jun"/>
    <tableColumn id="70" xr3:uid="{DBF83E17-C615-4047-9E79-33CD3B463151}" name="16-jun"/>
    <tableColumn id="71" xr3:uid="{B8976D0A-6CB2-481A-84FB-5061BDA9B0A1}" name="17-jun"/>
    <tableColumn id="72" xr3:uid="{02F7F704-F589-41BF-AC7D-E02195EA8C23}" name="18-jun"/>
    <tableColumn id="145" xr3:uid="{3F42DD5D-394B-4860-B66F-5F129846AB64}" name="19-jun"/>
    <tableColumn id="146" xr3:uid="{A9050BB1-CA8C-46AF-B57E-3604604888C5}" name="20-jun" dataDxfId="56">
      <calculatedColumnFormula>IF(AND(Tabela246379[[#This Row],[BQM]]='[1]Comparativo MOI&amp;MOD x CRONOGR'!$A3,Tabela246379[[#Headers],[16-mar]]=[1]!Tabela1[[#Headers],[16-mar]],'[1]Comparativo MOI&amp;MOD x CRONOGR'!CU3&gt;0),0.25,0)</calculatedColumnFormula>
    </tableColumn>
    <tableColumn id="73" xr3:uid="{EFAD44CA-A8CB-4DC0-B100-415DC12C1CC6}" name="21-jun" dataDxfId="55">
      <calculatedColumnFormula>IF(AND(Tabela246379[[#This Row],[BQM]]='[1]Comparativo MOI&amp;MOD x CRONOGR'!$A3,Tabela246379[[#Headers],[16-mar]]=[1]!Tabela1[[#Headers],[16-mar]],'[1]Comparativo MOI&amp;MOD x CRONOGR'!CV3&gt;0),0.25,0)</calculatedColumnFormula>
    </tableColumn>
    <tableColumn id="74" xr3:uid="{867ACD0B-F041-4FC5-88B1-DB0A11567C12}" name="22-jun"/>
    <tableColumn id="75" xr3:uid="{E957F6BD-3B1E-461D-A8F5-336408804CE1}" name="23-jun" dataDxfId="54"/>
    <tableColumn id="76" xr3:uid="{053B9B25-8520-4255-A3DF-38F2251AB1A1}" name="24-jun" dataDxfId="53"/>
    <tableColumn id="77" xr3:uid="{ABB844C1-2668-45C8-9B76-9CE5D940E863}" name="25-jun" dataDxfId="52"/>
    <tableColumn id="78" xr3:uid="{C9EAD7D7-7756-42BB-9ACA-7DB2DD036DA0}" name="26-jun" dataDxfId="51"/>
    <tableColumn id="79" xr3:uid="{A38ECEED-F8D6-4678-8340-486D382F2221}" name="27-jun" dataDxfId="50">
      <calculatedColumnFormula>IF(AND(Tabela246379[[#This Row],[BQM]]='[1]Comparativo MOI&amp;MOD x CRONOGR'!$A3,Tabela246379[[#Headers],[16-mar]]=[1]!Tabela1[[#Headers],[16-mar]],'[1]Comparativo MOI&amp;MOD x CRONOGR'!DB3&gt;0),0.25,0)</calculatedColumnFormula>
    </tableColumn>
    <tableColumn id="80" xr3:uid="{996CAD24-5B4E-489F-A260-523849134B5E}" name="28-jun" dataDxfId="49">
      <calculatedColumnFormula>IF(AND(Tabela246379[[#This Row],[BQM]]='[1]Comparativo MOI&amp;MOD x CRONOGR'!$A3,Tabela246379[[#Headers],[16-mar]]=[1]!Tabela1[[#Headers],[16-mar]],'[1]Comparativo MOI&amp;MOD x CRONOGR'!DC3&gt;0),0.25,0)</calculatedColumnFormula>
    </tableColumn>
    <tableColumn id="64" xr3:uid="{1F8DD281-CF15-4B40-96F3-EF5C7C0A7188}" name="29/jun" dataDxfId="48"/>
    <tableColumn id="65" xr3:uid="{D95602ED-4252-415B-AFC2-2C33751D6222}" name="30/jun" dataDxfId="47"/>
    <tableColumn id="81" xr3:uid="{A012CAB4-A678-4A5C-B3B9-5B887A5FFF22}" name="01/jul" dataDxfId="46"/>
    <tableColumn id="82" xr3:uid="{0DCD60CF-6398-4226-AB46-993C66D60C0C}" name="Dias" dataDxfId="45">
      <calculatedColumnFormula>SUM(Tabela246379[[#This Row],[16-mar]:[01/jul]])</calculatedColumnFormula>
    </tableColumn>
    <tableColumn id="83" xr3:uid="{9B136C95-15EC-4757-BBC8-128B78135289}" name="Horas" dataDxfId="44">
      <calculatedColumnFormula>Tabela246379[[#This Row],[Dias]]*8</calculatedColumnFormula>
    </tableColumn>
    <tableColumn id="84" xr3:uid="{B73B6DD3-0F2F-4456-B0BB-2ED4460697AF}" name="16/03 - 20/03" dataDxfId="43">
      <calculatedColumnFormula>SUM(Tabela246379[[#This Row],[16-mar]:[20-mar]])</calculatedColumnFormula>
    </tableColumn>
    <tableColumn id="100" xr3:uid="{87B366DB-CC41-4818-BD21-17250AD0794D}" name="16/03 - 20/04_x000a_HORAS" dataDxfId="42" dataCellStyle="Moeda">
      <calculatedColumnFormula>Tabela246379[[#This Row],[16/03 - 20/03]]*8.8</calculatedColumnFormula>
    </tableColumn>
    <tableColumn id="85" xr3:uid="{A30F8F0F-7217-4B7E-9BBD-E737B7C340F6}" name="23/03 - 27/03" dataDxfId="41">
      <calculatedColumnFormula>SUM(Tabela246379[[#This Row],[23-mar]:[27-mar]])</calculatedColumnFormula>
    </tableColumn>
    <tableColumn id="101" xr3:uid="{793809A2-F3B0-42F1-A87B-2CEFED52AA3C}" name="23/03 - 27/04_x000a_HORAS" dataDxfId="40" dataCellStyle="Moeda">
      <calculatedColumnFormula>Tabela246379[[#This Row],[23/03 - 27/03]]*8.8</calculatedColumnFormula>
    </tableColumn>
    <tableColumn id="86" xr3:uid="{DC755EE4-3E19-450B-A81F-D8120B099A2F}" name="30/03 - 02/04" dataDxfId="39">
      <calculatedColumnFormula>SUM(Tabela246379[[#This Row],[30-mar]:[2-abr]])</calculatedColumnFormula>
    </tableColumn>
    <tableColumn id="102" xr3:uid="{ED102FFA-FB5E-4500-B45F-CE3C9F896B02}" name="30/03 - 02/05_x000a_HORAS" dataDxfId="38" dataCellStyle="Moeda">
      <calculatedColumnFormula>Tabela246379[[#This Row],[30/03 - 02/04]]*8.8</calculatedColumnFormula>
    </tableColumn>
    <tableColumn id="87" xr3:uid="{14A41353-BF09-409B-A209-FE02D435F582}" name="07/04 - 10/04" dataDxfId="37">
      <calculatedColumnFormula>SUM(Tabela246379[[#This Row],[7-abr]:[10-abr]])</calculatedColumnFormula>
    </tableColumn>
    <tableColumn id="103" xr3:uid="{85E60F90-05B3-4419-A6F6-93725EC222DD}" name="07/04 - 10/05_x000a_HORAS" dataDxfId="36" dataCellStyle="Moeda">
      <calculatedColumnFormula>Tabela246379[[#This Row],[07/04 - 10/04]]*8.8</calculatedColumnFormula>
    </tableColumn>
    <tableColumn id="88" xr3:uid="{B698833E-E17B-4AFF-8B47-A8B210E2A457}" name="13/04 - 17/04" dataDxfId="35">
      <calculatedColumnFormula>SUM(Tabela246379[[#This Row],[13-abr]:[17-abr]])</calculatedColumnFormula>
    </tableColumn>
    <tableColumn id="104" xr3:uid="{96E0463D-4908-4296-92C3-415776EF978C}" name="13/04 - 17/05_x000a_HORAS" dataDxfId="34" dataCellStyle="Moeda">
      <calculatedColumnFormula>Tabela246379[[#This Row],[13/04 - 17/04]]*8.8</calculatedColumnFormula>
    </tableColumn>
    <tableColumn id="89" xr3:uid="{3C53612A-D092-4821-AC27-1EDA1B4848D3}" name="22/04 - 24/04" dataDxfId="33">
      <calculatedColumnFormula>SUM(Tabela246379[[#This Row],[22-abr]:[24-abr]])</calculatedColumnFormula>
    </tableColumn>
    <tableColumn id="105" xr3:uid="{3DE68545-0EC8-4522-831D-2079A0771049}" name="22/04 - 24/05_x000a_HORAS" dataDxfId="32" dataCellStyle="Moeda">
      <calculatedColumnFormula>Tabela246379[[#This Row],[22/04 - 24/04]]*8.8</calculatedColumnFormula>
    </tableColumn>
    <tableColumn id="90" xr3:uid="{998B7EBA-6190-4E29-8637-B3FF8D4635E6}" name="27/04 - 30/04" dataDxfId="31">
      <calculatedColumnFormula>SUM(Tabela246379[[#This Row],[27-abr]:[30-abr]])</calculatedColumnFormula>
    </tableColumn>
    <tableColumn id="149" xr3:uid="{CBBE8B9C-F4CA-44FC-8769-D4E01D60E317}" name="27/04 - 30/05_x000a_HORAS" dataDxfId="30" dataCellStyle="Moeda">
      <calculatedColumnFormula>Tabela246379[[#This Row],[27/04 - 30/04]]*8.8</calculatedColumnFormula>
    </tableColumn>
    <tableColumn id="91" xr3:uid="{A3A5EA8E-9561-407C-89EF-73D06785D2D8}" name="04/05 - 08/05" dataDxfId="29">
      <calculatedColumnFormula>SUM(Tabela246379[[#This Row],[4-mai]:[8-mai]])</calculatedColumnFormula>
    </tableColumn>
    <tableColumn id="113" xr3:uid="{71E69F69-F56E-4601-A41D-4815165BF8C3}" name="04/05 - 08/06_x000a_HORAS" dataDxfId="28" dataCellStyle="Moeda">
      <calculatedColumnFormula>Tabela246379[[#This Row],[04/05 - 08/05]]*8.8</calculatedColumnFormula>
    </tableColumn>
    <tableColumn id="92" xr3:uid="{46DD2BEA-61F2-48A1-896C-3B51FE89FEDC}" name="11/05 - 15/05" dataDxfId="27">
      <calculatedColumnFormula>SUM(Tabela246379[[#This Row],[11-mai]:[15-mai]])</calculatedColumnFormula>
    </tableColumn>
    <tableColumn id="112" xr3:uid="{6E32D693-FD90-421C-8896-46C6FACCBA81}" name="11/05 - 15/06_x000a_HORAS" dataDxfId="26">
      <calculatedColumnFormula>Tabela246379[[#This Row],[11/05 - 15/05]]*8.8</calculatedColumnFormula>
    </tableColumn>
    <tableColumn id="93" xr3:uid="{E2222BD3-DD4D-410C-89E8-266B047EC96C}" name="18/05 - 22/05" dataDxfId="25">
      <calculatedColumnFormula>SUM(Tabela246379[[#This Row],[18-mai]:[22-mai]])</calculatedColumnFormula>
    </tableColumn>
    <tableColumn id="111" xr3:uid="{860AEABF-48E6-4330-AEF3-11FA3F75B7EB}" name="18/05 - 22/06_x000a_HORAS" dataDxfId="24">
      <calculatedColumnFormula>Tabela246379[[#This Row],[18/05 - 22/05]]*8.8</calculatedColumnFormula>
    </tableColumn>
    <tableColumn id="94" xr3:uid="{D7D75198-43CB-45D8-8E47-083B56D05C52}" name="25/05 - 29/05" dataDxfId="23">
      <calculatedColumnFormula>SUM(Tabela246379[[#This Row],[25-mai]:[29-mai]])</calculatedColumnFormula>
    </tableColumn>
    <tableColumn id="110" xr3:uid="{42379B7A-0DC9-4B44-BBB7-E5145D27131F}" name="25/05 - 29/06_x000a_HORAS" dataDxfId="22">
      <calculatedColumnFormula>Tabela246379[[#This Row],[25/05 - 29/05]]*8.8</calculatedColumnFormula>
    </tableColumn>
    <tableColumn id="95" xr3:uid="{83431E59-032A-4B98-9999-DCE829145D05}" name="01/06 - 03/06" dataDxfId="21">
      <calculatedColumnFormula>SUM(Tabela246379[[#This Row],[1-jun]:[3-jun]])</calculatedColumnFormula>
    </tableColumn>
    <tableColumn id="109" xr3:uid="{669EB511-10A6-4E26-A879-CFDE08F29476}" name="01/06 - 03/07_x000a_HORAS" dataDxfId="20">
      <calculatedColumnFormula>Tabela246379[[#This Row],[01/06 - 03/06]]*8.8</calculatedColumnFormula>
    </tableColumn>
    <tableColumn id="96" xr3:uid="{099C4E65-F519-49A5-850F-896ADC7BADB0}" name="08/06 - 12/06" dataDxfId="19">
      <calculatedColumnFormula>SUM(Tabela246379[[#This Row],[8-jun]:[12-jun]])</calculatedColumnFormula>
    </tableColumn>
    <tableColumn id="108" xr3:uid="{CD3733E0-3C33-477E-BD49-2934A8E31E0C}" name="08/06 - 12/07_x000a_HORAS" dataDxfId="18">
      <calculatedColumnFormula>Tabela246379[[#This Row],[08/06 - 12/06]]*8.8</calculatedColumnFormula>
    </tableColumn>
    <tableColumn id="97" xr3:uid="{E192899C-69BC-49D2-AE96-249E7E463AC7}" name="15/06 - 19/06" dataDxfId="17">
      <calculatedColumnFormula>SUM(Tabela246379[[#This Row],[15-jun]:[19-jun]])</calculatedColumnFormula>
    </tableColumn>
    <tableColumn id="107" xr3:uid="{91E40A2F-B269-4D0F-A9DB-95CECADC6B83}" name="15/06 - 19/07_x000a_HORAS" dataDxfId="16">
      <calculatedColumnFormula>Tabela246379[[#This Row],[15/06 - 19/06]]*8.8</calculatedColumnFormula>
    </tableColumn>
    <tableColumn id="98" xr3:uid="{788E3476-211B-4A2E-A606-7763FCCAB64C}" name="22/06 - 26/06" dataDxfId="15">
      <calculatedColumnFormula>SUM(Tabela246379[[#This Row],[22-jun]:[26-jun]])</calculatedColumnFormula>
    </tableColumn>
    <tableColumn id="106" xr3:uid="{101BC702-69C6-411D-B38C-6239F0BD93D6}" name="22/06 - 26/07_x000a_HORAS" dataDxfId="14">
      <calculatedColumnFormula>Tabela246379[[#This Row],[22/06 - 26/06]]*8.8</calculatedColumnFormula>
    </tableColumn>
    <tableColumn id="151" xr3:uid="{561F9322-C63E-40C5-A4AE-BEE9E61C5EDD}" name="29/06 - 01/07" dataDxfId="13">
      <calculatedColumnFormula>SUM(Tabela246379[[#This Row],[29/jun]:[01/jul]])</calculatedColumnFormula>
    </tableColumn>
    <tableColumn id="99" xr3:uid="{70722419-C830-4387-AB33-BBB8B854E892}" name="29/06 - 01/072_x000a_HORAS" dataDxfId="12">
      <calculatedColumnFormula>Tabela246379[[#This Row],[29/06 - 01/07]]*8.8</calculatedColumnFormula>
    </tableColumn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4484-7DDD-43B7-8725-74FBE52B9828}">
  <dimension ref="A1:ER70"/>
  <sheetViews>
    <sheetView tabSelected="1" workbookViewId="0">
      <pane xSplit="6" ySplit="6" topLeftCell="AI7" activePane="bottomRight" state="frozen"/>
      <selection pane="topRight" activeCell="G1" sqref="G1"/>
      <selection pane="bottomLeft" activeCell="A7" sqref="A7"/>
      <selection pane="bottomRight" activeCell="AI14" sqref="AI14:AM14"/>
    </sheetView>
  </sheetViews>
  <sheetFormatPr defaultRowHeight="15" x14ac:dyDescent="0.25"/>
  <cols>
    <col min="1" max="1" width="9.42578125" customWidth="1"/>
    <col min="2" max="2" width="31.5703125" customWidth="1"/>
    <col min="3" max="3" width="14.5703125" customWidth="1"/>
    <col min="4" max="4" width="18.42578125" hidden="1" customWidth="1"/>
    <col min="5" max="5" width="17.140625" hidden="1" customWidth="1"/>
    <col min="6" max="6" width="2.7109375" hidden="1" customWidth="1"/>
    <col min="7" max="10" width="14.42578125" bestFit="1" customWidth="1"/>
    <col min="11" max="11" width="15" bestFit="1" customWidth="1"/>
    <col min="12" max="12" width="14.42578125" bestFit="1" customWidth="1"/>
    <col min="13" max="21" width="15" bestFit="1" customWidth="1"/>
    <col min="22" max="22" width="14.42578125" bestFit="1" customWidth="1"/>
    <col min="23" max="23" width="12.42578125" bestFit="1" customWidth="1"/>
    <col min="24" max="31" width="12.85546875" bestFit="1" customWidth="1"/>
    <col min="32" max="32" width="14" bestFit="1" customWidth="1"/>
    <col min="33" max="33" width="13.5703125" bestFit="1" customWidth="1"/>
    <col min="34" max="41" width="14" bestFit="1" customWidth="1"/>
    <col min="42" max="42" width="14.42578125" bestFit="1" customWidth="1"/>
    <col min="43" max="43" width="14" bestFit="1" customWidth="1"/>
    <col min="44" max="52" width="14.42578125" bestFit="1" customWidth="1"/>
    <col min="53" max="53" width="12.5703125" bestFit="1" customWidth="1"/>
    <col min="54" max="61" width="13" bestFit="1" customWidth="1"/>
    <col min="62" max="62" width="14.42578125" bestFit="1" customWidth="1"/>
    <col min="63" max="63" width="13.85546875" bestFit="1" customWidth="1"/>
    <col min="64" max="71" width="14.42578125" bestFit="1" customWidth="1"/>
    <col min="72" max="72" width="14.5703125" bestFit="1" customWidth="1"/>
    <col min="73" max="73" width="14.42578125" bestFit="1" customWidth="1"/>
    <col min="74" max="81" width="14.5703125" bestFit="1" customWidth="1"/>
    <col min="82" max="82" width="14.5703125" style="1" bestFit="1" customWidth="1"/>
    <col min="83" max="83" width="14.42578125" style="1" bestFit="1" customWidth="1"/>
    <col min="84" max="84" width="12.140625" style="1" bestFit="1" customWidth="1"/>
    <col min="85" max="86" width="12.5703125" style="1" bestFit="1" customWidth="1"/>
    <col min="87" max="92" width="12.5703125" bestFit="1" customWidth="1"/>
    <col min="93" max="100" width="13.85546875" bestFit="1" customWidth="1"/>
    <col min="101" max="101" width="14.42578125" bestFit="1" customWidth="1"/>
    <col min="102" max="102" width="13.85546875" bestFit="1" customWidth="1"/>
    <col min="103" max="110" width="14.42578125" bestFit="1" customWidth="1"/>
    <col min="111" max="111" width="15.85546875" bestFit="1" customWidth="1"/>
    <col min="112" max="113" width="11.5703125" bestFit="1" customWidth="1"/>
    <col min="114" max="114" width="14.140625" bestFit="1" customWidth="1"/>
    <col min="115" max="115" width="13.140625" style="1" customWidth="1"/>
    <col min="116" max="116" width="14.7109375" style="1" customWidth="1"/>
    <col min="117" max="148" width="12.7109375" style="2" customWidth="1"/>
  </cols>
  <sheetData>
    <row r="1" spans="1:148" ht="23.25" customHeight="1" x14ac:dyDescent="0.25">
      <c r="A1" s="133" t="s">
        <v>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  <c r="BJ1" s="134"/>
      <c r="BK1" s="134"/>
      <c r="BL1" s="134"/>
      <c r="BM1" s="134"/>
      <c r="BN1" s="134"/>
      <c r="BO1" s="134"/>
      <c r="BP1" s="134"/>
      <c r="BQ1" s="134"/>
      <c r="BR1" s="134"/>
      <c r="BS1" s="134"/>
      <c r="BT1" s="134"/>
      <c r="BU1" s="134"/>
      <c r="BV1" s="134"/>
      <c r="BW1" s="134"/>
      <c r="BX1" s="134"/>
      <c r="BY1" s="134"/>
      <c r="BZ1" s="134"/>
      <c r="CA1" s="134"/>
      <c r="CB1" s="134"/>
      <c r="CC1" s="134"/>
    </row>
    <row r="2" spans="1:148" ht="23.25" customHeight="1" x14ac:dyDescent="0.25">
      <c r="A2" s="133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</row>
    <row r="3" spans="1:148" ht="18" x14ac:dyDescent="0.25">
      <c r="A3" s="135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3"/>
      <c r="AF3" s="3"/>
      <c r="AG3" s="3"/>
      <c r="AH3" s="3"/>
      <c r="AI3" s="3"/>
      <c r="AJ3" s="3"/>
      <c r="AK3" s="3"/>
      <c r="AL3" s="3"/>
    </row>
    <row r="4" spans="1:148" ht="18.75" thickBot="1" x14ac:dyDescent="0.3">
      <c r="A4" s="4"/>
      <c r="B4" s="5"/>
      <c r="C4" s="137" t="s">
        <v>1</v>
      </c>
      <c r="D4" s="137"/>
      <c r="E4" s="137"/>
      <c r="F4" s="138"/>
      <c r="G4" s="138"/>
      <c r="H4" s="138"/>
      <c r="I4" s="137" t="s">
        <v>2</v>
      </c>
      <c r="J4" s="137"/>
      <c r="K4" s="7">
        <v>1</v>
      </c>
      <c r="L4" s="137" t="s">
        <v>3</v>
      </c>
      <c r="M4" s="137"/>
      <c r="N4" s="137"/>
      <c r="O4" s="139">
        <f ca="1">TODAY()</f>
        <v>46216</v>
      </c>
      <c r="P4" s="140"/>
      <c r="Q4" s="6"/>
      <c r="R4" s="8"/>
      <c r="S4" s="8"/>
      <c r="T4" s="8"/>
      <c r="U4" s="9"/>
      <c r="V4" s="6"/>
      <c r="W4" s="141"/>
      <c r="X4" s="141"/>
      <c r="Y4" s="10"/>
      <c r="Z4" s="10"/>
      <c r="AA4" s="10"/>
      <c r="AB4" s="10"/>
      <c r="AC4" s="10"/>
      <c r="AD4" s="10"/>
      <c r="AE4" s="11"/>
      <c r="AF4" s="11"/>
      <c r="AG4" s="11"/>
      <c r="AH4" s="11"/>
      <c r="AI4" s="11"/>
      <c r="AJ4" s="11"/>
      <c r="AK4" s="11"/>
      <c r="AL4" s="11"/>
      <c r="AM4" s="12"/>
    </row>
    <row r="5" spans="1:148" s="22" customFormat="1" ht="24.95" customHeight="1" thickBot="1" x14ac:dyDescent="0.3">
      <c r="A5" s="13">
        <v>1</v>
      </c>
      <c r="B5" s="14" t="s">
        <v>4</v>
      </c>
      <c r="C5" s="15" t="s">
        <v>5</v>
      </c>
      <c r="D5" s="16">
        <f>MIN(G5:CZ5)</f>
        <v>0</v>
      </c>
      <c r="E5" s="16" t="e">
        <f>AVERAGE(G5:CZ5)</f>
        <v>#DIV/0!</v>
      </c>
      <c r="F5" s="17">
        <f>MAX(G5:CZ5)</f>
        <v>0</v>
      </c>
      <c r="G5" s="131" t="s">
        <v>6</v>
      </c>
      <c r="H5" s="126"/>
      <c r="I5" s="126"/>
      <c r="J5" s="126"/>
      <c r="K5" s="126"/>
      <c r="L5" s="126"/>
      <c r="M5" s="132"/>
      <c r="N5" s="131" t="s">
        <v>7</v>
      </c>
      <c r="O5" s="126"/>
      <c r="P5" s="126"/>
      <c r="Q5" s="126"/>
      <c r="R5" s="126"/>
      <c r="S5" s="126"/>
      <c r="T5" s="127"/>
      <c r="U5" s="125" t="s">
        <v>8</v>
      </c>
      <c r="V5" s="126"/>
      <c r="W5" s="126"/>
      <c r="X5" s="126"/>
      <c r="Y5" s="126"/>
      <c r="Z5" s="126"/>
      <c r="AA5" s="127"/>
      <c r="AB5" s="125" t="s">
        <v>9</v>
      </c>
      <c r="AC5" s="126"/>
      <c r="AD5" s="126"/>
      <c r="AE5" s="126"/>
      <c r="AF5" s="126"/>
      <c r="AG5" s="126"/>
      <c r="AH5" s="127"/>
      <c r="AI5" s="125" t="s">
        <v>10</v>
      </c>
      <c r="AJ5" s="126"/>
      <c r="AK5" s="126"/>
      <c r="AL5" s="126"/>
      <c r="AM5" s="126"/>
      <c r="AN5" s="126"/>
      <c r="AO5" s="127"/>
      <c r="AP5" s="125" t="s">
        <v>11</v>
      </c>
      <c r="AQ5" s="126"/>
      <c r="AR5" s="126"/>
      <c r="AS5" s="126"/>
      <c r="AT5" s="126"/>
      <c r="AU5" s="126"/>
      <c r="AV5" s="127"/>
      <c r="AW5" s="125" t="s">
        <v>12</v>
      </c>
      <c r="AX5" s="126"/>
      <c r="AY5" s="126"/>
      <c r="AZ5" s="126"/>
      <c r="BA5" s="126"/>
      <c r="BB5" s="126"/>
      <c r="BC5" s="127"/>
      <c r="BD5" s="125" t="s">
        <v>13</v>
      </c>
      <c r="BE5" s="126"/>
      <c r="BF5" s="126"/>
      <c r="BG5" s="126"/>
      <c r="BH5" s="126"/>
      <c r="BI5" s="126"/>
      <c r="BJ5" s="127"/>
      <c r="BK5" s="125" t="s">
        <v>14</v>
      </c>
      <c r="BL5" s="126"/>
      <c r="BM5" s="126"/>
      <c r="BN5" s="126"/>
      <c r="BO5" s="126"/>
      <c r="BP5" s="126"/>
      <c r="BQ5" s="127"/>
      <c r="BR5" s="125" t="s">
        <v>15</v>
      </c>
      <c r="BS5" s="126"/>
      <c r="BT5" s="126"/>
      <c r="BU5" s="126"/>
      <c r="BV5" s="126"/>
      <c r="BW5" s="126"/>
      <c r="BX5" s="127"/>
      <c r="BY5" s="125" t="s">
        <v>16</v>
      </c>
      <c r="BZ5" s="126"/>
      <c r="CA5" s="126"/>
      <c r="CB5" s="126"/>
      <c r="CC5" s="126"/>
      <c r="CD5" s="126"/>
      <c r="CE5" s="127"/>
      <c r="CF5" s="125" t="s">
        <v>17</v>
      </c>
      <c r="CG5" s="126"/>
      <c r="CH5" s="126"/>
      <c r="CI5" s="126"/>
      <c r="CJ5" s="126"/>
      <c r="CK5" s="126"/>
      <c r="CL5" s="127"/>
      <c r="CM5" s="125" t="s">
        <v>18</v>
      </c>
      <c r="CN5" s="126"/>
      <c r="CO5" s="126"/>
      <c r="CP5" s="126"/>
      <c r="CQ5" s="126"/>
      <c r="CR5" s="126"/>
      <c r="CS5" s="127"/>
      <c r="CT5" s="125" t="s">
        <v>19</v>
      </c>
      <c r="CU5" s="126"/>
      <c r="CV5" s="126"/>
      <c r="CW5" s="126"/>
      <c r="CX5" s="126"/>
      <c r="CY5" s="126"/>
      <c r="CZ5" s="127"/>
      <c r="DA5" s="125" t="s">
        <v>20</v>
      </c>
      <c r="DB5" s="126"/>
      <c r="DC5" s="126"/>
      <c r="DD5" s="126"/>
      <c r="DE5" s="126"/>
      <c r="DF5" s="126"/>
      <c r="DG5" s="127"/>
      <c r="DH5" s="128" t="s">
        <v>21</v>
      </c>
      <c r="DI5" s="129"/>
      <c r="DJ5" s="130"/>
      <c r="DK5" s="18"/>
      <c r="DL5" s="19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1"/>
    </row>
    <row r="6" spans="1:148" s="43" customFormat="1" ht="73.5" customHeight="1" thickBot="1" x14ac:dyDescent="0.3">
      <c r="A6" s="23" t="s">
        <v>22</v>
      </c>
      <c r="B6" s="24" t="s">
        <v>23</v>
      </c>
      <c r="C6" s="25" t="s">
        <v>24</v>
      </c>
      <c r="D6" s="26" t="s">
        <v>25</v>
      </c>
      <c r="E6" s="26" t="s">
        <v>26</v>
      </c>
      <c r="F6" s="27" t="s">
        <v>27</v>
      </c>
      <c r="G6" s="28" t="s">
        <v>28</v>
      </c>
      <c r="H6" s="28" t="s">
        <v>29</v>
      </c>
      <c r="I6" s="28" t="s">
        <v>30</v>
      </c>
      <c r="J6" s="28" t="s">
        <v>31</v>
      </c>
      <c r="K6" s="28" t="s">
        <v>32</v>
      </c>
      <c r="L6" s="28" t="s">
        <v>33</v>
      </c>
      <c r="M6" s="28" t="s">
        <v>34</v>
      </c>
      <c r="N6" s="28" t="s">
        <v>35</v>
      </c>
      <c r="O6" s="28" t="s">
        <v>36</v>
      </c>
      <c r="P6" s="28" t="s">
        <v>37</v>
      </c>
      <c r="Q6" s="28" t="s">
        <v>38</v>
      </c>
      <c r="R6" s="28" t="s">
        <v>39</v>
      </c>
      <c r="S6" s="28" t="s">
        <v>40</v>
      </c>
      <c r="T6" s="28" t="s">
        <v>41</v>
      </c>
      <c r="U6" s="28" t="s">
        <v>42</v>
      </c>
      <c r="V6" s="28" t="s">
        <v>43</v>
      </c>
      <c r="W6" s="29" t="s">
        <v>44</v>
      </c>
      <c r="X6" s="29" t="s">
        <v>45</v>
      </c>
      <c r="Y6" s="29" t="s">
        <v>46</v>
      </c>
      <c r="Z6" s="29" t="s">
        <v>47</v>
      </c>
      <c r="AA6" s="29" t="s">
        <v>48</v>
      </c>
      <c r="AB6" s="29" t="s">
        <v>49</v>
      </c>
      <c r="AC6" s="29" t="s">
        <v>50</v>
      </c>
      <c r="AD6" s="29" t="s">
        <v>51</v>
      </c>
      <c r="AE6" s="29" t="s">
        <v>52</v>
      </c>
      <c r="AF6" s="29" t="s">
        <v>53</v>
      </c>
      <c r="AG6" s="29" t="s">
        <v>54</v>
      </c>
      <c r="AH6" s="29" t="s">
        <v>55</v>
      </c>
      <c r="AI6" s="29" t="s">
        <v>56</v>
      </c>
      <c r="AJ6" s="29" t="s">
        <v>57</v>
      </c>
      <c r="AK6" s="29" t="s">
        <v>58</v>
      </c>
      <c r="AL6" s="29" t="s">
        <v>59</v>
      </c>
      <c r="AM6" s="29" t="s">
        <v>60</v>
      </c>
      <c r="AN6" s="29" t="s">
        <v>61</v>
      </c>
      <c r="AO6" s="29" t="s">
        <v>62</v>
      </c>
      <c r="AP6" s="29" t="s">
        <v>63</v>
      </c>
      <c r="AQ6" s="29" t="s">
        <v>64</v>
      </c>
      <c r="AR6" s="29" t="s">
        <v>65</v>
      </c>
      <c r="AS6" s="29" t="s">
        <v>66</v>
      </c>
      <c r="AT6" s="29" t="s">
        <v>67</v>
      </c>
      <c r="AU6" s="29" t="s">
        <v>68</v>
      </c>
      <c r="AV6" s="29" t="s">
        <v>69</v>
      </c>
      <c r="AW6" s="29" t="s">
        <v>70</v>
      </c>
      <c r="AX6" s="29" t="s">
        <v>71</v>
      </c>
      <c r="AY6" s="29" t="s">
        <v>72</v>
      </c>
      <c r="AZ6" s="29" t="s">
        <v>73</v>
      </c>
      <c r="BA6" s="30" t="s">
        <v>74</v>
      </c>
      <c r="BB6" s="30" t="s">
        <v>75</v>
      </c>
      <c r="BC6" s="30" t="s">
        <v>76</v>
      </c>
      <c r="BD6" s="30" t="s">
        <v>77</v>
      </c>
      <c r="BE6" s="30" t="s">
        <v>78</v>
      </c>
      <c r="BF6" s="30" t="s">
        <v>79</v>
      </c>
      <c r="BG6" s="30" t="s">
        <v>80</v>
      </c>
      <c r="BH6" s="30" t="s">
        <v>81</v>
      </c>
      <c r="BI6" s="30" t="s">
        <v>82</v>
      </c>
      <c r="BJ6" s="30" t="s">
        <v>83</v>
      </c>
      <c r="BK6" s="30" t="s">
        <v>84</v>
      </c>
      <c r="BL6" s="30" t="s">
        <v>85</v>
      </c>
      <c r="BM6" s="30" t="s">
        <v>86</v>
      </c>
      <c r="BN6" s="30" t="s">
        <v>87</v>
      </c>
      <c r="BO6" s="30" t="s">
        <v>88</v>
      </c>
      <c r="BP6" s="30" t="s">
        <v>89</v>
      </c>
      <c r="BQ6" s="30" t="s">
        <v>90</v>
      </c>
      <c r="BR6" s="30" t="s">
        <v>91</v>
      </c>
      <c r="BS6" s="30" t="s">
        <v>92</v>
      </c>
      <c r="BT6" s="30" t="s">
        <v>93</v>
      </c>
      <c r="BU6" s="30" t="s">
        <v>94</v>
      </c>
      <c r="BV6" s="30" t="s">
        <v>95</v>
      </c>
      <c r="BW6" s="30" t="s">
        <v>96</v>
      </c>
      <c r="BX6" s="30" t="s">
        <v>97</v>
      </c>
      <c r="BY6" s="30" t="s">
        <v>98</v>
      </c>
      <c r="BZ6" s="30" t="s">
        <v>99</v>
      </c>
      <c r="CA6" s="30" t="s">
        <v>100</v>
      </c>
      <c r="CB6" s="30" t="s">
        <v>101</v>
      </c>
      <c r="CC6" s="30" t="s">
        <v>102</v>
      </c>
      <c r="CD6" s="30" t="s">
        <v>103</v>
      </c>
      <c r="CE6" s="30" t="s">
        <v>104</v>
      </c>
      <c r="CF6" s="31" t="s">
        <v>105</v>
      </c>
      <c r="CG6" s="31" t="s">
        <v>106</v>
      </c>
      <c r="CH6" s="31" t="s">
        <v>107</v>
      </c>
      <c r="CI6" s="31" t="s">
        <v>108</v>
      </c>
      <c r="CJ6" s="31" t="s">
        <v>109</v>
      </c>
      <c r="CK6" s="31" t="s">
        <v>110</v>
      </c>
      <c r="CL6" s="31" t="s">
        <v>111</v>
      </c>
      <c r="CM6" s="31" t="s">
        <v>112</v>
      </c>
      <c r="CN6" s="31" t="s">
        <v>113</v>
      </c>
      <c r="CO6" s="31" t="s">
        <v>114</v>
      </c>
      <c r="CP6" s="31" t="s">
        <v>115</v>
      </c>
      <c r="CQ6" s="31" t="s">
        <v>116</v>
      </c>
      <c r="CR6" s="31" t="s">
        <v>117</v>
      </c>
      <c r="CS6" s="31" t="s">
        <v>118</v>
      </c>
      <c r="CT6" s="31" t="s">
        <v>119</v>
      </c>
      <c r="CU6" s="31" t="s">
        <v>120</v>
      </c>
      <c r="CV6" s="31" t="s">
        <v>121</v>
      </c>
      <c r="CW6" s="31" t="s">
        <v>122</v>
      </c>
      <c r="CX6" s="31" t="s">
        <v>123</v>
      </c>
      <c r="CY6" s="31" t="s">
        <v>124</v>
      </c>
      <c r="CZ6" s="31" t="s">
        <v>125</v>
      </c>
      <c r="DA6" s="31" t="s">
        <v>126</v>
      </c>
      <c r="DB6" s="31" t="s">
        <v>127</v>
      </c>
      <c r="DC6" s="31" t="s">
        <v>128</v>
      </c>
      <c r="DD6" s="31" t="s">
        <v>129</v>
      </c>
      <c r="DE6" s="31" t="s">
        <v>130</v>
      </c>
      <c r="DF6" s="32" t="s">
        <v>131</v>
      </c>
      <c r="DG6" s="32" t="s">
        <v>132</v>
      </c>
      <c r="DH6" s="32" t="s">
        <v>133</v>
      </c>
      <c r="DI6" s="32" t="s">
        <v>134</v>
      </c>
      <c r="DJ6" s="33" t="s">
        <v>135</v>
      </c>
      <c r="DK6" s="34" t="s">
        <v>136</v>
      </c>
      <c r="DL6" s="35" t="s">
        <v>137</v>
      </c>
      <c r="DM6" s="36" t="s">
        <v>6</v>
      </c>
      <c r="DN6" s="36" t="s">
        <v>138</v>
      </c>
      <c r="DO6" s="36" t="s">
        <v>7</v>
      </c>
      <c r="DP6" s="36" t="s">
        <v>139</v>
      </c>
      <c r="DQ6" s="36" t="s">
        <v>8</v>
      </c>
      <c r="DR6" s="36" t="s">
        <v>140</v>
      </c>
      <c r="DS6" s="36" t="s">
        <v>9</v>
      </c>
      <c r="DT6" s="36" t="s">
        <v>141</v>
      </c>
      <c r="DU6" s="37" t="s">
        <v>10</v>
      </c>
      <c r="DV6" s="37" t="s">
        <v>142</v>
      </c>
      <c r="DW6" s="38" t="s">
        <v>11</v>
      </c>
      <c r="DX6" s="39" t="s">
        <v>143</v>
      </c>
      <c r="DY6" s="38" t="s">
        <v>12</v>
      </c>
      <c r="DZ6" s="39" t="s">
        <v>144</v>
      </c>
      <c r="EA6" s="38" t="s">
        <v>13</v>
      </c>
      <c r="EB6" s="39" t="s">
        <v>145</v>
      </c>
      <c r="EC6" s="38" t="s">
        <v>14</v>
      </c>
      <c r="ED6" s="39" t="s">
        <v>146</v>
      </c>
      <c r="EE6" s="38" t="s">
        <v>15</v>
      </c>
      <c r="EF6" s="39" t="s">
        <v>147</v>
      </c>
      <c r="EG6" s="40" t="s">
        <v>16</v>
      </c>
      <c r="EH6" s="40" t="s">
        <v>148</v>
      </c>
      <c r="EI6" s="40" t="s">
        <v>17</v>
      </c>
      <c r="EJ6" s="40" t="s">
        <v>149</v>
      </c>
      <c r="EK6" s="40" t="s">
        <v>18</v>
      </c>
      <c r="EL6" s="40" t="s">
        <v>150</v>
      </c>
      <c r="EM6" s="40" t="s">
        <v>19</v>
      </c>
      <c r="EN6" s="40" t="s">
        <v>151</v>
      </c>
      <c r="EO6" s="41" t="s">
        <v>20</v>
      </c>
      <c r="EP6" s="41" t="s">
        <v>152</v>
      </c>
      <c r="EQ6" s="42" t="s">
        <v>21</v>
      </c>
      <c r="ER6" s="42" t="s">
        <v>153</v>
      </c>
    </row>
    <row r="7" spans="1:148" s="22" customFormat="1" ht="24.95" customHeight="1" x14ac:dyDescent="0.25">
      <c r="A7" s="13">
        <v>1</v>
      </c>
      <c r="B7" s="44" t="s">
        <v>154</v>
      </c>
      <c r="C7" s="15" t="s">
        <v>5</v>
      </c>
      <c r="D7" s="16">
        <f t="shared" ref="D7:D28" si="0">MIN(G7:CZ7)</f>
        <v>0</v>
      </c>
      <c r="E7" s="16">
        <f t="shared" ref="E7:E28" si="1">AVERAGE(G7:CZ7)</f>
        <v>0.15816326530612246</v>
      </c>
      <c r="F7" s="17">
        <f t="shared" ref="F7:F28" si="2">MAX(G7:CZ7)</f>
        <v>0.25</v>
      </c>
      <c r="G7" s="45">
        <v>0</v>
      </c>
      <c r="H7" s="46">
        <v>0.25</v>
      </c>
      <c r="I7" s="46">
        <v>0.25</v>
      </c>
      <c r="J7" s="46">
        <v>0.25</v>
      </c>
      <c r="K7" s="46">
        <v>0.25</v>
      </c>
      <c r="L7" s="47">
        <v>0</v>
      </c>
      <c r="M7" s="47">
        <v>0</v>
      </c>
      <c r="N7" s="46">
        <v>0.25</v>
      </c>
      <c r="O7" s="46">
        <v>0.25</v>
      </c>
      <c r="P7" s="46">
        <v>0.25</v>
      </c>
      <c r="Q7" s="46">
        <v>0.25</v>
      </c>
      <c r="R7" s="46">
        <v>0.25</v>
      </c>
      <c r="S7" s="47">
        <v>0</v>
      </c>
      <c r="T7" s="47">
        <v>0</v>
      </c>
      <c r="U7" s="46">
        <v>0.25</v>
      </c>
      <c r="V7" s="46">
        <v>0.25</v>
      </c>
      <c r="W7" s="46">
        <v>0.25</v>
      </c>
      <c r="X7" s="46">
        <v>0.25</v>
      </c>
      <c r="Y7" s="47">
        <v>0</v>
      </c>
      <c r="Z7" s="47">
        <v>0</v>
      </c>
      <c r="AA7" s="47">
        <v>0</v>
      </c>
      <c r="AB7" s="47">
        <v>0</v>
      </c>
      <c r="AC7" s="46">
        <v>0.25</v>
      </c>
      <c r="AD7" s="46">
        <v>0.25</v>
      </c>
      <c r="AE7" s="46">
        <v>0.25</v>
      </c>
      <c r="AF7" s="46">
        <v>0.25</v>
      </c>
      <c r="AG7" s="47">
        <v>0</v>
      </c>
      <c r="AH7" s="47">
        <v>0</v>
      </c>
      <c r="AI7" s="46">
        <v>0.25</v>
      </c>
      <c r="AJ7" s="46">
        <v>0.25</v>
      </c>
      <c r="AK7" s="46">
        <v>0.25</v>
      </c>
      <c r="AL7" s="46">
        <v>0.25</v>
      </c>
      <c r="AM7" s="46">
        <v>0.25</v>
      </c>
      <c r="AN7" s="47">
        <v>0</v>
      </c>
      <c r="AO7" s="47">
        <v>0</v>
      </c>
      <c r="AP7" s="47">
        <v>0</v>
      </c>
      <c r="AQ7" s="47">
        <v>0</v>
      </c>
      <c r="AR7" s="46">
        <v>0.25</v>
      </c>
      <c r="AS7" s="46">
        <v>0.25</v>
      </c>
      <c r="AT7" s="46">
        <v>0.25</v>
      </c>
      <c r="AU7" s="47">
        <v>0</v>
      </c>
      <c r="AV7" s="47">
        <v>0</v>
      </c>
      <c r="AW7" s="46">
        <v>0.25</v>
      </c>
      <c r="AX7" s="46">
        <v>0.25</v>
      </c>
      <c r="AY7" s="46">
        <v>0.25</v>
      </c>
      <c r="AZ7" s="46">
        <v>0.25</v>
      </c>
      <c r="BA7" s="47">
        <v>0</v>
      </c>
      <c r="BB7" s="47">
        <v>0</v>
      </c>
      <c r="BC7" s="47">
        <v>0</v>
      </c>
      <c r="BD7" s="46">
        <v>0.25</v>
      </c>
      <c r="BE7" s="46">
        <v>0.25</v>
      </c>
      <c r="BF7" s="46">
        <v>0.25</v>
      </c>
      <c r="BG7" s="46">
        <v>0.25</v>
      </c>
      <c r="BH7" s="46">
        <v>0.25</v>
      </c>
      <c r="BI7" s="47">
        <v>0</v>
      </c>
      <c r="BJ7" s="47">
        <v>0</v>
      </c>
      <c r="BK7" s="46">
        <v>0.25</v>
      </c>
      <c r="BL7" s="46">
        <v>0.25</v>
      </c>
      <c r="BM7" s="46">
        <v>0.25</v>
      </c>
      <c r="BN7" s="46">
        <v>0.25</v>
      </c>
      <c r="BO7" s="46">
        <v>0.25</v>
      </c>
      <c r="BP7" s="47">
        <v>0</v>
      </c>
      <c r="BQ7" s="47">
        <v>0</v>
      </c>
      <c r="BR7" s="46">
        <v>0.25</v>
      </c>
      <c r="BS7" s="46">
        <v>0.25</v>
      </c>
      <c r="BT7" s="46">
        <v>0.25</v>
      </c>
      <c r="BU7" s="46">
        <v>0.25</v>
      </c>
      <c r="BV7" s="46">
        <v>0.25</v>
      </c>
      <c r="BW7" s="47">
        <v>0</v>
      </c>
      <c r="BX7" s="47">
        <v>0</v>
      </c>
      <c r="BY7" s="46">
        <v>0.25</v>
      </c>
      <c r="BZ7" s="46">
        <v>0.25</v>
      </c>
      <c r="CA7" s="46">
        <v>0.25</v>
      </c>
      <c r="CB7" s="46">
        <v>0.25</v>
      </c>
      <c r="CC7" s="46">
        <v>0.25</v>
      </c>
      <c r="CD7" s="47">
        <v>0</v>
      </c>
      <c r="CE7" s="47">
        <v>0</v>
      </c>
      <c r="CF7" s="46">
        <v>0.25</v>
      </c>
      <c r="CG7" s="46">
        <v>0.25</v>
      </c>
      <c r="CH7" s="46">
        <v>0.25</v>
      </c>
      <c r="CI7" s="47">
        <v>0</v>
      </c>
      <c r="CJ7" s="47">
        <v>0</v>
      </c>
      <c r="CK7" s="47">
        <v>0</v>
      </c>
      <c r="CL7" s="47">
        <v>0</v>
      </c>
      <c r="CM7" s="46">
        <v>0.25</v>
      </c>
      <c r="CN7" s="46">
        <v>0.25</v>
      </c>
      <c r="CO7" s="46">
        <v>0.25</v>
      </c>
      <c r="CP7" s="46">
        <v>0.25</v>
      </c>
      <c r="CQ7" s="46">
        <v>0.25</v>
      </c>
      <c r="CR7" s="47">
        <v>0</v>
      </c>
      <c r="CS7" s="47">
        <v>0</v>
      </c>
      <c r="CT7" s="46">
        <v>0.25</v>
      </c>
      <c r="CU7" s="46">
        <v>0.25</v>
      </c>
      <c r="CV7" s="46">
        <v>0.25</v>
      </c>
      <c r="CW7" s="46">
        <v>0.25</v>
      </c>
      <c r="CX7" s="46">
        <v>0.25</v>
      </c>
      <c r="CY7" s="47">
        <v>0</v>
      </c>
      <c r="CZ7" s="47">
        <v>0</v>
      </c>
      <c r="DA7" s="46">
        <v>0.25</v>
      </c>
      <c r="DB7" s="46">
        <v>0.25</v>
      </c>
      <c r="DC7" s="46">
        <v>0.25</v>
      </c>
      <c r="DD7" s="46">
        <v>0.25</v>
      </c>
      <c r="DE7" s="46">
        <v>0.25</v>
      </c>
      <c r="DF7" s="47">
        <v>0</v>
      </c>
      <c r="DG7" s="47">
        <v>0</v>
      </c>
      <c r="DH7" s="46">
        <v>0.25</v>
      </c>
      <c r="DI7" s="46">
        <v>0.25</v>
      </c>
      <c r="DJ7" s="46">
        <v>0.25</v>
      </c>
      <c r="DK7" s="18">
        <f>SUM(Tabela246379[[#This Row],[16-mar]:[01/jul]])</f>
        <v>17.5</v>
      </c>
      <c r="DL7" s="48">
        <f>Tabela246379[[#This Row],[Dias]]*8</f>
        <v>140</v>
      </c>
      <c r="DM7" s="49">
        <f>SUM(Tabela246379[[#This Row],[16-mar]:[20-mar]])</f>
        <v>1</v>
      </c>
      <c r="DN7" s="50">
        <f>Tabela246379[[#This Row],[16/03 - 20/03]]*8.8</f>
        <v>8.8000000000000007</v>
      </c>
      <c r="DO7" s="49">
        <f>SUM(Tabela246379[[#This Row],[23-mar]:[27-mar]])</f>
        <v>1.25</v>
      </c>
      <c r="DP7" s="50">
        <f>Tabela246379[[#This Row],[23/03 - 27/03]]*8.8</f>
        <v>11</v>
      </c>
      <c r="DQ7" s="49">
        <f>SUM(Tabela246379[[#This Row],[30-mar]:[2-abr]])</f>
        <v>1</v>
      </c>
      <c r="DR7" s="50">
        <f>Tabela246379[[#This Row],[30/03 - 02/04]]*8.8</f>
        <v>8.8000000000000007</v>
      </c>
      <c r="DS7" s="49">
        <f>SUM(Tabela246379[[#This Row],[7-abr]:[10-abr]])</f>
        <v>1</v>
      </c>
      <c r="DT7" s="50">
        <f>Tabela246379[[#This Row],[07/04 - 10/04]]*8.8</f>
        <v>8.8000000000000007</v>
      </c>
      <c r="DU7" s="51">
        <f>SUM(Tabela246379[[#This Row],[13-abr]:[17-abr]])</f>
        <v>1.25</v>
      </c>
      <c r="DV7" s="52">
        <f>Tabela246379[[#This Row],[13/04 - 17/04]]*8.8</f>
        <v>11</v>
      </c>
      <c r="DW7" s="53">
        <f>SUM(Tabela246379[[#This Row],[22-abr]:[24-abr]])</f>
        <v>0.75</v>
      </c>
      <c r="DX7" s="54">
        <f>Tabela246379[[#This Row],[22/04 - 24/04]]*8.8</f>
        <v>6.6000000000000005</v>
      </c>
      <c r="DY7" s="53">
        <f>SUM(Tabela246379[[#This Row],[27-abr]:[30-abr]])</f>
        <v>1</v>
      </c>
      <c r="DZ7" s="54">
        <f>Tabela246379[[#This Row],[27/04 - 30/04]]*8.8</f>
        <v>8.8000000000000007</v>
      </c>
      <c r="EA7" s="53">
        <f>SUM(Tabela246379[[#This Row],[4-mai]:[8-mai]])</f>
        <v>1.25</v>
      </c>
      <c r="EB7" s="54">
        <f>Tabela246379[[#This Row],[04/05 - 08/05]]*8.8</f>
        <v>11</v>
      </c>
      <c r="EC7" s="53">
        <f>SUM(Tabela246379[[#This Row],[11-mai]:[15-mai]])</f>
        <v>1.25</v>
      </c>
      <c r="ED7" s="55">
        <f>Tabela246379[[#This Row],[11/05 - 15/05]]*8.8</f>
        <v>11</v>
      </c>
      <c r="EE7" s="53">
        <f>SUM(Tabela246379[[#This Row],[18-mai]:[22-mai]])</f>
        <v>1.25</v>
      </c>
      <c r="EF7" s="51">
        <f>Tabela246379[[#This Row],[18/05 - 22/05]]*8.8</f>
        <v>11</v>
      </c>
      <c r="EG7" s="56">
        <f>SUM(Tabela246379[[#This Row],[25-mai]:[29-mai]])</f>
        <v>1.25</v>
      </c>
      <c r="EH7" s="57">
        <f>Tabela246379[[#This Row],[25/05 - 29/05]]*8.8</f>
        <v>11</v>
      </c>
      <c r="EI7" s="56">
        <f>SUM(Tabela246379[[#This Row],[1-jun]:[3-jun]])</f>
        <v>0.75</v>
      </c>
      <c r="EJ7" s="57">
        <f>Tabela246379[[#This Row],[01/06 - 03/06]]*8.8</f>
        <v>6.6000000000000005</v>
      </c>
      <c r="EK7" s="56">
        <f>SUM(Tabela246379[[#This Row],[8-jun]:[12-jun]])</f>
        <v>1.25</v>
      </c>
      <c r="EL7" s="57">
        <f>Tabela246379[[#This Row],[08/06 - 12/06]]*8.8</f>
        <v>11</v>
      </c>
      <c r="EM7" s="56">
        <f>SUM(Tabela246379[[#This Row],[15-jun]:[19-jun]])</f>
        <v>1.25</v>
      </c>
      <c r="EN7" s="57">
        <f>Tabela246379[[#This Row],[15/06 - 19/06]]*8.8</f>
        <v>11</v>
      </c>
      <c r="EO7" s="56">
        <f>SUM(Tabela246379[[#This Row],[22-jun]:[26-jun]])</f>
        <v>1.25</v>
      </c>
      <c r="EP7" s="57">
        <f>Tabela246379[[#This Row],[22/06 - 26/06]]*8.8</f>
        <v>11</v>
      </c>
      <c r="EQ7" s="56">
        <f>SUM(Tabela246379[[#This Row],[29/jun]:[01/jul]])</f>
        <v>0.75</v>
      </c>
      <c r="ER7" s="57">
        <f>Tabela246379[[#This Row],[29/06 - 01/07]]*8.8</f>
        <v>6.6000000000000005</v>
      </c>
    </row>
    <row r="8" spans="1:148" s="43" customFormat="1" ht="24.95" customHeight="1" thickBot="1" x14ac:dyDescent="0.3">
      <c r="A8" s="58"/>
      <c r="B8" s="59"/>
      <c r="C8" s="60" t="s">
        <v>155</v>
      </c>
      <c r="D8" s="61">
        <f t="shared" si="0"/>
        <v>0</v>
      </c>
      <c r="E8" s="61">
        <f t="shared" si="1"/>
        <v>0.43677419354838704</v>
      </c>
      <c r="F8" s="62">
        <f t="shared" si="2"/>
        <v>0.75</v>
      </c>
      <c r="G8" s="63"/>
      <c r="H8" s="64">
        <v>0.75</v>
      </c>
      <c r="I8" s="64">
        <v>0.5</v>
      </c>
      <c r="J8" s="64">
        <v>0.5</v>
      </c>
      <c r="K8" s="64">
        <v>0.38</v>
      </c>
      <c r="L8" s="65"/>
      <c r="M8" s="65"/>
      <c r="N8" s="66">
        <v>0.5</v>
      </c>
      <c r="O8" s="66">
        <v>0.5</v>
      </c>
      <c r="P8" s="66">
        <v>0.5</v>
      </c>
      <c r="Q8" s="66">
        <v>0.5</v>
      </c>
      <c r="R8" s="66">
        <v>0.38</v>
      </c>
      <c r="S8" s="65"/>
      <c r="T8" s="65"/>
      <c r="U8" s="64">
        <v>0.68</v>
      </c>
      <c r="V8" s="64">
        <v>0.68</v>
      </c>
      <c r="W8" s="64">
        <v>0.68</v>
      </c>
      <c r="X8" s="64">
        <v>0.68</v>
      </c>
      <c r="Y8" s="65"/>
      <c r="Z8" s="65"/>
      <c r="AA8" s="65"/>
      <c r="AB8" s="65"/>
      <c r="AC8" s="47">
        <v>0</v>
      </c>
      <c r="AD8" s="64">
        <v>0.5</v>
      </c>
      <c r="AE8" s="64">
        <v>0.25</v>
      </c>
      <c r="AF8" s="64">
        <v>0.63</v>
      </c>
      <c r="AG8" s="65"/>
      <c r="AH8" s="65"/>
      <c r="AI8" s="64">
        <v>0.68</v>
      </c>
      <c r="AJ8" s="64">
        <v>0.34</v>
      </c>
      <c r="AK8" s="64">
        <v>0.11</v>
      </c>
      <c r="AL8" s="64">
        <v>0.34</v>
      </c>
      <c r="AM8" s="64">
        <v>0.45</v>
      </c>
      <c r="AN8" s="65"/>
      <c r="AO8" s="65"/>
      <c r="AP8" s="65"/>
      <c r="AQ8" s="65"/>
      <c r="AR8" s="47">
        <v>0.34</v>
      </c>
      <c r="AS8" s="47">
        <v>0.34</v>
      </c>
      <c r="AT8" s="47">
        <v>0.34</v>
      </c>
      <c r="AU8" s="65"/>
      <c r="AV8" s="65"/>
      <c r="AW8" s="64">
        <v>0.34</v>
      </c>
      <c r="AX8" s="64">
        <v>0.34</v>
      </c>
      <c r="AY8" s="64">
        <v>0.34</v>
      </c>
      <c r="AZ8" s="64">
        <v>0.34</v>
      </c>
      <c r="BA8" s="65"/>
      <c r="BB8" s="65"/>
      <c r="BC8" s="65"/>
      <c r="BD8" s="64">
        <v>0.34</v>
      </c>
      <c r="BE8" s="64">
        <v>0.34</v>
      </c>
      <c r="BF8" s="64">
        <v>0.34</v>
      </c>
      <c r="BG8" s="64">
        <v>0.34</v>
      </c>
      <c r="BH8" s="64">
        <v>0.34</v>
      </c>
      <c r="BI8" s="65"/>
      <c r="BJ8" s="65"/>
      <c r="BK8" s="64">
        <v>0.34</v>
      </c>
      <c r="BL8" s="64">
        <v>0.34</v>
      </c>
      <c r="BM8" s="64">
        <v>0.34</v>
      </c>
      <c r="BN8" s="64">
        <v>0.34</v>
      </c>
      <c r="BO8" s="64">
        <v>0.34</v>
      </c>
      <c r="BP8" s="65"/>
      <c r="BQ8" s="65"/>
      <c r="BR8" s="64">
        <v>0.34</v>
      </c>
      <c r="BS8" s="64">
        <v>0.34</v>
      </c>
      <c r="BT8" s="64">
        <v>0.34</v>
      </c>
      <c r="BU8" s="64">
        <v>0.5</v>
      </c>
      <c r="BV8" s="64">
        <v>0.5</v>
      </c>
      <c r="BW8" s="65"/>
      <c r="BX8" s="65"/>
      <c r="BY8" s="64">
        <v>0.5</v>
      </c>
      <c r="BZ8" s="64">
        <v>0.5</v>
      </c>
      <c r="CA8" s="64">
        <v>0.5</v>
      </c>
      <c r="CB8" s="64">
        <v>0.5</v>
      </c>
      <c r="CC8" s="64">
        <v>0.5</v>
      </c>
      <c r="CD8" s="65"/>
      <c r="CE8" s="65"/>
      <c r="CF8" s="64">
        <v>0.5</v>
      </c>
      <c r="CG8" s="64">
        <v>0.5</v>
      </c>
      <c r="CH8" s="64">
        <v>0.5</v>
      </c>
      <c r="CI8" s="65"/>
      <c r="CJ8" s="65"/>
      <c r="CK8" s="65"/>
      <c r="CL8" s="65"/>
      <c r="CM8" s="64">
        <v>0.25</v>
      </c>
      <c r="CN8" s="64">
        <v>0.5</v>
      </c>
      <c r="CO8" s="64">
        <v>0.5</v>
      </c>
      <c r="CP8" s="64">
        <v>0.5</v>
      </c>
      <c r="CQ8" s="64">
        <v>0.5</v>
      </c>
      <c r="CR8" s="65"/>
      <c r="CS8" s="65"/>
      <c r="CT8" s="64">
        <v>0.5</v>
      </c>
      <c r="CU8" s="64">
        <v>0.5</v>
      </c>
      <c r="CV8" s="64">
        <v>0.5</v>
      </c>
      <c r="CW8" s="64">
        <v>0.5</v>
      </c>
      <c r="CX8" s="64">
        <v>0.5</v>
      </c>
      <c r="CY8" s="65"/>
      <c r="CZ8" s="65"/>
      <c r="DA8" s="64">
        <v>0.5</v>
      </c>
      <c r="DB8" s="64">
        <v>0.5</v>
      </c>
      <c r="DC8" s="64">
        <v>0.5</v>
      </c>
      <c r="DD8" s="64">
        <v>1.5</v>
      </c>
      <c r="DE8" s="64">
        <v>1.5</v>
      </c>
      <c r="DF8" s="65"/>
      <c r="DG8" s="65"/>
      <c r="DH8" s="64"/>
      <c r="DI8" s="64"/>
      <c r="DJ8" s="64"/>
      <c r="DK8" s="18">
        <f>SUM(Tabela246379[[#This Row],[16-mar]:[01/jul]])</f>
        <v>31.579999999999995</v>
      </c>
      <c r="DL8" s="48">
        <f>Tabela246379[[#This Row],[Dias]]*8</f>
        <v>252.63999999999996</v>
      </c>
      <c r="DM8" s="49">
        <f>SUM(Tabela246379[[#This Row],[16-mar]:[20-mar]])</f>
        <v>2.13</v>
      </c>
      <c r="DN8" s="50">
        <f>Tabela246379[[#This Row],[16/03 - 20/03]]*8.8</f>
        <v>18.744</v>
      </c>
      <c r="DO8" s="49">
        <f>SUM(Tabela246379[[#This Row],[23-mar]:[27-mar]])</f>
        <v>2.38</v>
      </c>
      <c r="DP8" s="67">
        <f>Tabela246379[[#This Row],[23/03 - 27/03]]*8.8</f>
        <v>20.943999999999999</v>
      </c>
      <c r="DQ8" s="49">
        <f>SUM(Tabela246379[[#This Row],[30-mar]:[2-abr]])</f>
        <v>2.72</v>
      </c>
      <c r="DR8" s="67">
        <f>Tabela246379[[#This Row],[30/03 - 02/04]]*8.8</f>
        <v>23.936000000000003</v>
      </c>
      <c r="DS8" s="49">
        <f>SUM(Tabela246379[[#This Row],[7-abr]:[10-abr]])</f>
        <v>1.38</v>
      </c>
      <c r="DT8" s="67">
        <f>Tabela246379[[#This Row],[07/04 - 10/04]]*8.8</f>
        <v>12.144</v>
      </c>
      <c r="DU8" s="68">
        <f>SUM(Tabela246379[[#This Row],[13-abr]:[17-abr]])</f>
        <v>1.9200000000000002</v>
      </c>
      <c r="DV8" s="69">
        <f>Tabela246379[[#This Row],[13/04 - 17/04]]*8.8</f>
        <v>16.896000000000004</v>
      </c>
      <c r="DW8" s="49">
        <f>SUM(Tabela246379[[#This Row],[22-abr]:[24-abr]])</f>
        <v>1.02</v>
      </c>
      <c r="DX8" s="67">
        <f>Tabela246379[[#This Row],[22/04 - 24/04]]*8.8</f>
        <v>8.9760000000000009</v>
      </c>
      <c r="DY8" s="49">
        <f>SUM(Tabela246379[[#This Row],[27-abr]:[30-abr]])</f>
        <v>1.36</v>
      </c>
      <c r="DZ8" s="67">
        <f>Tabela246379[[#This Row],[27/04 - 30/04]]*8.8</f>
        <v>11.968000000000002</v>
      </c>
      <c r="EA8" s="49">
        <f>SUM(Tabela246379[[#This Row],[4-mai]:[8-mai]])</f>
        <v>1.7000000000000002</v>
      </c>
      <c r="EB8" s="67">
        <f>Tabela246379[[#This Row],[04/05 - 08/05]]*8.8</f>
        <v>14.960000000000003</v>
      </c>
      <c r="EC8" s="49">
        <f>SUM(Tabela246379[[#This Row],[11-mai]:[15-mai]])</f>
        <v>1.7000000000000002</v>
      </c>
      <c r="ED8" s="70">
        <f>Tabela246379[[#This Row],[11/05 - 15/05]]*8.8</f>
        <v>14.960000000000003</v>
      </c>
      <c r="EE8" s="49">
        <f>SUM(Tabela246379[[#This Row],[18-mai]:[22-mai]])</f>
        <v>2.02</v>
      </c>
      <c r="EF8" s="68">
        <f>Tabela246379[[#This Row],[18/05 - 22/05]]*8.8</f>
        <v>17.776000000000003</v>
      </c>
      <c r="EG8" s="49">
        <f>SUM(Tabela246379[[#This Row],[25-mai]:[29-mai]])</f>
        <v>2.5</v>
      </c>
      <c r="EH8" s="70">
        <f>Tabela246379[[#This Row],[25/05 - 29/05]]*8.8</f>
        <v>22</v>
      </c>
      <c r="EI8" s="49">
        <f>SUM(Tabela246379[[#This Row],[1-jun]:[3-jun]])</f>
        <v>1.5</v>
      </c>
      <c r="EJ8" s="70">
        <f>Tabela246379[[#This Row],[01/06 - 03/06]]*8.8</f>
        <v>13.200000000000001</v>
      </c>
      <c r="EK8" s="49">
        <f>SUM(Tabela246379[[#This Row],[8-jun]:[12-jun]])</f>
        <v>2.25</v>
      </c>
      <c r="EL8" s="70">
        <f>Tabela246379[[#This Row],[08/06 - 12/06]]*8.8</f>
        <v>19.8</v>
      </c>
      <c r="EM8" s="49">
        <f>SUM(Tabela246379[[#This Row],[15-jun]:[19-jun]])</f>
        <v>2.5</v>
      </c>
      <c r="EN8" s="70">
        <f>Tabela246379[[#This Row],[15/06 - 19/06]]*8.8</f>
        <v>22</v>
      </c>
      <c r="EO8" s="49">
        <f>SUM(Tabela246379[[#This Row],[22-jun]:[26-jun]])</f>
        <v>4.5</v>
      </c>
      <c r="EP8" s="70">
        <f>Tabela246379[[#This Row],[22/06 - 26/06]]*8.8</f>
        <v>39.6</v>
      </c>
      <c r="EQ8" s="49">
        <f>SUM(Tabela246379[[#This Row],[29/jun]:[01/jul]])</f>
        <v>0</v>
      </c>
      <c r="ER8" s="70">
        <f>Tabela246379[[#This Row],[29/06 - 01/07]]*8.8</f>
        <v>0</v>
      </c>
    </row>
    <row r="9" spans="1:148" s="22" customFormat="1" ht="24.95" customHeight="1" x14ac:dyDescent="0.25">
      <c r="A9" s="58">
        <v>2</v>
      </c>
      <c r="B9" s="44" t="s">
        <v>156</v>
      </c>
      <c r="C9" s="71" t="s">
        <v>5</v>
      </c>
      <c r="D9" s="72">
        <f t="shared" si="0"/>
        <v>0</v>
      </c>
      <c r="E9" s="72">
        <f t="shared" si="1"/>
        <v>0.15816326530612246</v>
      </c>
      <c r="F9" s="73">
        <f t="shared" si="2"/>
        <v>0.25</v>
      </c>
      <c r="G9" s="74">
        <v>0</v>
      </c>
      <c r="H9" s="46">
        <v>0.25</v>
      </c>
      <c r="I9" s="46">
        <v>0.25</v>
      </c>
      <c r="J9" s="46">
        <v>0.25</v>
      </c>
      <c r="K9" s="46">
        <v>0.25</v>
      </c>
      <c r="L9" s="47">
        <v>0</v>
      </c>
      <c r="M9" s="47">
        <v>0</v>
      </c>
      <c r="N9" s="46">
        <v>0.25</v>
      </c>
      <c r="O9" s="46">
        <v>0.25</v>
      </c>
      <c r="P9" s="46">
        <v>0.25</v>
      </c>
      <c r="Q9" s="46">
        <v>0.25</v>
      </c>
      <c r="R9" s="46">
        <v>0.25</v>
      </c>
      <c r="S9" s="47">
        <v>0</v>
      </c>
      <c r="T9" s="47">
        <v>0</v>
      </c>
      <c r="U9" s="46">
        <v>0.25</v>
      </c>
      <c r="V9" s="46">
        <v>0.25</v>
      </c>
      <c r="W9" s="46">
        <v>0.25</v>
      </c>
      <c r="X9" s="46">
        <v>0.25</v>
      </c>
      <c r="Y9" s="47">
        <v>0</v>
      </c>
      <c r="Z9" s="47">
        <v>0</v>
      </c>
      <c r="AA9" s="47">
        <v>0</v>
      </c>
      <c r="AB9" s="47">
        <v>0</v>
      </c>
      <c r="AC9" s="46">
        <v>0.25</v>
      </c>
      <c r="AD9" s="46">
        <v>0.25</v>
      </c>
      <c r="AE9" s="46">
        <v>0.25</v>
      </c>
      <c r="AF9" s="46">
        <v>0.25</v>
      </c>
      <c r="AG9" s="47">
        <v>0</v>
      </c>
      <c r="AH9" s="47">
        <v>0</v>
      </c>
      <c r="AI9" s="46">
        <v>0.25</v>
      </c>
      <c r="AJ9" s="46">
        <v>0.25</v>
      </c>
      <c r="AK9" s="46">
        <v>0.25</v>
      </c>
      <c r="AL9" s="46">
        <v>0.25</v>
      </c>
      <c r="AM9" s="46">
        <v>0.25</v>
      </c>
      <c r="AN9" s="47">
        <v>0</v>
      </c>
      <c r="AO9" s="47">
        <v>0</v>
      </c>
      <c r="AP9" s="47">
        <v>0</v>
      </c>
      <c r="AQ9" s="47">
        <v>0</v>
      </c>
      <c r="AR9" s="46">
        <v>0.25</v>
      </c>
      <c r="AS9" s="46">
        <v>0.25</v>
      </c>
      <c r="AT9" s="46">
        <v>0.25</v>
      </c>
      <c r="AU9" s="47">
        <v>0</v>
      </c>
      <c r="AV9" s="47">
        <v>0</v>
      </c>
      <c r="AW9" s="46">
        <v>0.25</v>
      </c>
      <c r="AX9" s="46">
        <v>0.25</v>
      </c>
      <c r="AY9" s="46">
        <v>0.25</v>
      </c>
      <c r="AZ9" s="46">
        <v>0.25</v>
      </c>
      <c r="BA9" s="47">
        <v>0</v>
      </c>
      <c r="BB9" s="47">
        <v>0</v>
      </c>
      <c r="BC9" s="47">
        <v>0</v>
      </c>
      <c r="BD9" s="46">
        <v>0.25</v>
      </c>
      <c r="BE9" s="46">
        <v>0.25</v>
      </c>
      <c r="BF9" s="46">
        <v>0.25</v>
      </c>
      <c r="BG9" s="46">
        <v>0.25</v>
      </c>
      <c r="BH9" s="46">
        <v>0.25</v>
      </c>
      <c r="BI9" s="47">
        <v>0</v>
      </c>
      <c r="BJ9" s="47">
        <v>0</v>
      </c>
      <c r="BK9" s="46">
        <v>0.25</v>
      </c>
      <c r="BL9" s="46">
        <v>0.25</v>
      </c>
      <c r="BM9" s="46">
        <v>0.25</v>
      </c>
      <c r="BN9" s="46">
        <v>0.25</v>
      </c>
      <c r="BO9" s="46">
        <v>0.25</v>
      </c>
      <c r="BP9" s="47">
        <v>0</v>
      </c>
      <c r="BQ9" s="47">
        <v>0</v>
      </c>
      <c r="BR9" s="46">
        <v>0.25</v>
      </c>
      <c r="BS9" s="46">
        <v>0.25</v>
      </c>
      <c r="BT9" s="46">
        <v>0.25</v>
      </c>
      <c r="BU9" s="46">
        <v>0.25</v>
      </c>
      <c r="BV9" s="46">
        <v>0.25</v>
      </c>
      <c r="BW9" s="47">
        <v>0</v>
      </c>
      <c r="BX9" s="47">
        <v>0</v>
      </c>
      <c r="BY9" s="46">
        <v>0.25</v>
      </c>
      <c r="BZ9" s="46">
        <v>0.25</v>
      </c>
      <c r="CA9" s="46">
        <v>0.25</v>
      </c>
      <c r="CB9" s="46">
        <v>0.25</v>
      </c>
      <c r="CC9" s="46">
        <v>0.25</v>
      </c>
      <c r="CD9" s="47">
        <v>0</v>
      </c>
      <c r="CE9" s="47">
        <v>0</v>
      </c>
      <c r="CF9" s="46">
        <v>0.25</v>
      </c>
      <c r="CG9" s="46">
        <v>0.25</v>
      </c>
      <c r="CH9" s="46">
        <v>0.25</v>
      </c>
      <c r="CI9" s="47">
        <v>0</v>
      </c>
      <c r="CJ9" s="47">
        <v>0</v>
      </c>
      <c r="CK9" s="47">
        <v>0</v>
      </c>
      <c r="CL9" s="47">
        <v>0</v>
      </c>
      <c r="CM9" s="46">
        <v>0.25</v>
      </c>
      <c r="CN9" s="46">
        <v>0.25</v>
      </c>
      <c r="CO9" s="46">
        <v>0.25</v>
      </c>
      <c r="CP9" s="46">
        <v>0.25</v>
      </c>
      <c r="CQ9" s="46">
        <v>0.25</v>
      </c>
      <c r="CR9" s="47">
        <v>0</v>
      </c>
      <c r="CS9" s="47">
        <v>0</v>
      </c>
      <c r="CT9" s="46">
        <v>0.25</v>
      </c>
      <c r="CU9" s="46">
        <v>0.25</v>
      </c>
      <c r="CV9" s="46">
        <v>0.25</v>
      </c>
      <c r="CW9" s="46">
        <v>0.25</v>
      </c>
      <c r="CX9" s="46">
        <v>0.25</v>
      </c>
      <c r="CY9" s="47">
        <v>0</v>
      </c>
      <c r="CZ9" s="47">
        <v>0</v>
      </c>
      <c r="DA9" s="46">
        <v>0.25</v>
      </c>
      <c r="DB9" s="46">
        <v>0.25</v>
      </c>
      <c r="DC9" s="46">
        <v>0.25</v>
      </c>
      <c r="DD9" s="46">
        <v>0.25</v>
      </c>
      <c r="DE9" s="46">
        <v>0.25</v>
      </c>
      <c r="DF9" s="47">
        <v>0</v>
      </c>
      <c r="DG9" s="47">
        <v>0</v>
      </c>
      <c r="DH9" s="46">
        <v>0.25</v>
      </c>
      <c r="DI9" s="46">
        <v>0.25</v>
      </c>
      <c r="DJ9" s="46">
        <v>0.25</v>
      </c>
      <c r="DK9" s="18">
        <f>SUM(Tabela246379[[#This Row],[16-mar]:[01/jul]])</f>
        <v>17.5</v>
      </c>
      <c r="DL9" s="48">
        <f>Tabela246379[[#This Row],[Dias]]*8</f>
        <v>140</v>
      </c>
      <c r="DM9" s="49">
        <f>SUM(Tabela246379[[#This Row],[16-mar]:[20-mar]])</f>
        <v>1</v>
      </c>
      <c r="DN9" s="50">
        <f>Tabela246379[[#This Row],[16/03 - 20/03]]*8.8</f>
        <v>8.8000000000000007</v>
      </c>
      <c r="DO9" s="53">
        <f>SUM(Tabela246379[[#This Row],[23-mar]:[27-mar]])</f>
        <v>1.25</v>
      </c>
      <c r="DP9" s="54">
        <f>Tabela246379[[#This Row],[23/03 - 27/03]]*8.8</f>
        <v>11</v>
      </c>
      <c r="DQ9" s="53">
        <f>SUM(Tabela246379[[#This Row],[30-mar]:[2-abr]])</f>
        <v>1</v>
      </c>
      <c r="DR9" s="54">
        <f>Tabela246379[[#This Row],[30/03 - 02/04]]*8.8</f>
        <v>8.8000000000000007</v>
      </c>
      <c r="DS9" s="53">
        <f>SUM(Tabela246379[[#This Row],[7-abr]:[10-abr]])</f>
        <v>1</v>
      </c>
      <c r="DT9" s="54">
        <f>Tabela246379[[#This Row],[07/04 - 10/04]]*8.8</f>
        <v>8.8000000000000007</v>
      </c>
      <c r="DU9" s="51">
        <f>SUM(Tabela246379[[#This Row],[13-abr]:[17-abr]])</f>
        <v>1.25</v>
      </c>
      <c r="DV9" s="52">
        <f>Tabela246379[[#This Row],[13/04 - 17/04]]*8.8</f>
        <v>11</v>
      </c>
      <c r="DW9" s="53">
        <f>SUM(Tabela246379[[#This Row],[22-abr]:[24-abr]])</f>
        <v>0.75</v>
      </c>
      <c r="DX9" s="54">
        <f>Tabela246379[[#This Row],[22/04 - 24/04]]*8.8</f>
        <v>6.6000000000000005</v>
      </c>
      <c r="DY9" s="53">
        <f>SUM(Tabela246379[[#This Row],[27-abr]:[30-abr]])</f>
        <v>1</v>
      </c>
      <c r="DZ9" s="54">
        <f>Tabela246379[[#This Row],[27/04 - 30/04]]*8.8</f>
        <v>8.8000000000000007</v>
      </c>
      <c r="EA9" s="53">
        <f>SUM(Tabela246379[[#This Row],[4-mai]:[8-mai]])</f>
        <v>1.25</v>
      </c>
      <c r="EB9" s="54">
        <f>Tabela246379[[#This Row],[04/05 - 08/05]]*8.8</f>
        <v>11</v>
      </c>
      <c r="EC9" s="53">
        <f>SUM(Tabela246379[[#This Row],[11-mai]:[15-mai]])</f>
        <v>1.25</v>
      </c>
      <c r="ED9" s="55">
        <f>Tabela246379[[#This Row],[11/05 - 15/05]]*8.8</f>
        <v>11</v>
      </c>
      <c r="EE9" s="53">
        <f>SUM(Tabela246379[[#This Row],[18-mai]:[22-mai]])</f>
        <v>1.25</v>
      </c>
      <c r="EF9" s="51">
        <f>Tabela246379[[#This Row],[18/05 - 22/05]]*8.8</f>
        <v>11</v>
      </c>
      <c r="EG9" s="53">
        <f>SUM(Tabela246379[[#This Row],[25-mai]:[29-mai]])</f>
        <v>1.25</v>
      </c>
      <c r="EH9" s="55">
        <f>Tabela246379[[#This Row],[25/05 - 29/05]]*8.8</f>
        <v>11</v>
      </c>
      <c r="EI9" s="53">
        <f>SUM(Tabela246379[[#This Row],[1-jun]:[3-jun]])</f>
        <v>0.75</v>
      </c>
      <c r="EJ9" s="55">
        <f>Tabela246379[[#This Row],[01/06 - 03/06]]*8.8</f>
        <v>6.6000000000000005</v>
      </c>
      <c r="EK9" s="53">
        <f>SUM(Tabela246379[[#This Row],[8-jun]:[12-jun]])</f>
        <v>1.25</v>
      </c>
      <c r="EL9" s="55">
        <f>Tabela246379[[#This Row],[08/06 - 12/06]]*8.8</f>
        <v>11</v>
      </c>
      <c r="EM9" s="53">
        <f>SUM(Tabela246379[[#This Row],[15-jun]:[19-jun]])</f>
        <v>1.25</v>
      </c>
      <c r="EN9" s="55">
        <f>Tabela246379[[#This Row],[15/06 - 19/06]]*8.8</f>
        <v>11</v>
      </c>
      <c r="EO9" s="53">
        <f>SUM(Tabela246379[[#This Row],[22-jun]:[26-jun]])</f>
        <v>1.25</v>
      </c>
      <c r="EP9" s="55">
        <f>Tabela246379[[#This Row],[22/06 - 26/06]]*8.8</f>
        <v>11</v>
      </c>
      <c r="EQ9" s="49">
        <f>SUM(Tabela246379[[#This Row],[29/jun]:[01/jul]])</f>
        <v>0.75</v>
      </c>
      <c r="ER9" s="70">
        <f>Tabela246379[[#This Row],[29/06 - 01/07]]*8.8</f>
        <v>6.6000000000000005</v>
      </c>
    </row>
    <row r="10" spans="1:148" s="43" customFormat="1" ht="24.95" customHeight="1" thickBot="1" x14ac:dyDescent="0.3">
      <c r="A10" s="58"/>
      <c r="B10" s="59"/>
      <c r="C10" s="60" t="s">
        <v>155</v>
      </c>
      <c r="D10" s="61">
        <f t="shared" si="0"/>
        <v>0</v>
      </c>
      <c r="E10" s="61">
        <f t="shared" si="1"/>
        <v>0.50555555555555554</v>
      </c>
      <c r="F10" s="62">
        <f t="shared" si="2"/>
        <v>1</v>
      </c>
      <c r="G10" s="63"/>
      <c r="H10" s="64">
        <v>0.5</v>
      </c>
      <c r="I10" s="64">
        <v>0.5</v>
      </c>
      <c r="J10" s="64">
        <v>0.5</v>
      </c>
      <c r="K10" s="64">
        <v>0.5</v>
      </c>
      <c r="L10" s="65"/>
      <c r="M10" s="65"/>
      <c r="N10" s="64"/>
      <c r="O10" s="66">
        <v>0.5</v>
      </c>
      <c r="P10" s="66">
        <v>0.5</v>
      </c>
      <c r="Q10" s="66">
        <v>0.5</v>
      </c>
      <c r="R10" s="66">
        <v>0.5</v>
      </c>
      <c r="S10" s="65"/>
      <c r="T10" s="65"/>
      <c r="U10" s="64">
        <v>0.45</v>
      </c>
      <c r="V10" s="64">
        <v>0.45</v>
      </c>
      <c r="W10" s="64">
        <v>0.45</v>
      </c>
      <c r="X10" s="64">
        <v>0.45</v>
      </c>
      <c r="Y10" s="65"/>
      <c r="Z10" s="65"/>
      <c r="AA10" s="65"/>
      <c r="AB10" s="65"/>
      <c r="AC10" s="64">
        <v>0.5</v>
      </c>
      <c r="AD10" s="64">
        <v>0.5</v>
      </c>
      <c r="AE10" s="64">
        <v>0.5</v>
      </c>
      <c r="AF10" s="64">
        <v>0.5</v>
      </c>
      <c r="AG10" s="65"/>
      <c r="AH10" s="65"/>
      <c r="AI10" s="64">
        <v>0.45</v>
      </c>
      <c r="AJ10" s="64">
        <v>0.45</v>
      </c>
      <c r="AK10" s="64">
        <v>0.45</v>
      </c>
      <c r="AL10" s="47">
        <v>0</v>
      </c>
      <c r="AM10" s="64">
        <v>0.45</v>
      </c>
      <c r="AN10" s="65"/>
      <c r="AO10" s="65"/>
      <c r="AP10" s="65"/>
      <c r="AQ10" s="65"/>
      <c r="AR10" s="47">
        <v>0.5</v>
      </c>
      <c r="AS10" s="47">
        <v>0.5</v>
      </c>
      <c r="AT10" s="47">
        <v>0.5</v>
      </c>
      <c r="AU10" s="65"/>
      <c r="AV10" s="65"/>
      <c r="AW10" s="64">
        <v>0.5</v>
      </c>
      <c r="AX10" s="64">
        <v>0.5</v>
      </c>
      <c r="AY10" s="64">
        <v>0.34</v>
      </c>
      <c r="AZ10" s="64">
        <v>0.34</v>
      </c>
      <c r="BA10" s="65"/>
      <c r="BB10" s="65"/>
      <c r="BC10" s="65"/>
      <c r="BD10" s="64">
        <v>0.34</v>
      </c>
      <c r="BE10" s="64">
        <v>0.34</v>
      </c>
      <c r="BF10" s="64">
        <v>0.34</v>
      </c>
      <c r="BG10" s="64">
        <v>0.5</v>
      </c>
      <c r="BH10" s="64">
        <v>0.5</v>
      </c>
      <c r="BI10" s="65"/>
      <c r="BJ10" s="65"/>
      <c r="BK10" s="64">
        <v>0.5</v>
      </c>
      <c r="BL10" s="64">
        <v>0.5</v>
      </c>
      <c r="BM10" s="64">
        <v>0.5</v>
      </c>
      <c r="BN10" s="64">
        <v>0.5</v>
      </c>
      <c r="BO10" s="64">
        <v>0.5</v>
      </c>
      <c r="BP10" s="65"/>
      <c r="BQ10" s="65"/>
      <c r="BR10" s="64">
        <v>0.5</v>
      </c>
      <c r="BS10" s="64">
        <v>0.5</v>
      </c>
      <c r="BT10" s="64">
        <v>0.5</v>
      </c>
      <c r="BU10" s="64">
        <v>0.5</v>
      </c>
      <c r="BV10" s="64">
        <v>1</v>
      </c>
      <c r="BW10" s="65"/>
      <c r="BX10" s="65"/>
      <c r="BY10" s="64">
        <v>1</v>
      </c>
      <c r="BZ10" s="64">
        <v>1</v>
      </c>
      <c r="CA10" s="64">
        <v>1</v>
      </c>
      <c r="CB10" s="64">
        <v>0.5</v>
      </c>
      <c r="CC10" s="64">
        <v>0.5</v>
      </c>
      <c r="CD10" s="65"/>
      <c r="CE10" s="65"/>
      <c r="CF10" s="64">
        <v>0.5</v>
      </c>
      <c r="CG10" s="64">
        <v>0.5</v>
      </c>
      <c r="CH10" s="64">
        <v>0.5</v>
      </c>
      <c r="CI10" s="65"/>
      <c r="CJ10" s="65"/>
      <c r="CK10" s="65"/>
      <c r="CL10" s="65"/>
      <c r="CM10" s="64">
        <v>0.5</v>
      </c>
      <c r="CN10" s="64">
        <v>0.5</v>
      </c>
      <c r="CO10" s="64">
        <v>0.5</v>
      </c>
      <c r="CP10" s="64"/>
      <c r="CQ10" s="64"/>
      <c r="CR10" s="65"/>
      <c r="CS10" s="65"/>
      <c r="CT10" s="64"/>
      <c r="CU10" s="64"/>
      <c r="CV10" s="64"/>
      <c r="CW10" s="64"/>
      <c r="CX10" s="64"/>
      <c r="CY10" s="65"/>
      <c r="CZ10" s="65"/>
      <c r="DA10" s="64"/>
      <c r="DB10" s="64"/>
      <c r="DC10" s="64"/>
      <c r="DD10" s="64"/>
      <c r="DE10" s="64"/>
      <c r="DF10" s="65"/>
      <c r="DG10" s="65"/>
      <c r="DH10" s="75"/>
      <c r="DI10" s="75"/>
      <c r="DJ10" s="75"/>
      <c r="DK10" s="18">
        <f>SUM(Tabela246379[[#This Row],[16-mar]:[01/jul]])</f>
        <v>27.299999999999997</v>
      </c>
      <c r="DL10" s="48">
        <f>Tabela246379[[#This Row],[Dias]]*8</f>
        <v>218.39999999999998</v>
      </c>
      <c r="DM10" s="49">
        <f>SUM(Tabela246379[[#This Row],[16-mar]:[20-mar]])</f>
        <v>2</v>
      </c>
      <c r="DN10" s="50">
        <f>Tabela246379[[#This Row],[16/03 - 20/03]]*8.8</f>
        <v>17.600000000000001</v>
      </c>
      <c r="DO10" s="49">
        <f>SUM(Tabela246379[[#This Row],[23-mar]:[27-mar]])</f>
        <v>2</v>
      </c>
      <c r="DP10" s="67">
        <f>Tabela246379[[#This Row],[23/03 - 27/03]]*8.8</f>
        <v>17.600000000000001</v>
      </c>
      <c r="DQ10" s="49">
        <f>SUM(Tabela246379[[#This Row],[30-mar]:[2-abr]])</f>
        <v>1.8</v>
      </c>
      <c r="DR10" s="67">
        <f>Tabela246379[[#This Row],[30/03 - 02/04]]*8.8</f>
        <v>15.840000000000002</v>
      </c>
      <c r="DS10" s="49">
        <f>SUM(Tabela246379[[#This Row],[7-abr]:[10-abr]])</f>
        <v>2</v>
      </c>
      <c r="DT10" s="67">
        <f>Tabela246379[[#This Row],[07/04 - 10/04]]*8.8</f>
        <v>17.600000000000001</v>
      </c>
      <c r="DU10" s="68">
        <f>SUM(Tabela246379[[#This Row],[13-abr]:[17-abr]])</f>
        <v>1.8</v>
      </c>
      <c r="DV10" s="69">
        <f>Tabela246379[[#This Row],[13/04 - 17/04]]*8.8</f>
        <v>15.840000000000002</v>
      </c>
      <c r="DW10" s="49">
        <f>SUM(Tabela246379[[#This Row],[22-abr]:[24-abr]])</f>
        <v>1.5</v>
      </c>
      <c r="DX10" s="67">
        <f>Tabela246379[[#This Row],[22/04 - 24/04]]*8.8</f>
        <v>13.200000000000001</v>
      </c>
      <c r="DY10" s="49">
        <f>SUM(Tabela246379[[#This Row],[27-abr]:[30-abr]])</f>
        <v>1.6800000000000002</v>
      </c>
      <c r="DZ10" s="67">
        <f>Tabela246379[[#This Row],[27/04 - 30/04]]*8.8</f>
        <v>14.784000000000002</v>
      </c>
      <c r="EA10" s="49">
        <f>SUM(Tabela246379[[#This Row],[4-mai]:[8-mai]])</f>
        <v>2.02</v>
      </c>
      <c r="EB10" s="67">
        <f>Tabela246379[[#This Row],[04/05 - 08/05]]*8.8</f>
        <v>17.776000000000003</v>
      </c>
      <c r="EC10" s="49">
        <f>SUM(Tabela246379[[#This Row],[11-mai]:[15-mai]])</f>
        <v>2.5</v>
      </c>
      <c r="ED10" s="70">
        <f>Tabela246379[[#This Row],[11/05 - 15/05]]*8.8</f>
        <v>22</v>
      </c>
      <c r="EE10" s="49">
        <f>SUM(Tabela246379[[#This Row],[18-mai]:[22-mai]])</f>
        <v>3</v>
      </c>
      <c r="EF10" s="68">
        <f>Tabela246379[[#This Row],[18/05 - 22/05]]*8.8</f>
        <v>26.400000000000002</v>
      </c>
      <c r="EG10" s="49">
        <f>SUM(Tabela246379[[#This Row],[25-mai]:[29-mai]])</f>
        <v>4</v>
      </c>
      <c r="EH10" s="70">
        <f>Tabela246379[[#This Row],[25/05 - 29/05]]*8.8</f>
        <v>35.200000000000003</v>
      </c>
      <c r="EI10" s="49">
        <f>SUM(Tabela246379[[#This Row],[1-jun]:[3-jun]])</f>
        <v>1.5</v>
      </c>
      <c r="EJ10" s="70">
        <f>Tabela246379[[#This Row],[01/06 - 03/06]]*8.8</f>
        <v>13.200000000000001</v>
      </c>
      <c r="EK10" s="49">
        <f>SUM(Tabela246379[[#This Row],[8-jun]:[12-jun]])</f>
        <v>1.5</v>
      </c>
      <c r="EL10" s="70">
        <f>Tabela246379[[#This Row],[08/06 - 12/06]]*8.8</f>
        <v>13.200000000000001</v>
      </c>
      <c r="EM10" s="49">
        <f>SUM(Tabela246379[[#This Row],[15-jun]:[19-jun]])</f>
        <v>0</v>
      </c>
      <c r="EN10" s="70">
        <f>Tabela246379[[#This Row],[15/06 - 19/06]]*8.8</f>
        <v>0</v>
      </c>
      <c r="EO10" s="49">
        <f>SUM(Tabela246379[[#This Row],[22-jun]:[26-jun]])</f>
        <v>0</v>
      </c>
      <c r="EP10" s="70">
        <f>Tabela246379[[#This Row],[22/06 - 26/06]]*8.8</f>
        <v>0</v>
      </c>
      <c r="EQ10" s="49">
        <f>SUM(Tabela246379[[#This Row],[29/jun]:[01/jul]])</f>
        <v>0</v>
      </c>
      <c r="ER10" s="70">
        <f>Tabela246379[[#This Row],[29/06 - 01/07]]*8.8</f>
        <v>0</v>
      </c>
    </row>
    <row r="11" spans="1:148" s="22" customFormat="1" ht="24.95" customHeight="1" x14ac:dyDescent="0.25">
      <c r="A11" s="13">
        <v>3</v>
      </c>
      <c r="B11" s="59" t="s">
        <v>157</v>
      </c>
      <c r="C11" s="76" t="s">
        <v>5</v>
      </c>
      <c r="D11" s="72">
        <f t="shared" si="0"/>
        <v>0</v>
      </c>
      <c r="E11" s="72">
        <f t="shared" si="1"/>
        <v>0.54081632653061229</v>
      </c>
      <c r="F11" s="73">
        <f t="shared" si="2"/>
        <v>1</v>
      </c>
      <c r="G11" s="74">
        <v>0</v>
      </c>
      <c r="H11" s="46">
        <v>0</v>
      </c>
      <c r="I11" s="46">
        <v>0</v>
      </c>
      <c r="J11" s="46">
        <v>0</v>
      </c>
      <c r="K11" s="46">
        <v>0</v>
      </c>
      <c r="L11" s="47">
        <v>0</v>
      </c>
      <c r="M11" s="47">
        <v>0</v>
      </c>
      <c r="N11" s="47">
        <v>1</v>
      </c>
      <c r="O11" s="47">
        <v>1</v>
      </c>
      <c r="P11" s="47">
        <v>1</v>
      </c>
      <c r="Q11" s="47">
        <v>1</v>
      </c>
      <c r="R11" s="47">
        <v>1</v>
      </c>
      <c r="S11" s="47">
        <v>0</v>
      </c>
      <c r="T11" s="47">
        <v>0</v>
      </c>
      <c r="U11" s="47">
        <v>1</v>
      </c>
      <c r="V11" s="47">
        <v>1</v>
      </c>
      <c r="W11" s="47">
        <v>1</v>
      </c>
      <c r="X11" s="47">
        <v>1</v>
      </c>
      <c r="Y11" s="47">
        <v>0</v>
      </c>
      <c r="Z11" s="47">
        <v>0</v>
      </c>
      <c r="AA11" s="47">
        <v>0</v>
      </c>
      <c r="AB11" s="47">
        <v>0</v>
      </c>
      <c r="AC11" s="47">
        <v>1</v>
      </c>
      <c r="AD11" s="47">
        <v>1</v>
      </c>
      <c r="AE11" s="47">
        <v>1</v>
      </c>
      <c r="AF11" s="47">
        <v>1</v>
      </c>
      <c r="AG11" s="47">
        <v>0</v>
      </c>
      <c r="AH11" s="47">
        <v>0</v>
      </c>
      <c r="AI11" s="47">
        <v>1</v>
      </c>
      <c r="AJ11" s="47">
        <v>1</v>
      </c>
      <c r="AK11" s="47">
        <v>1</v>
      </c>
      <c r="AL11" s="47">
        <v>1</v>
      </c>
      <c r="AM11" s="47">
        <v>1</v>
      </c>
      <c r="AN11" s="47">
        <v>0</v>
      </c>
      <c r="AO11" s="47">
        <v>0</v>
      </c>
      <c r="AP11" s="47">
        <v>0</v>
      </c>
      <c r="AQ11" s="47">
        <v>0</v>
      </c>
      <c r="AR11" s="47">
        <v>1</v>
      </c>
      <c r="AS11" s="47">
        <v>1</v>
      </c>
      <c r="AT11" s="47">
        <v>1</v>
      </c>
      <c r="AU11" s="47">
        <v>0</v>
      </c>
      <c r="AV11" s="47">
        <v>0</v>
      </c>
      <c r="AW11" s="47">
        <v>1</v>
      </c>
      <c r="AX11" s="47">
        <v>1</v>
      </c>
      <c r="AY11" s="47">
        <v>1</v>
      </c>
      <c r="AZ11" s="47">
        <v>1</v>
      </c>
      <c r="BA11" s="47">
        <v>0</v>
      </c>
      <c r="BB11" s="47">
        <v>0</v>
      </c>
      <c r="BC11" s="47">
        <v>0</v>
      </c>
      <c r="BD11" s="47">
        <v>1</v>
      </c>
      <c r="BE11" s="47">
        <v>1</v>
      </c>
      <c r="BF11" s="47">
        <v>1</v>
      </c>
      <c r="BG11" s="47">
        <v>1</v>
      </c>
      <c r="BH11" s="47">
        <v>1</v>
      </c>
      <c r="BI11" s="47">
        <v>0</v>
      </c>
      <c r="BJ11" s="47">
        <v>0</v>
      </c>
      <c r="BK11" s="47">
        <v>1</v>
      </c>
      <c r="BL11" s="47">
        <v>1</v>
      </c>
      <c r="BM11" s="47">
        <v>1</v>
      </c>
      <c r="BN11" s="47">
        <v>1</v>
      </c>
      <c r="BO11" s="47">
        <v>1</v>
      </c>
      <c r="BP11" s="47">
        <v>0</v>
      </c>
      <c r="BQ11" s="47">
        <v>0</v>
      </c>
      <c r="BR11" s="47">
        <v>1</v>
      </c>
      <c r="BS11" s="47">
        <v>1</v>
      </c>
      <c r="BT11" s="47">
        <v>1</v>
      </c>
      <c r="BU11" s="47">
        <v>1</v>
      </c>
      <c r="BV11" s="47">
        <v>1</v>
      </c>
      <c r="BW11" s="47">
        <v>0</v>
      </c>
      <c r="BX11" s="47">
        <v>0</v>
      </c>
      <c r="BY11" s="47">
        <v>1</v>
      </c>
      <c r="BZ11" s="47">
        <v>1</v>
      </c>
      <c r="CA11" s="47">
        <v>1</v>
      </c>
      <c r="CB11" s="47">
        <v>1</v>
      </c>
      <c r="CC11" s="47">
        <v>1</v>
      </c>
      <c r="CD11" s="47">
        <v>0</v>
      </c>
      <c r="CE11" s="47">
        <v>0</v>
      </c>
      <c r="CF11" s="47">
        <v>1</v>
      </c>
      <c r="CG11" s="47">
        <v>1</v>
      </c>
      <c r="CH11" s="47">
        <v>1</v>
      </c>
      <c r="CI11" s="47">
        <v>0</v>
      </c>
      <c r="CJ11" s="47">
        <v>0</v>
      </c>
      <c r="CK11" s="47">
        <v>0</v>
      </c>
      <c r="CL11" s="47">
        <v>0</v>
      </c>
      <c r="CM11" s="47">
        <v>1</v>
      </c>
      <c r="CN11" s="47">
        <v>1</v>
      </c>
      <c r="CO11" s="47">
        <v>1</v>
      </c>
      <c r="CP11" s="47">
        <v>1</v>
      </c>
      <c r="CQ11" s="47">
        <v>1</v>
      </c>
      <c r="CR11" s="47">
        <v>0</v>
      </c>
      <c r="CS11" s="47">
        <v>0</v>
      </c>
      <c r="CT11" s="47">
        <v>0</v>
      </c>
      <c r="CU11" s="47">
        <v>0</v>
      </c>
      <c r="CV11" s="47">
        <v>0</v>
      </c>
      <c r="CW11" s="47">
        <v>0</v>
      </c>
      <c r="CX11" s="47">
        <v>0</v>
      </c>
      <c r="CY11" s="47">
        <v>0</v>
      </c>
      <c r="CZ11" s="47">
        <v>0</v>
      </c>
      <c r="DA11" s="47">
        <v>0</v>
      </c>
      <c r="DB11" s="47">
        <v>0</v>
      </c>
      <c r="DC11" s="47">
        <v>0</v>
      </c>
      <c r="DD11" s="47">
        <v>0</v>
      </c>
      <c r="DE11" s="47">
        <v>0</v>
      </c>
      <c r="DF11" s="47">
        <v>0</v>
      </c>
      <c r="DG11" s="47">
        <v>0</v>
      </c>
      <c r="DH11" s="47">
        <v>0</v>
      </c>
      <c r="DI11" s="47">
        <v>0</v>
      </c>
      <c r="DJ11" s="77">
        <v>0</v>
      </c>
      <c r="DK11" s="18">
        <f>SUM(Tabela246379[[#This Row],[16-mar]:[01/jul]])</f>
        <v>53</v>
      </c>
      <c r="DL11" s="48">
        <f>Tabela246379[[#This Row],[Dias]]*8</f>
        <v>424</v>
      </c>
      <c r="DM11" s="49">
        <f>SUM(Tabela246379[[#This Row],[16-mar]:[20-mar]])</f>
        <v>0</v>
      </c>
      <c r="DN11" s="50">
        <f>Tabela246379[[#This Row],[16/03 - 20/03]]*8.8</f>
        <v>0</v>
      </c>
      <c r="DO11" s="53">
        <f>SUM(Tabela246379[[#This Row],[23-mar]:[27-mar]])</f>
        <v>5</v>
      </c>
      <c r="DP11" s="54">
        <f>Tabela246379[[#This Row],[23/03 - 27/03]]*8.8</f>
        <v>44</v>
      </c>
      <c r="DQ11" s="53">
        <f>SUM(Tabela246379[[#This Row],[30-mar]:[2-abr]])</f>
        <v>4</v>
      </c>
      <c r="DR11" s="54">
        <f>Tabela246379[[#This Row],[30/03 - 02/04]]*8.8</f>
        <v>35.200000000000003</v>
      </c>
      <c r="DS11" s="53">
        <f>SUM(Tabela246379[[#This Row],[7-abr]:[10-abr]])</f>
        <v>4</v>
      </c>
      <c r="DT11" s="54">
        <f>Tabela246379[[#This Row],[07/04 - 10/04]]*8.8</f>
        <v>35.200000000000003</v>
      </c>
      <c r="DU11" s="51">
        <f>SUM(Tabela246379[[#This Row],[13-abr]:[17-abr]])</f>
        <v>5</v>
      </c>
      <c r="DV11" s="52">
        <f>Tabela246379[[#This Row],[13/04 - 17/04]]*8.8</f>
        <v>44</v>
      </c>
      <c r="DW11" s="53">
        <f>SUM(Tabela246379[[#This Row],[22-abr]:[24-abr]])</f>
        <v>3</v>
      </c>
      <c r="DX11" s="54">
        <f>Tabela246379[[#This Row],[22/04 - 24/04]]*8.8</f>
        <v>26.400000000000002</v>
      </c>
      <c r="DY11" s="53">
        <f>SUM(Tabela246379[[#This Row],[27-abr]:[30-abr]])</f>
        <v>4</v>
      </c>
      <c r="DZ11" s="54">
        <f>Tabela246379[[#This Row],[27/04 - 30/04]]*8.8</f>
        <v>35.200000000000003</v>
      </c>
      <c r="EA11" s="53">
        <f>SUM(Tabela246379[[#This Row],[4-mai]:[8-mai]])</f>
        <v>5</v>
      </c>
      <c r="EB11" s="54">
        <f>Tabela246379[[#This Row],[04/05 - 08/05]]*8.8</f>
        <v>44</v>
      </c>
      <c r="EC11" s="53">
        <f>SUM(Tabela246379[[#This Row],[11-mai]:[15-mai]])</f>
        <v>5</v>
      </c>
      <c r="ED11" s="55">
        <f>Tabela246379[[#This Row],[11/05 - 15/05]]*8.8</f>
        <v>44</v>
      </c>
      <c r="EE11" s="53">
        <f>SUM(Tabela246379[[#This Row],[18-mai]:[22-mai]])</f>
        <v>5</v>
      </c>
      <c r="EF11" s="51">
        <f>Tabela246379[[#This Row],[18/05 - 22/05]]*8.8</f>
        <v>44</v>
      </c>
      <c r="EG11" s="53">
        <f>SUM(Tabela246379[[#This Row],[25-mai]:[29-mai]])</f>
        <v>5</v>
      </c>
      <c r="EH11" s="55">
        <f>Tabela246379[[#This Row],[25/05 - 29/05]]*8.8</f>
        <v>44</v>
      </c>
      <c r="EI11" s="53">
        <f>SUM(Tabela246379[[#This Row],[1-jun]:[3-jun]])</f>
        <v>3</v>
      </c>
      <c r="EJ11" s="55">
        <f>Tabela246379[[#This Row],[01/06 - 03/06]]*8.8</f>
        <v>26.400000000000002</v>
      </c>
      <c r="EK11" s="53">
        <f>SUM(Tabela246379[[#This Row],[8-jun]:[12-jun]])</f>
        <v>5</v>
      </c>
      <c r="EL11" s="55">
        <f>Tabela246379[[#This Row],[08/06 - 12/06]]*8.8</f>
        <v>44</v>
      </c>
      <c r="EM11" s="53">
        <f>SUM(Tabela246379[[#This Row],[15-jun]:[19-jun]])</f>
        <v>0</v>
      </c>
      <c r="EN11" s="55">
        <f>Tabela246379[[#This Row],[15/06 - 19/06]]*8.8</f>
        <v>0</v>
      </c>
      <c r="EO11" s="53">
        <f>SUM(Tabela246379[[#This Row],[22-jun]:[26-jun]])</f>
        <v>0</v>
      </c>
      <c r="EP11" s="55">
        <f>Tabela246379[[#This Row],[22/06 - 26/06]]*8.8</f>
        <v>0</v>
      </c>
      <c r="EQ11" s="49">
        <f>SUM(Tabela246379[[#This Row],[29/jun]:[01/jul]])</f>
        <v>0</v>
      </c>
      <c r="ER11" s="70">
        <f>Tabela246379[[#This Row],[29/06 - 01/07]]*8.8</f>
        <v>0</v>
      </c>
    </row>
    <row r="12" spans="1:148" s="43" customFormat="1" ht="24.95" customHeight="1" x14ac:dyDescent="0.25">
      <c r="A12" s="58"/>
      <c r="B12" s="59"/>
      <c r="C12" s="60" t="s">
        <v>155</v>
      </c>
      <c r="D12" s="61">
        <f t="shared" si="0"/>
        <v>0.8</v>
      </c>
      <c r="E12" s="61">
        <f t="shared" si="1"/>
        <v>1.0431578947368421</v>
      </c>
      <c r="F12" s="62">
        <f t="shared" si="2"/>
        <v>1.5</v>
      </c>
      <c r="G12" s="63"/>
      <c r="H12" s="64"/>
      <c r="I12" s="64"/>
      <c r="J12" s="64"/>
      <c r="K12" s="64"/>
      <c r="L12" s="65"/>
      <c r="M12" s="65"/>
      <c r="N12" s="64">
        <v>0.91</v>
      </c>
      <c r="O12" s="64">
        <v>0.91</v>
      </c>
      <c r="P12" s="64">
        <v>0.91</v>
      </c>
      <c r="Q12" s="64">
        <v>0.91</v>
      </c>
      <c r="R12" s="64">
        <v>0.91</v>
      </c>
      <c r="S12" s="65"/>
      <c r="T12" s="65"/>
      <c r="U12" s="78">
        <v>0.91</v>
      </c>
      <c r="V12" s="78">
        <v>0.91</v>
      </c>
      <c r="W12" s="78">
        <v>0.91</v>
      </c>
      <c r="X12" s="78">
        <v>0.91</v>
      </c>
      <c r="Y12" s="65"/>
      <c r="Z12" s="65"/>
      <c r="AA12" s="65"/>
      <c r="AB12" s="65"/>
      <c r="AC12" s="78">
        <v>0.91</v>
      </c>
      <c r="AD12" s="78">
        <v>0.91</v>
      </c>
      <c r="AE12" s="78">
        <v>0.91</v>
      </c>
      <c r="AF12" s="78">
        <v>0.91</v>
      </c>
      <c r="AG12" s="65"/>
      <c r="AH12" s="65"/>
      <c r="AI12" s="47">
        <v>0.91</v>
      </c>
      <c r="AJ12" s="47">
        <v>0.91</v>
      </c>
      <c r="AK12" s="47">
        <v>0.8</v>
      </c>
      <c r="AL12" s="47">
        <v>0.8</v>
      </c>
      <c r="AM12" s="47">
        <v>0.91</v>
      </c>
      <c r="AN12" s="65"/>
      <c r="AO12" s="65"/>
      <c r="AP12" s="65"/>
      <c r="AQ12" s="65"/>
      <c r="AR12" s="47">
        <v>1</v>
      </c>
      <c r="AS12" s="47">
        <v>1</v>
      </c>
      <c r="AT12" s="47">
        <v>1</v>
      </c>
      <c r="AU12" s="65"/>
      <c r="AV12" s="65"/>
      <c r="AW12" s="64">
        <v>1</v>
      </c>
      <c r="AX12" s="64">
        <v>1</v>
      </c>
      <c r="AY12" s="64">
        <v>1</v>
      </c>
      <c r="AZ12" s="64">
        <v>1</v>
      </c>
      <c r="BA12" s="65"/>
      <c r="BB12" s="65"/>
      <c r="BC12" s="65"/>
      <c r="BD12" s="64">
        <v>1.3</v>
      </c>
      <c r="BE12" s="64">
        <v>1.5</v>
      </c>
      <c r="BF12" s="64">
        <v>1.5</v>
      </c>
      <c r="BG12" s="64">
        <v>1.5</v>
      </c>
      <c r="BH12" s="64">
        <v>1.5</v>
      </c>
      <c r="BI12" s="65"/>
      <c r="BJ12" s="65"/>
      <c r="BK12" s="64">
        <v>1.5</v>
      </c>
      <c r="BL12" s="64">
        <v>1.5</v>
      </c>
      <c r="BM12" s="64">
        <v>1.5</v>
      </c>
      <c r="BN12" s="64">
        <v>1</v>
      </c>
      <c r="BO12" s="64"/>
      <c r="BP12" s="65"/>
      <c r="BQ12" s="65"/>
      <c r="BR12" s="64">
        <v>1</v>
      </c>
      <c r="BS12" s="64">
        <v>1</v>
      </c>
      <c r="BT12" s="64">
        <v>1</v>
      </c>
      <c r="BU12" s="64">
        <v>1</v>
      </c>
      <c r="BV12" s="64">
        <v>1</v>
      </c>
      <c r="BW12" s="65"/>
      <c r="BX12" s="65"/>
      <c r="BY12" s="64">
        <v>1</v>
      </c>
      <c r="BZ12" s="64">
        <v>1</v>
      </c>
      <c r="CA12" s="64">
        <v>1</v>
      </c>
      <c r="CB12" s="64">
        <v>1</v>
      </c>
      <c r="CC12" s="64">
        <v>1</v>
      </c>
      <c r="CD12" s="65"/>
      <c r="CE12" s="65"/>
      <c r="CF12" s="64">
        <v>1</v>
      </c>
      <c r="CG12" s="64">
        <v>1</v>
      </c>
      <c r="CH12" s="64">
        <v>1</v>
      </c>
      <c r="CI12" s="65"/>
      <c r="CJ12" s="65"/>
      <c r="CK12" s="65"/>
      <c r="CL12" s="65"/>
      <c r="CM12" s="64">
        <v>1</v>
      </c>
      <c r="CN12" s="64">
        <v>1.5</v>
      </c>
      <c r="CO12" s="64">
        <v>1</v>
      </c>
      <c r="CP12" s="64">
        <v>1</v>
      </c>
      <c r="CQ12" s="64">
        <v>1</v>
      </c>
      <c r="CR12" s="65"/>
      <c r="CS12" s="65"/>
      <c r="CT12" s="64">
        <v>1</v>
      </c>
      <c r="CU12" s="64">
        <v>1</v>
      </c>
      <c r="CV12" s="64">
        <v>1</v>
      </c>
      <c r="CW12" s="64">
        <v>1</v>
      </c>
      <c r="CX12" s="64">
        <v>1</v>
      </c>
      <c r="CY12" s="65"/>
      <c r="CZ12" s="65"/>
      <c r="DA12" s="64">
        <v>1</v>
      </c>
      <c r="DB12" s="64">
        <v>1</v>
      </c>
      <c r="DC12" s="64">
        <v>1</v>
      </c>
      <c r="DD12" s="64">
        <v>1</v>
      </c>
      <c r="DE12" s="64">
        <v>1</v>
      </c>
      <c r="DF12" s="65"/>
      <c r="DG12" s="65"/>
      <c r="DH12" s="75">
        <v>1</v>
      </c>
      <c r="DI12" s="75">
        <v>1</v>
      </c>
      <c r="DJ12" s="75">
        <v>1</v>
      </c>
      <c r="DK12" s="18">
        <f>SUM(Tabela246379[[#This Row],[16-mar]:[01/jul]])</f>
        <v>67.460000000000008</v>
      </c>
      <c r="DL12" s="48">
        <f>Tabela246379[[#This Row],[Dias]]*8</f>
        <v>539.68000000000006</v>
      </c>
      <c r="DM12" s="49">
        <f>SUM(Tabela246379[[#This Row],[16-mar]:[20-mar]])</f>
        <v>0</v>
      </c>
      <c r="DN12" s="50">
        <f>Tabela246379[[#This Row],[16/03 - 20/03]]*8.8</f>
        <v>0</v>
      </c>
      <c r="DO12" s="49">
        <f>SUM(Tabela246379[[#This Row],[23-mar]:[27-mar]])</f>
        <v>4.55</v>
      </c>
      <c r="DP12" s="67">
        <f>Tabela246379[[#This Row],[23/03 - 27/03]]*8.8</f>
        <v>40.04</v>
      </c>
      <c r="DQ12" s="49">
        <f>SUM(Tabela246379[[#This Row],[30-mar]:[2-abr]])</f>
        <v>3.64</v>
      </c>
      <c r="DR12" s="67">
        <f>Tabela246379[[#This Row],[30/03 - 02/04]]*8.8</f>
        <v>32.032000000000004</v>
      </c>
      <c r="DS12" s="49">
        <f>SUM(Tabela246379[[#This Row],[7-abr]:[10-abr]])</f>
        <v>3.64</v>
      </c>
      <c r="DT12" s="67">
        <f>Tabela246379[[#This Row],[07/04 - 10/04]]*8.8</f>
        <v>32.032000000000004</v>
      </c>
      <c r="DU12" s="68">
        <f>SUM(Tabela246379[[#This Row],[13-abr]:[17-abr]])</f>
        <v>4.33</v>
      </c>
      <c r="DV12" s="69">
        <f>Tabela246379[[#This Row],[13/04 - 17/04]]*8.8</f>
        <v>38.104000000000006</v>
      </c>
      <c r="DW12" s="49">
        <f>SUM(Tabela246379[[#This Row],[22-abr]:[24-abr]])</f>
        <v>3</v>
      </c>
      <c r="DX12" s="67">
        <f>Tabela246379[[#This Row],[22/04 - 24/04]]*8.8</f>
        <v>26.400000000000002</v>
      </c>
      <c r="DY12" s="49">
        <f>SUM(Tabela246379[[#This Row],[27-abr]:[30-abr]])</f>
        <v>4</v>
      </c>
      <c r="DZ12" s="67">
        <f>Tabela246379[[#This Row],[27/04 - 30/04]]*8.8</f>
        <v>35.200000000000003</v>
      </c>
      <c r="EA12" s="49">
        <f>SUM(Tabela246379[[#This Row],[4-mai]:[8-mai]])</f>
        <v>7.3</v>
      </c>
      <c r="EB12" s="67">
        <f>Tabela246379[[#This Row],[04/05 - 08/05]]*8.8</f>
        <v>64.240000000000009</v>
      </c>
      <c r="EC12" s="49">
        <f>SUM(Tabela246379[[#This Row],[11-mai]:[15-mai]])</f>
        <v>5.5</v>
      </c>
      <c r="ED12" s="70">
        <f>Tabela246379[[#This Row],[11/05 - 15/05]]*8.8</f>
        <v>48.400000000000006</v>
      </c>
      <c r="EE12" s="49">
        <f>SUM(Tabela246379[[#This Row],[18-mai]:[22-mai]])</f>
        <v>5</v>
      </c>
      <c r="EF12" s="68">
        <f>Tabela246379[[#This Row],[18/05 - 22/05]]*8.8</f>
        <v>44</v>
      </c>
      <c r="EG12" s="49">
        <f>SUM(Tabela246379[[#This Row],[25-mai]:[29-mai]])</f>
        <v>5</v>
      </c>
      <c r="EH12" s="70">
        <f>Tabela246379[[#This Row],[25/05 - 29/05]]*8.8</f>
        <v>44</v>
      </c>
      <c r="EI12" s="49">
        <f>SUM(Tabela246379[[#This Row],[1-jun]:[3-jun]])</f>
        <v>3</v>
      </c>
      <c r="EJ12" s="70">
        <f>Tabela246379[[#This Row],[01/06 - 03/06]]*8.8</f>
        <v>26.400000000000002</v>
      </c>
      <c r="EK12" s="49">
        <f>SUM(Tabela246379[[#This Row],[8-jun]:[12-jun]])</f>
        <v>5.5</v>
      </c>
      <c r="EL12" s="70">
        <f>Tabela246379[[#This Row],[08/06 - 12/06]]*8.8</f>
        <v>48.400000000000006</v>
      </c>
      <c r="EM12" s="49">
        <f>SUM(Tabela246379[[#This Row],[15-jun]:[19-jun]])</f>
        <v>5</v>
      </c>
      <c r="EN12" s="70">
        <f>Tabela246379[[#This Row],[15/06 - 19/06]]*8.8</f>
        <v>44</v>
      </c>
      <c r="EO12" s="49">
        <f>SUM(Tabela246379[[#This Row],[22-jun]:[26-jun]])</f>
        <v>5</v>
      </c>
      <c r="EP12" s="70">
        <f>Tabela246379[[#This Row],[22/06 - 26/06]]*8.8</f>
        <v>44</v>
      </c>
      <c r="EQ12" s="49">
        <f>SUM(Tabela246379[[#This Row],[29/jun]:[01/jul]])</f>
        <v>3</v>
      </c>
      <c r="ER12" s="70">
        <f>Tabela246379[[#This Row],[29/06 - 01/07]]*8.8</f>
        <v>26.400000000000002</v>
      </c>
    </row>
    <row r="13" spans="1:148" s="22" customFormat="1" ht="24.95" customHeight="1" x14ac:dyDescent="0.25">
      <c r="A13" s="58">
        <v>4</v>
      </c>
      <c r="B13" s="79" t="s">
        <v>158</v>
      </c>
      <c r="C13" s="71" t="s">
        <v>5</v>
      </c>
      <c r="D13" s="72">
        <f t="shared" si="0"/>
        <v>0</v>
      </c>
      <c r="E13" s="72">
        <f t="shared" si="1"/>
        <v>0.93877551020408168</v>
      </c>
      <c r="F13" s="73">
        <f t="shared" si="2"/>
        <v>2</v>
      </c>
      <c r="G13" s="74">
        <v>0</v>
      </c>
      <c r="H13" s="46">
        <v>0</v>
      </c>
      <c r="I13" s="46">
        <v>0</v>
      </c>
      <c r="J13" s="46">
        <v>0</v>
      </c>
      <c r="K13" s="46">
        <v>0</v>
      </c>
      <c r="L13" s="47">
        <v>0</v>
      </c>
      <c r="M13" s="47">
        <v>0</v>
      </c>
      <c r="N13" s="47">
        <v>1</v>
      </c>
      <c r="O13" s="47">
        <v>1</v>
      </c>
      <c r="P13" s="47">
        <v>1</v>
      </c>
      <c r="Q13" s="47">
        <v>1</v>
      </c>
      <c r="R13" s="47">
        <v>1</v>
      </c>
      <c r="S13" s="47">
        <v>0</v>
      </c>
      <c r="T13" s="47">
        <v>0</v>
      </c>
      <c r="U13" s="47">
        <v>2</v>
      </c>
      <c r="V13" s="47">
        <v>2</v>
      </c>
      <c r="W13" s="47">
        <v>2</v>
      </c>
      <c r="X13" s="47">
        <v>2</v>
      </c>
      <c r="Y13" s="47">
        <v>0</v>
      </c>
      <c r="Z13" s="47">
        <v>0</v>
      </c>
      <c r="AA13" s="47">
        <v>0</v>
      </c>
      <c r="AB13" s="47">
        <v>0</v>
      </c>
      <c r="AC13" s="47">
        <v>2</v>
      </c>
      <c r="AD13" s="47">
        <v>2</v>
      </c>
      <c r="AE13" s="47">
        <v>2</v>
      </c>
      <c r="AF13" s="47">
        <v>2</v>
      </c>
      <c r="AG13" s="47">
        <v>0</v>
      </c>
      <c r="AH13" s="47">
        <v>0</v>
      </c>
      <c r="AI13" s="47">
        <v>2</v>
      </c>
      <c r="AJ13" s="47">
        <v>2</v>
      </c>
      <c r="AK13" s="47">
        <v>2</v>
      </c>
      <c r="AL13" s="47">
        <v>2</v>
      </c>
      <c r="AM13" s="47">
        <v>2</v>
      </c>
      <c r="AN13" s="47">
        <v>0</v>
      </c>
      <c r="AO13" s="47">
        <v>0</v>
      </c>
      <c r="AP13" s="47">
        <v>1</v>
      </c>
      <c r="AQ13" s="47">
        <v>0</v>
      </c>
      <c r="AR13" s="47">
        <v>2</v>
      </c>
      <c r="AS13" s="47">
        <v>2</v>
      </c>
      <c r="AT13" s="47">
        <v>2</v>
      </c>
      <c r="AU13" s="47">
        <v>0</v>
      </c>
      <c r="AV13" s="47">
        <v>0</v>
      </c>
      <c r="AW13" s="47">
        <v>2</v>
      </c>
      <c r="AX13" s="47">
        <v>2</v>
      </c>
      <c r="AY13" s="47">
        <v>2</v>
      </c>
      <c r="AZ13" s="47">
        <v>2</v>
      </c>
      <c r="BA13" s="47">
        <v>0</v>
      </c>
      <c r="BB13" s="47">
        <v>0</v>
      </c>
      <c r="BC13" s="47">
        <v>0</v>
      </c>
      <c r="BD13" s="47">
        <v>2</v>
      </c>
      <c r="BE13" s="47">
        <v>2</v>
      </c>
      <c r="BF13" s="47">
        <v>2</v>
      </c>
      <c r="BG13" s="47">
        <v>2</v>
      </c>
      <c r="BH13" s="47">
        <v>2</v>
      </c>
      <c r="BI13" s="47">
        <v>0</v>
      </c>
      <c r="BJ13" s="47">
        <v>0</v>
      </c>
      <c r="BK13" s="47">
        <v>2</v>
      </c>
      <c r="BL13" s="47">
        <v>1</v>
      </c>
      <c r="BM13" s="47">
        <v>2</v>
      </c>
      <c r="BN13" s="47">
        <v>2</v>
      </c>
      <c r="BO13" s="47">
        <v>2</v>
      </c>
      <c r="BP13" s="47">
        <v>0</v>
      </c>
      <c r="BQ13" s="47">
        <v>0</v>
      </c>
      <c r="BR13" s="47">
        <v>2</v>
      </c>
      <c r="BS13" s="47">
        <v>2</v>
      </c>
      <c r="BT13" s="47">
        <v>2</v>
      </c>
      <c r="BU13" s="47">
        <v>2</v>
      </c>
      <c r="BV13" s="47">
        <v>2</v>
      </c>
      <c r="BW13" s="47">
        <v>0</v>
      </c>
      <c r="BX13" s="47">
        <v>0</v>
      </c>
      <c r="BY13" s="47">
        <v>1</v>
      </c>
      <c r="BZ13" s="47">
        <v>1</v>
      </c>
      <c r="CA13" s="47">
        <v>1</v>
      </c>
      <c r="CB13" s="47">
        <v>1</v>
      </c>
      <c r="CC13" s="47">
        <v>1</v>
      </c>
      <c r="CD13" s="47">
        <v>0</v>
      </c>
      <c r="CE13" s="47">
        <v>0</v>
      </c>
      <c r="CF13" s="47">
        <v>1</v>
      </c>
      <c r="CG13" s="47">
        <v>1</v>
      </c>
      <c r="CH13" s="47">
        <v>1</v>
      </c>
      <c r="CI13" s="47">
        <v>0</v>
      </c>
      <c r="CJ13" s="47">
        <v>0</v>
      </c>
      <c r="CK13" s="47">
        <v>0</v>
      </c>
      <c r="CL13" s="47">
        <v>0</v>
      </c>
      <c r="CM13" s="47">
        <v>1</v>
      </c>
      <c r="CN13" s="47">
        <v>1</v>
      </c>
      <c r="CO13" s="47">
        <v>1</v>
      </c>
      <c r="CP13" s="47">
        <v>1</v>
      </c>
      <c r="CQ13" s="47">
        <v>1</v>
      </c>
      <c r="CR13" s="47">
        <v>0</v>
      </c>
      <c r="CS13" s="47">
        <v>0</v>
      </c>
      <c r="CT13" s="47">
        <v>1</v>
      </c>
      <c r="CU13" s="47">
        <v>1</v>
      </c>
      <c r="CV13" s="47">
        <v>1</v>
      </c>
      <c r="CW13" s="47">
        <v>0</v>
      </c>
      <c r="CX13" s="47">
        <v>1</v>
      </c>
      <c r="CY13" s="47">
        <v>0</v>
      </c>
      <c r="CZ13" s="47">
        <v>0</v>
      </c>
      <c r="DA13" s="47">
        <v>0</v>
      </c>
      <c r="DB13" s="47">
        <v>1</v>
      </c>
      <c r="DC13" s="47">
        <v>0</v>
      </c>
      <c r="DD13" s="47">
        <v>0</v>
      </c>
      <c r="DE13" s="47">
        <v>0</v>
      </c>
      <c r="DF13" s="47">
        <v>0</v>
      </c>
      <c r="DG13" s="47">
        <v>0</v>
      </c>
      <c r="DH13" s="47">
        <v>0</v>
      </c>
      <c r="DI13" s="47">
        <v>1</v>
      </c>
      <c r="DJ13" s="77">
        <v>1</v>
      </c>
      <c r="DK13" s="18">
        <f>SUM(Tabela246379[[#This Row],[16-mar]:[01/jul]])</f>
        <v>95</v>
      </c>
      <c r="DL13" s="48">
        <f>Tabela246379[[#This Row],[Dias]]*8</f>
        <v>760</v>
      </c>
      <c r="DM13" s="49">
        <f>SUM(Tabela246379[[#This Row],[16-mar]:[20-mar]])</f>
        <v>0</v>
      </c>
      <c r="DN13" s="50">
        <f>Tabela246379[[#This Row],[16/03 - 20/03]]*8.8</f>
        <v>0</v>
      </c>
      <c r="DO13" s="53">
        <f>SUM(Tabela246379[[#This Row],[23-mar]:[27-mar]])</f>
        <v>5</v>
      </c>
      <c r="DP13" s="54">
        <f>Tabela246379[[#This Row],[23/03 - 27/03]]*8.8</f>
        <v>44</v>
      </c>
      <c r="DQ13" s="53">
        <f>SUM(Tabela246379[[#This Row],[30-mar]:[2-abr]])</f>
        <v>8</v>
      </c>
      <c r="DR13" s="54">
        <f>Tabela246379[[#This Row],[30/03 - 02/04]]*8.8</f>
        <v>70.400000000000006</v>
      </c>
      <c r="DS13" s="53">
        <f>SUM(Tabela246379[[#This Row],[7-abr]:[10-abr]])</f>
        <v>8</v>
      </c>
      <c r="DT13" s="54">
        <f>Tabela246379[[#This Row],[07/04 - 10/04]]*8.8</f>
        <v>70.400000000000006</v>
      </c>
      <c r="DU13" s="51">
        <f>SUM(Tabela246379[[#This Row],[13-abr]:[17-abr]])</f>
        <v>10</v>
      </c>
      <c r="DV13" s="52">
        <f>Tabela246379[[#This Row],[13/04 - 17/04]]*8.8</f>
        <v>88</v>
      </c>
      <c r="DW13" s="53">
        <f>SUM(Tabela246379[[#This Row],[22-abr]:[24-abr]])</f>
        <v>6</v>
      </c>
      <c r="DX13" s="54">
        <f>Tabela246379[[#This Row],[22/04 - 24/04]]*8.8</f>
        <v>52.800000000000004</v>
      </c>
      <c r="DY13" s="53">
        <f>SUM(Tabela246379[[#This Row],[27-abr]:[30-abr]])</f>
        <v>8</v>
      </c>
      <c r="DZ13" s="54">
        <f>Tabela246379[[#This Row],[27/04 - 30/04]]*8.8</f>
        <v>70.400000000000006</v>
      </c>
      <c r="EA13" s="53">
        <f>SUM(Tabela246379[[#This Row],[4-mai]:[8-mai]])</f>
        <v>10</v>
      </c>
      <c r="EB13" s="54">
        <f>Tabela246379[[#This Row],[04/05 - 08/05]]*8.8</f>
        <v>88</v>
      </c>
      <c r="EC13" s="53">
        <f>SUM(Tabela246379[[#This Row],[11-mai]:[15-mai]])</f>
        <v>9</v>
      </c>
      <c r="ED13" s="55">
        <f>Tabela246379[[#This Row],[11/05 - 15/05]]*8.8</f>
        <v>79.2</v>
      </c>
      <c r="EE13" s="53">
        <f>SUM(Tabela246379[[#This Row],[18-mai]:[22-mai]])</f>
        <v>10</v>
      </c>
      <c r="EF13" s="51">
        <f>Tabela246379[[#This Row],[18/05 - 22/05]]*8.8</f>
        <v>88</v>
      </c>
      <c r="EG13" s="53">
        <f>SUM(Tabela246379[[#This Row],[25-mai]:[29-mai]])</f>
        <v>5</v>
      </c>
      <c r="EH13" s="55">
        <f>Tabela246379[[#This Row],[25/05 - 29/05]]*8.8</f>
        <v>44</v>
      </c>
      <c r="EI13" s="53">
        <f>SUM(Tabela246379[[#This Row],[1-jun]:[3-jun]])</f>
        <v>3</v>
      </c>
      <c r="EJ13" s="55">
        <f>Tabela246379[[#This Row],[01/06 - 03/06]]*8.8</f>
        <v>26.400000000000002</v>
      </c>
      <c r="EK13" s="53">
        <f>SUM(Tabela246379[[#This Row],[8-jun]:[12-jun]])</f>
        <v>5</v>
      </c>
      <c r="EL13" s="55">
        <f>Tabela246379[[#This Row],[08/06 - 12/06]]*8.8</f>
        <v>44</v>
      </c>
      <c r="EM13" s="53">
        <f>SUM(Tabela246379[[#This Row],[15-jun]:[19-jun]])</f>
        <v>4</v>
      </c>
      <c r="EN13" s="55">
        <f>Tabela246379[[#This Row],[15/06 - 19/06]]*8.8</f>
        <v>35.200000000000003</v>
      </c>
      <c r="EO13" s="53">
        <f>SUM(Tabela246379[[#This Row],[22-jun]:[26-jun]])</f>
        <v>1</v>
      </c>
      <c r="EP13" s="55">
        <f>Tabela246379[[#This Row],[22/06 - 26/06]]*8.8</f>
        <v>8.8000000000000007</v>
      </c>
      <c r="EQ13" s="49">
        <f>SUM(Tabela246379[[#This Row],[29/jun]:[01/jul]])</f>
        <v>2</v>
      </c>
      <c r="ER13" s="70">
        <f>Tabela246379[[#This Row],[29/06 - 01/07]]*8.8</f>
        <v>17.600000000000001</v>
      </c>
    </row>
    <row r="14" spans="1:148" s="43" customFormat="1" ht="24.95" customHeight="1" x14ac:dyDescent="0.25">
      <c r="A14" s="58"/>
      <c r="B14" s="79"/>
      <c r="C14" s="60" t="s">
        <v>155</v>
      </c>
      <c r="D14" s="61">
        <f t="shared" si="0"/>
        <v>0.91</v>
      </c>
      <c r="E14" s="61">
        <f t="shared" si="1"/>
        <v>2.3308620689655171</v>
      </c>
      <c r="F14" s="62">
        <f t="shared" si="2"/>
        <v>3.73</v>
      </c>
      <c r="G14" s="63"/>
      <c r="H14" s="64"/>
      <c r="I14" s="64"/>
      <c r="J14" s="64"/>
      <c r="K14" s="64"/>
      <c r="L14" s="65"/>
      <c r="M14" s="65"/>
      <c r="N14" s="64">
        <v>0.91</v>
      </c>
      <c r="O14" s="64">
        <v>0.91</v>
      </c>
      <c r="P14" s="64">
        <v>0.91</v>
      </c>
      <c r="Q14" s="64">
        <v>0.91</v>
      </c>
      <c r="R14" s="64">
        <v>0.91</v>
      </c>
      <c r="S14" s="65"/>
      <c r="T14" s="65"/>
      <c r="U14" s="80">
        <v>1.82</v>
      </c>
      <c r="V14" s="80">
        <v>1.82</v>
      </c>
      <c r="W14" s="80">
        <v>1.82</v>
      </c>
      <c r="X14" s="80">
        <v>1.82</v>
      </c>
      <c r="Y14" s="65"/>
      <c r="Z14" s="65"/>
      <c r="AA14" s="65"/>
      <c r="AB14" s="65"/>
      <c r="AC14" s="81">
        <v>1.82</v>
      </c>
      <c r="AD14" s="80">
        <v>1.82</v>
      </c>
      <c r="AE14" s="80">
        <v>1.82</v>
      </c>
      <c r="AF14" s="80">
        <v>3.73</v>
      </c>
      <c r="AG14" s="65"/>
      <c r="AH14" s="65"/>
      <c r="AI14" s="64">
        <v>2.73</v>
      </c>
      <c r="AJ14" s="64">
        <v>2.73</v>
      </c>
      <c r="AK14" s="64">
        <v>2.73</v>
      </c>
      <c r="AL14" s="64">
        <v>2.73</v>
      </c>
      <c r="AM14" s="64">
        <v>1.82</v>
      </c>
      <c r="AN14" s="65"/>
      <c r="AO14" s="65"/>
      <c r="AP14" s="65"/>
      <c r="AQ14" s="65"/>
      <c r="AR14" s="47">
        <v>2.73</v>
      </c>
      <c r="AS14" s="47">
        <v>2.73</v>
      </c>
      <c r="AT14" s="47">
        <v>2.3199999999999998</v>
      </c>
      <c r="AU14" s="65"/>
      <c r="AV14" s="65"/>
      <c r="AW14" s="64">
        <v>2.36</v>
      </c>
      <c r="AX14" s="64">
        <v>2</v>
      </c>
      <c r="AY14" s="64">
        <v>2.5</v>
      </c>
      <c r="AZ14" s="64">
        <v>2</v>
      </c>
      <c r="BA14" s="65"/>
      <c r="BB14" s="65"/>
      <c r="BC14" s="65"/>
      <c r="BD14" s="64">
        <v>2.5</v>
      </c>
      <c r="BE14" s="64">
        <v>2</v>
      </c>
      <c r="BF14" s="64">
        <v>2</v>
      </c>
      <c r="BG14" s="64">
        <v>2.29</v>
      </c>
      <c r="BH14" s="64">
        <v>2</v>
      </c>
      <c r="BI14" s="65"/>
      <c r="BJ14" s="65"/>
      <c r="BK14" s="64">
        <v>2</v>
      </c>
      <c r="BL14" s="64">
        <v>2</v>
      </c>
      <c r="BM14" s="64">
        <v>3</v>
      </c>
      <c r="BN14" s="64">
        <v>3</v>
      </c>
      <c r="BO14" s="64">
        <v>2</v>
      </c>
      <c r="BP14" s="65"/>
      <c r="BQ14" s="65"/>
      <c r="BR14" s="64">
        <v>2</v>
      </c>
      <c r="BS14" s="64">
        <v>2</v>
      </c>
      <c r="BT14" s="64">
        <v>2</v>
      </c>
      <c r="BU14" s="64">
        <v>2</v>
      </c>
      <c r="BV14" s="64">
        <v>2</v>
      </c>
      <c r="BW14" s="65"/>
      <c r="BX14" s="65"/>
      <c r="BY14" s="64">
        <v>2.5</v>
      </c>
      <c r="BZ14" s="64">
        <v>2.5</v>
      </c>
      <c r="CA14" s="64">
        <v>3</v>
      </c>
      <c r="CB14" s="64">
        <v>3</v>
      </c>
      <c r="CC14" s="64">
        <v>3</v>
      </c>
      <c r="CD14" s="65"/>
      <c r="CE14" s="65"/>
      <c r="CF14" s="64">
        <v>3</v>
      </c>
      <c r="CG14" s="64">
        <v>3</v>
      </c>
      <c r="CH14" s="64">
        <v>3</v>
      </c>
      <c r="CI14" s="65"/>
      <c r="CJ14" s="65"/>
      <c r="CK14" s="65"/>
      <c r="CL14" s="65"/>
      <c r="CM14" s="64">
        <v>3</v>
      </c>
      <c r="CN14" s="64">
        <v>3</v>
      </c>
      <c r="CO14" s="64">
        <v>3</v>
      </c>
      <c r="CP14" s="64">
        <v>3</v>
      </c>
      <c r="CQ14" s="64">
        <v>3</v>
      </c>
      <c r="CR14" s="65"/>
      <c r="CS14" s="65"/>
      <c r="CT14" s="64">
        <v>3</v>
      </c>
      <c r="CU14" s="64">
        <v>3</v>
      </c>
      <c r="CV14" s="64">
        <v>3</v>
      </c>
      <c r="CW14" s="64">
        <v>3</v>
      </c>
      <c r="CX14" s="64">
        <v>2</v>
      </c>
      <c r="CY14" s="65"/>
      <c r="CZ14" s="65"/>
      <c r="DA14" s="64">
        <v>1</v>
      </c>
      <c r="DB14" s="64">
        <v>1</v>
      </c>
      <c r="DC14" s="64">
        <v>1</v>
      </c>
      <c r="DD14" s="64">
        <v>1</v>
      </c>
      <c r="DE14" s="64">
        <v>1</v>
      </c>
      <c r="DF14" s="65"/>
      <c r="DG14" s="65"/>
      <c r="DH14" s="75"/>
      <c r="DI14" s="75"/>
      <c r="DJ14" s="75"/>
      <c r="DK14" s="18">
        <f>SUM(Tabela246379[[#This Row],[16-mar]:[01/jul]])</f>
        <v>140.19</v>
      </c>
      <c r="DL14" s="48">
        <f>Tabela246379[[#This Row],[Dias]]*8</f>
        <v>1121.52</v>
      </c>
      <c r="DM14" s="49">
        <f>SUM(Tabela246379[[#This Row],[16-mar]:[20-mar]])</f>
        <v>0</v>
      </c>
      <c r="DN14" s="50">
        <f>Tabela246379[[#This Row],[16/03 - 20/03]]*8.8</f>
        <v>0</v>
      </c>
      <c r="DO14" s="49">
        <f>SUM(Tabela246379[[#This Row],[23-mar]:[27-mar]])</f>
        <v>4.55</v>
      </c>
      <c r="DP14" s="67">
        <f>Tabela246379[[#This Row],[23/03 - 27/03]]*8.8</f>
        <v>40.04</v>
      </c>
      <c r="DQ14" s="49">
        <f>SUM(Tabela246379[[#This Row],[30-mar]:[2-abr]])</f>
        <v>7.28</v>
      </c>
      <c r="DR14" s="67">
        <f>Tabela246379[[#This Row],[30/03 - 02/04]]*8.8</f>
        <v>64.064000000000007</v>
      </c>
      <c r="DS14" s="49">
        <f>SUM(Tabela246379[[#This Row],[7-abr]:[10-abr]])</f>
        <v>9.19</v>
      </c>
      <c r="DT14" s="67">
        <f>Tabela246379[[#This Row],[07/04 - 10/04]]*8.8</f>
        <v>80.872</v>
      </c>
      <c r="DU14" s="68">
        <f>SUM(Tabela246379[[#This Row],[13-abr]:[17-abr]])</f>
        <v>12.74</v>
      </c>
      <c r="DV14" s="69">
        <f>Tabela246379[[#This Row],[13/04 - 17/04]]*8.8</f>
        <v>112.11200000000001</v>
      </c>
      <c r="DW14" s="49">
        <f>SUM(Tabela246379[[#This Row],[22-abr]:[24-abr]])</f>
        <v>7.7799999999999994</v>
      </c>
      <c r="DX14" s="67">
        <f>Tabela246379[[#This Row],[22/04 - 24/04]]*8.8</f>
        <v>68.463999999999999</v>
      </c>
      <c r="DY14" s="49">
        <f>SUM(Tabela246379[[#This Row],[27-abr]:[30-abr]])</f>
        <v>8.86</v>
      </c>
      <c r="DZ14" s="67">
        <f>Tabela246379[[#This Row],[27/04 - 30/04]]*8.8</f>
        <v>77.968000000000004</v>
      </c>
      <c r="EA14" s="49">
        <f>SUM(Tabela246379[[#This Row],[4-mai]:[8-mai]])</f>
        <v>10.79</v>
      </c>
      <c r="EB14" s="67">
        <f>Tabela246379[[#This Row],[04/05 - 08/05]]*8.8</f>
        <v>94.951999999999998</v>
      </c>
      <c r="EC14" s="49">
        <f>SUM(Tabela246379[[#This Row],[11-mai]:[15-mai]])</f>
        <v>12</v>
      </c>
      <c r="ED14" s="70">
        <f>Tabela246379[[#This Row],[11/05 - 15/05]]*8.8</f>
        <v>105.60000000000001</v>
      </c>
      <c r="EE14" s="49">
        <f>SUM(Tabela246379[[#This Row],[18-mai]:[22-mai]])</f>
        <v>10</v>
      </c>
      <c r="EF14" s="68">
        <f>Tabela246379[[#This Row],[18/05 - 22/05]]*8.8</f>
        <v>88</v>
      </c>
      <c r="EG14" s="49">
        <f>SUM(Tabela246379[[#This Row],[25-mai]:[29-mai]])</f>
        <v>14</v>
      </c>
      <c r="EH14" s="70">
        <f>Tabela246379[[#This Row],[25/05 - 29/05]]*8.8</f>
        <v>123.20000000000002</v>
      </c>
      <c r="EI14" s="49">
        <f>SUM(Tabela246379[[#This Row],[1-jun]:[3-jun]])</f>
        <v>9</v>
      </c>
      <c r="EJ14" s="70">
        <f>Tabela246379[[#This Row],[01/06 - 03/06]]*8.8</f>
        <v>79.2</v>
      </c>
      <c r="EK14" s="49">
        <f>SUM(Tabela246379[[#This Row],[8-jun]:[12-jun]])</f>
        <v>15</v>
      </c>
      <c r="EL14" s="70">
        <f>Tabela246379[[#This Row],[08/06 - 12/06]]*8.8</f>
        <v>132</v>
      </c>
      <c r="EM14" s="49">
        <f>SUM(Tabela246379[[#This Row],[15-jun]:[19-jun]])</f>
        <v>14</v>
      </c>
      <c r="EN14" s="70">
        <f>Tabela246379[[#This Row],[15/06 - 19/06]]*8.8</f>
        <v>123.20000000000002</v>
      </c>
      <c r="EO14" s="49">
        <f>SUM(Tabela246379[[#This Row],[22-jun]:[26-jun]])</f>
        <v>5</v>
      </c>
      <c r="EP14" s="70">
        <f>Tabela246379[[#This Row],[22/06 - 26/06]]*8.8</f>
        <v>44</v>
      </c>
      <c r="EQ14" s="49">
        <f>SUM(Tabela246379[[#This Row],[29/jun]:[01/jul]])</f>
        <v>0</v>
      </c>
      <c r="ER14" s="70">
        <f>Tabela246379[[#This Row],[29/06 - 01/07]]*8.8</f>
        <v>0</v>
      </c>
    </row>
    <row r="15" spans="1:148" s="22" customFormat="1" ht="24.95" customHeight="1" x14ac:dyDescent="0.25">
      <c r="A15" s="13">
        <v>5</v>
      </c>
      <c r="B15" s="79" t="s">
        <v>159</v>
      </c>
      <c r="C15" s="71" t="s">
        <v>5</v>
      </c>
      <c r="D15" s="72">
        <f t="shared" si="0"/>
        <v>0</v>
      </c>
      <c r="E15" s="72">
        <f t="shared" si="1"/>
        <v>0.29591836734693877</v>
      </c>
      <c r="F15" s="73">
        <f t="shared" si="2"/>
        <v>1</v>
      </c>
      <c r="G15" s="74">
        <v>0</v>
      </c>
      <c r="H15" s="46">
        <v>0</v>
      </c>
      <c r="I15" s="46">
        <v>0</v>
      </c>
      <c r="J15" s="46">
        <v>0</v>
      </c>
      <c r="K15" s="46">
        <v>0</v>
      </c>
      <c r="L15" s="47">
        <v>0</v>
      </c>
      <c r="M15" s="47">
        <v>0</v>
      </c>
      <c r="N15" s="47">
        <v>1</v>
      </c>
      <c r="O15" s="47">
        <v>0</v>
      </c>
      <c r="P15" s="47">
        <v>1</v>
      </c>
      <c r="Q15" s="47">
        <v>0</v>
      </c>
      <c r="R15" s="47">
        <v>0</v>
      </c>
      <c r="S15" s="47">
        <v>0</v>
      </c>
      <c r="T15" s="47">
        <v>0</v>
      </c>
      <c r="U15" s="82">
        <v>0</v>
      </c>
      <c r="V15" s="82">
        <v>0</v>
      </c>
      <c r="W15" s="82">
        <v>0</v>
      </c>
      <c r="X15" s="82">
        <v>0</v>
      </c>
      <c r="Y15" s="47">
        <v>0</v>
      </c>
      <c r="Z15" s="47">
        <v>0</v>
      </c>
      <c r="AA15" s="47">
        <v>0</v>
      </c>
      <c r="AB15" s="47">
        <v>0</v>
      </c>
      <c r="AC15" s="82">
        <v>0</v>
      </c>
      <c r="AD15" s="82">
        <v>0</v>
      </c>
      <c r="AE15" s="82">
        <v>0</v>
      </c>
      <c r="AF15" s="82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1</v>
      </c>
      <c r="BL15" s="47">
        <v>1</v>
      </c>
      <c r="BM15" s="47">
        <v>1</v>
      </c>
      <c r="BN15" s="47">
        <v>1</v>
      </c>
      <c r="BO15" s="47">
        <v>1</v>
      </c>
      <c r="BP15" s="47">
        <v>0</v>
      </c>
      <c r="BQ15" s="47">
        <v>0</v>
      </c>
      <c r="BR15" s="47">
        <v>0</v>
      </c>
      <c r="BS15" s="47">
        <v>1</v>
      </c>
      <c r="BT15" s="47">
        <v>1</v>
      </c>
      <c r="BU15" s="47">
        <v>1</v>
      </c>
      <c r="BV15" s="47">
        <v>1</v>
      </c>
      <c r="BW15" s="47">
        <v>0</v>
      </c>
      <c r="BX15" s="47">
        <v>0</v>
      </c>
      <c r="BY15" s="47">
        <v>1</v>
      </c>
      <c r="BZ15" s="47">
        <v>1</v>
      </c>
      <c r="CA15" s="47">
        <v>1</v>
      </c>
      <c r="CB15" s="47">
        <v>1</v>
      </c>
      <c r="CC15" s="47">
        <v>1</v>
      </c>
      <c r="CD15" s="47">
        <v>0</v>
      </c>
      <c r="CE15" s="47">
        <v>0</v>
      </c>
      <c r="CF15" s="47">
        <v>1</v>
      </c>
      <c r="CG15" s="47">
        <v>1</v>
      </c>
      <c r="CH15" s="47">
        <v>1</v>
      </c>
      <c r="CI15" s="47">
        <v>0</v>
      </c>
      <c r="CJ15" s="47">
        <v>0</v>
      </c>
      <c r="CK15" s="47">
        <v>0</v>
      </c>
      <c r="CL15" s="47">
        <v>0</v>
      </c>
      <c r="CM15" s="47">
        <v>1</v>
      </c>
      <c r="CN15" s="47">
        <v>1</v>
      </c>
      <c r="CO15" s="47">
        <v>1</v>
      </c>
      <c r="CP15" s="47">
        <v>1</v>
      </c>
      <c r="CQ15" s="47">
        <v>1</v>
      </c>
      <c r="CR15" s="47">
        <v>0</v>
      </c>
      <c r="CS15" s="47">
        <v>0</v>
      </c>
      <c r="CT15" s="47">
        <v>1</v>
      </c>
      <c r="CU15" s="47">
        <v>1</v>
      </c>
      <c r="CV15" s="47">
        <v>1</v>
      </c>
      <c r="CW15" s="47">
        <v>1</v>
      </c>
      <c r="CX15" s="47">
        <v>1</v>
      </c>
      <c r="CY15" s="47">
        <v>0</v>
      </c>
      <c r="CZ15" s="47">
        <v>0</v>
      </c>
      <c r="DA15" s="47">
        <v>1</v>
      </c>
      <c r="DB15" s="47">
        <v>1</v>
      </c>
      <c r="DC15" s="47">
        <v>0</v>
      </c>
      <c r="DD15" s="47">
        <v>1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77">
        <v>0</v>
      </c>
      <c r="DK15" s="18">
        <f>SUM(Tabela246379[[#This Row],[16-mar]:[01/jul]])</f>
        <v>32</v>
      </c>
      <c r="DL15" s="48">
        <f>Tabela246379[[#This Row],[Dias]]*8</f>
        <v>256</v>
      </c>
      <c r="DM15" s="49">
        <f>SUM(Tabela246379[[#This Row],[16-mar]:[20-mar]])</f>
        <v>0</v>
      </c>
      <c r="DN15" s="50">
        <f>Tabela246379[[#This Row],[16/03 - 20/03]]*8.8</f>
        <v>0</v>
      </c>
      <c r="DO15" s="53">
        <f>SUM(Tabela246379[[#This Row],[23-mar]:[27-mar]])</f>
        <v>2</v>
      </c>
      <c r="DP15" s="54">
        <f>Tabela246379[[#This Row],[23/03 - 27/03]]*8.8</f>
        <v>17.600000000000001</v>
      </c>
      <c r="DQ15" s="53">
        <f>SUM(Tabela246379[[#This Row],[30-mar]:[2-abr]])</f>
        <v>0</v>
      </c>
      <c r="DR15" s="54">
        <f>Tabela246379[[#This Row],[30/03 - 02/04]]*8.8</f>
        <v>0</v>
      </c>
      <c r="DS15" s="53">
        <f>SUM(Tabela246379[[#This Row],[7-abr]:[10-abr]])</f>
        <v>0</v>
      </c>
      <c r="DT15" s="54">
        <f>Tabela246379[[#This Row],[07/04 - 10/04]]*8.8</f>
        <v>0</v>
      </c>
      <c r="DU15" s="51">
        <f>SUM(Tabela246379[[#This Row],[13-abr]:[17-abr]])</f>
        <v>0</v>
      </c>
      <c r="DV15" s="52">
        <f>Tabela246379[[#This Row],[13/04 - 17/04]]*8.8</f>
        <v>0</v>
      </c>
      <c r="DW15" s="53">
        <f>SUM(Tabela246379[[#This Row],[22-abr]:[24-abr]])</f>
        <v>0</v>
      </c>
      <c r="DX15" s="54">
        <f>Tabela246379[[#This Row],[22/04 - 24/04]]*8.8</f>
        <v>0</v>
      </c>
      <c r="DY15" s="53">
        <f>SUM(Tabela246379[[#This Row],[27-abr]:[30-abr]])</f>
        <v>0</v>
      </c>
      <c r="DZ15" s="54">
        <f>Tabela246379[[#This Row],[27/04 - 30/04]]*8.8</f>
        <v>0</v>
      </c>
      <c r="EA15" s="53">
        <f>SUM(Tabela246379[[#This Row],[4-mai]:[8-mai]])</f>
        <v>0</v>
      </c>
      <c r="EB15" s="54">
        <f>Tabela246379[[#This Row],[04/05 - 08/05]]*8.8</f>
        <v>0</v>
      </c>
      <c r="EC15" s="53">
        <f>SUM(Tabela246379[[#This Row],[11-mai]:[15-mai]])</f>
        <v>5</v>
      </c>
      <c r="ED15" s="55">
        <f>Tabela246379[[#This Row],[11/05 - 15/05]]*8.8</f>
        <v>44</v>
      </c>
      <c r="EE15" s="53">
        <f>SUM(Tabela246379[[#This Row],[18-mai]:[22-mai]])</f>
        <v>4</v>
      </c>
      <c r="EF15" s="51">
        <f>Tabela246379[[#This Row],[18/05 - 22/05]]*8.8</f>
        <v>35.200000000000003</v>
      </c>
      <c r="EG15" s="53">
        <f>SUM(Tabela246379[[#This Row],[25-mai]:[29-mai]])</f>
        <v>5</v>
      </c>
      <c r="EH15" s="55">
        <f>Tabela246379[[#This Row],[25/05 - 29/05]]*8.8</f>
        <v>44</v>
      </c>
      <c r="EI15" s="53">
        <f>SUM(Tabela246379[[#This Row],[1-jun]:[3-jun]])</f>
        <v>3</v>
      </c>
      <c r="EJ15" s="55">
        <f>Tabela246379[[#This Row],[01/06 - 03/06]]*8.8</f>
        <v>26.400000000000002</v>
      </c>
      <c r="EK15" s="53">
        <f>SUM(Tabela246379[[#This Row],[8-jun]:[12-jun]])</f>
        <v>5</v>
      </c>
      <c r="EL15" s="55">
        <f>Tabela246379[[#This Row],[08/06 - 12/06]]*8.8</f>
        <v>44</v>
      </c>
      <c r="EM15" s="53">
        <f>SUM(Tabela246379[[#This Row],[15-jun]:[19-jun]])</f>
        <v>5</v>
      </c>
      <c r="EN15" s="55">
        <f>Tabela246379[[#This Row],[15/06 - 19/06]]*8.8</f>
        <v>44</v>
      </c>
      <c r="EO15" s="53">
        <f>SUM(Tabela246379[[#This Row],[22-jun]:[26-jun]])</f>
        <v>3</v>
      </c>
      <c r="EP15" s="55">
        <f>Tabela246379[[#This Row],[22/06 - 26/06]]*8.8</f>
        <v>26.400000000000002</v>
      </c>
      <c r="EQ15" s="49">
        <f>SUM(Tabela246379[[#This Row],[29/jun]:[01/jul]])</f>
        <v>0</v>
      </c>
      <c r="ER15" s="70">
        <f>Tabela246379[[#This Row],[29/06 - 01/07]]*8.8</f>
        <v>0</v>
      </c>
    </row>
    <row r="16" spans="1:148" s="43" customFormat="1" ht="24.95" customHeight="1" x14ac:dyDescent="0.25">
      <c r="A16" s="58"/>
      <c r="B16" s="79"/>
      <c r="C16" s="60" t="s">
        <v>155</v>
      </c>
      <c r="D16" s="61">
        <f t="shared" si="0"/>
        <v>0</v>
      </c>
      <c r="E16" s="61">
        <f t="shared" si="1"/>
        <v>0.82686274509803925</v>
      </c>
      <c r="F16" s="62">
        <f t="shared" si="2"/>
        <v>1</v>
      </c>
      <c r="G16" s="63"/>
      <c r="H16" s="64"/>
      <c r="I16" s="64"/>
      <c r="J16" s="64"/>
      <c r="K16" s="64"/>
      <c r="L16" s="65"/>
      <c r="M16" s="65"/>
      <c r="N16" s="64"/>
      <c r="O16" s="64"/>
      <c r="P16" s="64"/>
      <c r="Q16" s="64">
        <v>1</v>
      </c>
      <c r="R16" s="64">
        <v>1</v>
      </c>
      <c r="S16" s="65"/>
      <c r="T16" s="65"/>
      <c r="U16" s="64">
        <v>0.45</v>
      </c>
      <c r="V16" s="64"/>
      <c r="W16" s="64"/>
      <c r="X16" s="64"/>
      <c r="Y16" s="65"/>
      <c r="Z16" s="65"/>
      <c r="AA16" s="65"/>
      <c r="AB16" s="65"/>
      <c r="AC16" s="47">
        <v>0</v>
      </c>
      <c r="AD16" s="47">
        <v>0</v>
      </c>
      <c r="AE16" s="47">
        <v>0</v>
      </c>
      <c r="AF16" s="47">
        <v>0</v>
      </c>
      <c r="AG16" s="65"/>
      <c r="AH16" s="65"/>
      <c r="AI16" s="64">
        <v>0.23</v>
      </c>
      <c r="AJ16" s="64">
        <v>0.91</v>
      </c>
      <c r="AK16" s="47">
        <v>0</v>
      </c>
      <c r="AL16" s="64">
        <v>0.8</v>
      </c>
      <c r="AM16" s="64">
        <v>0.97</v>
      </c>
      <c r="AN16" s="65"/>
      <c r="AO16" s="65"/>
      <c r="AP16" s="65"/>
      <c r="AQ16" s="65"/>
      <c r="AR16" s="47">
        <v>0.34</v>
      </c>
      <c r="AS16" s="47">
        <v>1</v>
      </c>
      <c r="AT16" s="47">
        <v>1</v>
      </c>
      <c r="AU16" s="65"/>
      <c r="AV16" s="65"/>
      <c r="AW16" s="64">
        <v>0.85</v>
      </c>
      <c r="AX16" s="64">
        <v>1</v>
      </c>
      <c r="AY16" s="64">
        <v>0.8</v>
      </c>
      <c r="AZ16" s="64">
        <v>1</v>
      </c>
      <c r="BA16" s="65"/>
      <c r="BB16" s="65"/>
      <c r="BC16" s="65"/>
      <c r="BD16" s="64">
        <v>0.88</v>
      </c>
      <c r="BE16" s="64">
        <v>0.75</v>
      </c>
      <c r="BF16" s="64">
        <v>1</v>
      </c>
      <c r="BG16" s="64">
        <v>0.94</v>
      </c>
      <c r="BH16" s="64">
        <v>0.88</v>
      </c>
      <c r="BI16" s="65"/>
      <c r="BJ16" s="65"/>
      <c r="BK16" s="64">
        <v>0.88</v>
      </c>
      <c r="BL16" s="64">
        <v>1</v>
      </c>
      <c r="BM16" s="64">
        <v>1</v>
      </c>
      <c r="BN16" s="64">
        <v>1</v>
      </c>
      <c r="BO16" s="64">
        <v>1</v>
      </c>
      <c r="BP16" s="65"/>
      <c r="BQ16" s="65"/>
      <c r="BR16" s="64">
        <v>1</v>
      </c>
      <c r="BS16" s="64">
        <v>1</v>
      </c>
      <c r="BT16" s="64">
        <v>1</v>
      </c>
      <c r="BU16" s="64">
        <v>1</v>
      </c>
      <c r="BV16" s="64">
        <v>0.49</v>
      </c>
      <c r="BW16" s="65"/>
      <c r="BX16" s="65"/>
      <c r="BY16" s="64">
        <v>1</v>
      </c>
      <c r="BZ16" s="64">
        <v>1</v>
      </c>
      <c r="CA16" s="64"/>
      <c r="CB16" s="64">
        <v>1</v>
      </c>
      <c r="CC16" s="64">
        <v>1</v>
      </c>
      <c r="CD16" s="65"/>
      <c r="CE16" s="65"/>
      <c r="CF16" s="64">
        <v>1</v>
      </c>
      <c r="CG16" s="64">
        <v>1</v>
      </c>
      <c r="CH16" s="64">
        <v>1</v>
      </c>
      <c r="CI16" s="65"/>
      <c r="CJ16" s="65"/>
      <c r="CK16" s="65"/>
      <c r="CL16" s="65"/>
      <c r="CM16" s="64">
        <v>1</v>
      </c>
      <c r="CN16" s="64">
        <v>1</v>
      </c>
      <c r="CO16" s="64">
        <v>1</v>
      </c>
      <c r="CP16" s="64">
        <v>1</v>
      </c>
      <c r="CQ16" s="64">
        <v>1</v>
      </c>
      <c r="CR16" s="65"/>
      <c r="CS16" s="65"/>
      <c r="CT16" s="64">
        <v>1</v>
      </c>
      <c r="CU16" s="64">
        <v>1</v>
      </c>
      <c r="CV16" s="64">
        <v>1</v>
      </c>
      <c r="CW16" s="64">
        <v>1</v>
      </c>
      <c r="CX16" s="64">
        <v>1</v>
      </c>
      <c r="CY16" s="65"/>
      <c r="CZ16" s="65"/>
      <c r="DA16" s="64">
        <v>1</v>
      </c>
      <c r="DB16" s="64">
        <v>1</v>
      </c>
      <c r="DC16" s="64">
        <v>1</v>
      </c>
      <c r="DD16" s="64">
        <v>1</v>
      </c>
      <c r="DE16" s="64">
        <v>1</v>
      </c>
      <c r="DF16" s="65"/>
      <c r="DG16" s="65"/>
      <c r="DH16" s="75">
        <v>0.5</v>
      </c>
      <c r="DI16" s="75">
        <v>1</v>
      </c>
      <c r="DJ16" s="75">
        <v>1</v>
      </c>
      <c r="DK16" s="18">
        <f>SUM(Tabela246379[[#This Row],[16-mar]:[01/jul]])</f>
        <v>49.67</v>
      </c>
      <c r="DL16" s="48">
        <f>Tabela246379[[#This Row],[Dias]]*8</f>
        <v>397.36</v>
      </c>
      <c r="DM16" s="49">
        <f>SUM(Tabela246379[[#This Row],[16-mar]:[20-mar]])</f>
        <v>0</v>
      </c>
      <c r="DN16" s="50">
        <f>Tabela246379[[#This Row],[16/03 - 20/03]]*8.8</f>
        <v>0</v>
      </c>
      <c r="DO16" s="49">
        <f>SUM(Tabela246379[[#This Row],[23-mar]:[27-mar]])</f>
        <v>2</v>
      </c>
      <c r="DP16" s="67">
        <f>Tabela246379[[#This Row],[23/03 - 27/03]]*8.8</f>
        <v>17.600000000000001</v>
      </c>
      <c r="DQ16" s="49">
        <f>SUM(Tabela246379[[#This Row],[30-mar]:[2-abr]])</f>
        <v>0.45</v>
      </c>
      <c r="DR16" s="67">
        <f>Tabela246379[[#This Row],[30/03 - 02/04]]*8.8</f>
        <v>3.9600000000000004</v>
      </c>
      <c r="DS16" s="49">
        <f>SUM(Tabela246379[[#This Row],[7-abr]:[10-abr]])</f>
        <v>0</v>
      </c>
      <c r="DT16" s="67">
        <f>Tabela246379[[#This Row],[07/04 - 10/04]]*8.8</f>
        <v>0</v>
      </c>
      <c r="DU16" s="68">
        <f>SUM(Tabela246379[[#This Row],[13-abr]:[17-abr]])</f>
        <v>2.91</v>
      </c>
      <c r="DV16" s="69">
        <f>Tabela246379[[#This Row],[13/04 - 17/04]]*8.8</f>
        <v>25.608000000000004</v>
      </c>
      <c r="DW16" s="49">
        <f>SUM(Tabela246379[[#This Row],[22-abr]:[24-abr]])</f>
        <v>2.34</v>
      </c>
      <c r="DX16" s="67">
        <f>Tabela246379[[#This Row],[22/04 - 24/04]]*8.8</f>
        <v>20.591999999999999</v>
      </c>
      <c r="DY16" s="49">
        <f>SUM(Tabela246379[[#This Row],[27-abr]:[30-abr]])</f>
        <v>3.6500000000000004</v>
      </c>
      <c r="DZ16" s="67">
        <f>Tabela246379[[#This Row],[27/04 - 30/04]]*8.8</f>
        <v>32.120000000000005</v>
      </c>
      <c r="EA16" s="49">
        <f>SUM(Tabela246379[[#This Row],[4-mai]:[8-mai]])</f>
        <v>4.45</v>
      </c>
      <c r="EB16" s="67">
        <f>Tabela246379[[#This Row],[04/05 - 08/05]]*8.8</f>
        <v>39.160000000000004</v>
      </c>
      <c r="EC16" s="49">
        <f>SUM(Tabela246379[[#This Row],[11-mai]:[15-mai]])</f>
        <v>4.88</v>
      </c>
      <c r="ED16" s="70">
        <f>Tabela246379[[#This Row],[11/05 - 15/05]]*8.8</f>
        <v>42.944000000000003</v>
      </c>
      <c r="EE16" s="49">
        <f>SUM(Tabela246379[[#This Row],[18-mai]:[22-mai]])</f>
        <v>4.49</v>
      </c>
      <c r="EF16" s="68">
        <f>Tabela246379[[#This Row],[18/05 - 22/05]]*8.8</f>
        <v>39.512000000000008</v>
      </c>
      <c r="EG16" s="49">
        <f>SUM(Tabela246379[[#This Row],[25-mai]:[29-mai]])</f>
        <v>4</v>
      </c>
      <c r="EH16" s="70">
        <f>Tabela246379[[#This Row],[25/05 - 29/05]]*8.8</f>
        <v>35.200000000000003</v>
      </c>
      <c r="EI16" s="49">
        <f>SUM(Tabela246379[[#This Row],[1-jun]:[3-jun]])</f>
        <v>3</v>
      </c>
      <c r="EJ16" s="70">
        <f>Tabela246379[[#This Row],[01/06 - 03/06]]*8.8</f>
        <v>26.400000000000002</v>
      </c>
      <c r="EK16" s="49">
        <f>SUM(Tabela246379[[#This Row],[8-jun]:[12-jun]])</f>
        <v>5</v>
      </c>
      <c r="EL16" s="70">
        <f>Tabela246379[[#This Row],[08/06 - 12/06]]*8.8</f>
        <v>44</v>
      </c>
      <c r="EM16" s="49">
        <f>SUM(Tabela246379[[#This Row],[15-jun]:[19-jun]])</f>
        <v>5</v>
      </c>
      <c r="EN16" s="70">
        <f>Tabela246379[[#This Row],[15/06 - 19/06]]*8.8</f>
        <v>44</v>
      </c>
      <c r="EO16" s="49">
        <f>SUM(Tabela246379[[#This Row],[22-jun]:[26-jun]])</f>
        <v>5</v>
      </c>
      <c r="EP16" s="70">
        <f>Tabela246379[[#This Row],[22/06 - 26/06]]*8.8</f>
        <v>44</v>
      </c>
      <c r="EQ16" s="49">
        <f>SUM(Tabela246379[[#This Row],[29/jun]:[01/jul]])</f>
        <v>2.5</v>
      </c>
      <c r="ER16" s="70">
        <f>Tabela246379[[#This Row],[29/06 - 01/07]]*8.8</f>
        <v>22</v>
      </c>
    </row>
    <row r="17" spans="1:148" s="22" customFormat="1" ht="24.95" customHeight="1" x14ac:dyDescent="0.25">
      <c r="A17" s="58">
        <v>6</v>
      </c>
      <c r="B17" s="59" t="s">
        <v>160</v>
      </c>
      <c r="C17" s="71" t="s">
        <v>5</v>
      </c>
      <c r="D17" s="72">
        <f t="shared" si="0"/>
        <v>0</v>
      </c>
      <c r="E17" s="72">
        <f t="shared" si="1"/>
        <v>0.33673469387755101</v>
      </c>
      <c r="F17" s="73">
        <f t="shared" si="2"/>
        <v>1</v>
      </c>
      <c r="G17" s="74">
        <v>0</v>
      </c>
      <c r="H17" s="46">
        <v>0</v>
      </c>
      <c r="I17" s="46">
        <v>0</v>
      </c>
      <c r="J17" s="46">
        <v>0</v>
      </c>
      <c r="K17" s="46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47">
        <v>0</v>
      </c>
      <c r="AI17" s="47">
        <v>1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1</v>
      </c>
      <c r="BF17" s="47">
        <v>1</v>
      </c>
      <c r="BG17" s="47">
        <v>1</v>
      </c>
      <c r="BH17" s="47">
        <v>1</v>
      </c>
      <c r="BI17" s="47">
        <v>0</v>
      </c>
      <c r="BJ17" s="47">
        <v>0</v>
      </c>
      <c r="BK17" s="47">
        <v>1</v>
      </c>
      <c r="BL17" s="47">
        <v>1</v>
      </c>
      <c r="BM17" s="47">
        <v>1</v>
      </c>
      <c r="BN17" s="47">
        <v>1</v>
      </c>
      <c r="BO17" s="47">
        <v>1</v>
      </c>
      <c r="BP17" s="47">
        <v>0</v>
      </c>
      <c r="BQ17" s="47">
        <v>0</v>
      </c>
      <c r="BR17" s="47">
        <v>1</v>
      </c>
      <c r="BS17" s="47">
        <v>1</v>
      </c>
      <c r="BT17" s="47">
        <v>1</v>
      </c>
      <c r="BU17" s="47">
        <v>1</v>
      </c>
      <c r="BV17" s="47">
        <v>1</v>
      </c>
      <c r="BW17" s="47">
        <v>0</v>
      </c>
      <c r="BX17" s="47">
        <v>0</v>
      </c>
      <c r="BY17" s="47">
        <v>1</v>
      </c>
      <c r="BZ17" s="47">
        <v>1</v>
      </c>
      <c r="CA17" s="47">
        <v>1</v>
      </c>
      <c r="CB17" s="47">
        <v>1</v>
      </c>
      <c r="CC17" s="47">
        <v>1</v>
      </c>
      <c r="CD17" s="47">
        <v>0</v>
      </c>
      <c r="CE17" s="47">
        <v>0</v>
      </c>
      <c r="CF17" s="47">
        <v>1</v>
      </c>
      <c r="CG17" s="47">
        <v>1</v>
      </c>
      <c r="CH17" s="47">
        <v>1</v>
      </c>
      <c r="CI17" s="47">
        <v>0</v>
      </c>
      <c r="CJ17" s="47">
        <v>0</v>
      </c>
      <c r="CK17" s="47">
        <v>0</v>
      </c>
      <c r="CL17" s="47">
        <v>0</v>
      </c>
      <c r="CM17" s="47">
        <v>1</v>
      </c>
      <c r="CN17" s="47">
        <v>1</v>
      </c>
      <c r="CO17" s="47">
        <v>1</v>
      </c>
      <c r="CP17" s="47">
        <v>1</v>
      </c>
      <c r="CQ17" s="47">
        <v>1</v>
      </c>
      <c r="CR17" s="47">
        <v>0</v>
      </c>
      <c r="CS17" s="47">
        <v>0</v>
      </c>
      <c r="CT17" s="47">
        <v>1</v>
      </c>
      <c r="CU17" s="47">
        <v>1</v>
      </c>
      <c r="CV17" s="47">
        <v>1</v>
      </c>
      <c r="CW17" s="47">
        <v>1</v>
      </c>
      <c r="CX17" s="47">
        <v>1</v>
      </c>
      <c r="CY17" s="47">
        <v>0</v>
      </c>
      <c r="CZ17" s="47">
        <v>0</v>
      </c>
      <c r="DA17" s="47">
        <v>1</v>
      </c>
      <c r="DB17" s="47">
        <v>1</v>
      </c>
      <c r="DC17" s="47">
        <v>1</v>
      </c>
      <c r="DD17" s="47">
        <v>1</v>
      </c>
      <c r="DE17" s="47">
        <v>0</v>
      </c>
      <c r="DF17" s="47">
        <v>0</v>
      </c>
      <c r="DG17" s="47">
        <v>0</v>
      </c>
      <c r="DH17" s="47">
        <v>1</v>
      </c>
      <c r="DI17" s="47">
        <v>1</v>
      </c>
      <c r="DJ17" s="77">
        <v>1</v>
      </c>
      <c r="DK17" s="18">
        <f>SUM(Tabela246379[[#This Row],[16-mar]:[01/jul]])</f>
        <v>40</v>
      </c>
      <c r="DL17" s="48">
        <f>Tabela246379[[#This Row],[Dias]]*8</f>
        <v>320</v>
      </c>
      <c r="DM17" s="49">
        <f>SUM(Tabela246379[[#This Row],[16-mar]:[20-mar]])</f>
        <v>0</v>
      </c>
      <c r="DN17" s="50">
        <f>Tabela246379[[#This Row],[16/03 - 20/03]]*8.8</f>
        <v>0</v>
      </c>
      <c r="DO17" s="53">
        <f>SUM(Tabela246379[[#This Row],[23-mar]:[27-mar]])</f>
        <v>0</v>
      </c>
      <c r="DP17" s="54">
        <f>Tabela246379[[#This Row],[23/03 - 27/03]]*8.8</f>
        <v>0</v>
      </c>
      <c r="DQ17" s="53">
        <f>SUM(Tabela246379[[#This Row],[30-mar]:[2-abr]])</f>
        <v>0</v>
      </c>
      <c r="DR17" s="54">
        <f>Tabela246379[[#This Row],[30/03 - 02/04]]*8.8</f>
        <v>0</v>
      </c>
      <c r="DS17" s="53">
        <f>SUM(Tabela246379[[#This Row],[7-abr]:[10-abr]])</f>
        <v>0</v>
      </c>
      <c r="DT17" s="54">
        <f>Tabela246379[[#This Row],[07/04 - 10/04]]*8.8</f>
        <v>0</v>
      </c>
      <c r="DU17" s="51">
        <f>SUM(Tabela246379[[#This Row],[13-abr]:[17-abr]])</f>
        <v>1</v>
      </c>
      <c r="DV17" s="52">
        <f>Tabela246379[[#This Row],[13/04 - 17/04]]*8.8</f>
        <v>8.8000000000000007</v>
      </c>
      <c r="DW17" s="53">
        <f>SUM(Tabela246379[[#This Row],[22-abr]:[24-abr]])</f>
        <v>0</v>
      </c>
      <c r="DX17" s="54">
        <f>Tabela246379[[#This Row],[22/04 - 24/04]]*8.8</f>
        <v>0</v>
      </c>
      <c r="DY17" s="53">
        <f>SUM(Tabela246379[[#This Row],[27-abr]:[30-abr]])</f>
        <v>0</v>
      </c>
      <c r="DZ17" s="54">
        <f>Tabela246379[[#This Row],[27/04 - 30/04]]*8.8</f>
        <v>0</v>
      </c>
      <c r="EA17" s="53">
        <f>SUM(Tabela246379[[#This Row],[4-mai]:[8-mai]])</f>
        <v>4</v>
      </c>
      <c r="EB17" s="54">
        <f>Tabela246379[[#This Row],[04/05 - 08/05]]*8.8</f>
        <v>35.200000000000003</v>
      </c>
      <c r="EC17" s="53">
        <f>SUM(Tabela246379[[#This Row],[11-mai]:[15-mai]])</f>
        <v>5</v>
      </c>
      <c r="ED17" s="55">
        <f>Tabela246379[[#This Row],[11/05 - 15/05]]*8.8</f>
        <v>44</v>
      </c>
      <c r="EE17" s="53">
        <f>SUM(Tabela246379[[#This Row],[18-mai]:[22-mai]])</f>
        <v>5</v>
      </c>
      <c r="EF17" s="51">
        <f>Tabela246379[[#This Row],[18/05 - 22/05]]*8.8</f>
        <v>44</v>
      </c>
      <c r="EG17" s="53">
        <f>SUM(Tabela246379[[#This Row],[25-mai]:[29-mai]])</f>
        <v>5</v>
      </c>
      <c r="EH17" s="55">
        <f>Tabela246379[[#This Row],[25/05 - 29/05]]*8.8</f>
        <v>44</v>
      </c>
      <c r="EI17" s="53">
        <f>SUM(Tabela246379[[#This Row],[1-jun]:[3-jun]])</f>
        <v>3</v>
      </c>
      <c r="EJ17" s="55">
        <f>Tabela246379[[#This Row],[01/06 - 03/06]]*8.8</f>
        <v>26.400000000000002</v>
      </c>
      <c r="EK17" s="53">
        <f>SUM(Tabela246379[[#This Row],[8-jun]:[12-jun]])</f>
        <v>5</v>
      </c>
      <c r="EL17" s="55">
        <f>Tabela246379[[#This Row],[08/06 - 12/06]]*8.8</f>
        <v>44</v>
      </c>
      <c r="EM17" s="53">
        <f>SUM(Tabela246379[[#This Row],[15-jun]:[19-jun]])</f>
        <v>5</v>
      </c>
      <c r="EN17" s="55">
        <f>Tabela246379[[#This Row],[15/06 - 19/06]]*8.8</f>
        <v>44</v>
      </c>
      <c r="EO17" s="53">
        <f>SUM(Tabela246379[[#This Row],[22-jun]:[26-jun]])</f>
        <v>4</v>
      </c>
      <c r="EP17" s="55">
        <f>Tabela246379[[#This Row],[22/06 - 26/06]]*8.8</f>
        <v>35.200000000000003</v>
      </c>
      <c r="EQ17" s="49">
        <f>SUM(Tabela246379[[#This Row],[29/jun]:[01/jul]])</f>
        <v>3</v>
      </c>
      <c r="ER17" s="70">
        <f>Tabela246379[[#This Row],[29/06 - 01/07]]*8.8</f>
        <v>26.400000000000002</v>
      </c>
    </row>
    <row r="18" spans="1:148" s="43" customFormat="1" ht="24.95" customHeight="1" x14ac:dyDescent="0.25">
      <c r="A18" s="58"/>
      <c r="B18" s="59"/>
      <c r="C18" s="60" t="s">
        <v>155</v>
      </c>
      <c r="D18" s="61">
        <f t="shared" si="0"/>
        <v>0</v>
      </c>
      <c r="E18" s="61">
        <f t="shared" si="1"/>
        <v>1.0579591836734694</v>
      </c>
      <c r="F18" s="62">
        <f t="shared" si="2"/>
        <v>2</v>
      </c>
      <c r="G18" s="63"/>
      <c r="H18" s="64"/>
      <c r="I18" s="64"/>
      <c r="J18" s="64"/>
      <c r="K18" s="64"/>
      <c r="L18" s="65"/>
      <c r="M18" s="65"/>
      <c r="N18" s="64"/>
      <c r="O18" s="64"/>
      <c r="P18" s="64"/>
      <c r="Q18" s="64"/>
      <c r="R18" s="64"/>
      <c r="S18" s="65"/>
      <c r="T18" s="65"/>
      <c r="U18" s="64"/>
      <c r="V18" s="64"/>
      <c r="W18" s="64"/>
      <c r="X18" s="64"/>
      <c r="Y18" s="65"/>
      <c r="Z18" s="65"/>
      <c r="AA18" s="65"/>
      <c r="AB18" s="65"/>
      <c r="AC18" s="47">
        <v>0</v>
      </c>
      <c r="AD18" s="64">
        <v>0.56999999999999995</v>
      </c>
      <c r="AE18" s="64">
        <v>1</v>
      </c>
      <c r="AF18" s="47">
        <v>0</v>
      </c>
      <c r="AG18" s="65"/>
      <c r="AH18" s="65"/>
      <c r="AI18" s="47">
        <v>0</v>
      </c>
      <c r="AJ18" s="64">
        <v>0.51</v>
      </c>
      <c r="AK18" s="47">
        <v>0</v>
      </c>
      <c r="AL18" s="47">
        <v>0</v>
      </c>
      <c r="AM18" s="64">
        <v>0.68</v>
      </c>
      <c r="AN18" s="65"/>
      <c r="AO18" s="65"/>
      <c r="AP18" s="65"/>
      <c r="AQ18" s="65"/>
      <c r="AR18" s="47">
        <v>0</v>
      </c>
      <c r="AS18" s="47">
        <v>1</v>
      </c>
      <c r="AT18" s="47">
        <v>1</v>
      </c>
      <c r="AU18" s="65"/>
      <c r="AV18" s="65"/>
      <c r="AW18" s="64">
        <v>1</v>
      </c>
      <c r="AX18" s="64">
        <v>1</v>
      </c>
      <c r="AY18" s="64">
        <v>1</v>
      </c>
      <c r="AZ18" s="64">
        <v>0.88</v>
      </c>
      <c r="BA18" s="65"/>
      <c r="BB18" s="65"/>
      <c r="BC18" s="65"/>
      <c r="BD18" s="64">
        <v>0.88</v>
      </c>
      <c r="BE18" s="64">
        <v>0.5</v>
      </c>
      <c r="BF18" s="64">
        <v>1.5</v>
      </c>
      <c r="BG18" s="64">
        <v>1</v>
      </c>
      <c r="BH18" s="64">
        <v>1.94</v>
      </c>
      <c r="BI18" s="65"/>
      <c r="BJ18" s="65"/>
      <c r="BK18" s="64">
        <v>1.88</v>
      </c>
      <c r="BL18" s="64">
        <v>2</v>
      </c>
      <c r="BM18" s="64">
        <v>2</v>
      </c>
      <c r="BN18" s="64">
        <v>1</v>
      </c>
      <c r="BO18" s="64">
        <v>1</v>
      </c>
      <c r="BP18" s="65"/>
      <c r="BQ18" s="65"/>
      <c r="BR18" s="64">
        <v>1</v>
      </c>
      <c r="BS18" s="64">
        <v>1.5</v>
      </c>
      <c r="BT18" s="64">
        <v>1.5</v>
      </c>
      <c r="BU18" s="64">
        <v>1.5</v>
      </c>
      <c r="BV18" s="64">
        <v>2</v>
      </c>
      <c r="BW18" s="65"/>
      <c r="BX18" s="65"/>
      <c r="BY18" s="64">
        <v>1</v>
      </c>
      <c r="BZ18" s="64">
        <v>1</v>
      </c>
      <c r="CA18" s="64">
        <v>2</v>
      </c>
      <c r="CB18" s="64">
        <v>1</v>
      </c>
      <c r="CC18" s="64">
        <v>1.5</v>
      </c>
      <c r="CD18" s="65"/>
      <c r="CE18" s="65"/>
      <c r="CF18" s="64">
        <v>2</v>
      </c>
      <c r="CG18" s="64">
        <v>1.5</v>
      </c>
      <c r="CH18" s="64">
        <v>2</v>
      </c>
      <c r="CI18" s="65"/>
      <c r="CJ18" s="65"/>
      <c r="CK18" s="65"/>
      <c r="CL18" s="65"/>
      <c r="CM18" s="64">
        <v>1</v>
      </c>
      <c r="CN18" s="64">
        <v>1</v>
      </c>
      <c r="CO18" s="64">
        <v>1</v>
      </c>
      <c r="CP18" s="64">
        <v>1</v>
      </c>
      <c r="CQ18" s="64">
        <v>1</v>
      </c>
      <c r="CR18" s="65"/>
      <c r="CS18" s="65"/>
      <c r="CT18" s="64">
        <v>1</v>
      </c>
      <c r="CU18" s="64">
        <v>1</v>
      </c>
      <c r="CV18" s="64">
        <v>1</v>
      </c>
      <c r="CW18" s="64">
        <v>1</v>
      </c>
      <c r="CX18" s="64">
        <v>1</v>
      </c>
      <c r="CY18" s="65"/>
      <c r="CZ18" s="65"/>
      <c r="DA18" s="64">
        <v>2</v>
      </c>
      <c r="DB18" s="64">
        <v>3</v>
      </c>
      <c r="DC18" s="64">
        <v>3</v>
      </c>
      <c r="DD18" s="64">
        <v>3</v>
      </c>
      <c r="DE18" s="64">
        <v>2</v>
      </c>
      <c r="DF18" s="65"/>
      <c r="DG18" s="65"/>
      <c r="DH18" s="75">
        <v>1</v>
      </c>
      <c r="DI18" s="75">
        <v>2</v>
      </c>
      <c r="DJ18" s="75">
        <v>1</v>
      </c>
      <c r="DK18" s="18">
        <f>SUM(Tabela246379[[#This Row],[16-mar]:[01/jul]])</f>
        <v>68.84</v>
      </c>
      <c r="DL18" s="48">
        <f>Tabela246379[[#This Row],[Dias]]*8</f>
        <v>550.72</v>
      </c>
      <c r="DM18" s="49">
        <f>SUM(Tabela246379[[#This Row],[16-mar]:[20-mar]])</f>
        <v>0</v>
      </c>
      <c r="DN18" s="50">
        <f>Tabela246379[[#This Row],[16/03 - 20/03]]*8.8</f>
        <v>0</v>
      </c>
      <c r="DO18" s="49">
        <f>SUM(Tabela246379[[#This Row],[23-mar]:[27-mar]])</f>
        <v>0</v>
      </c>
      <c r="DP18" s="67">
        <f>Tabela246379[[#This Row],[23/03 - 27/03]]*8.8</f>
        <v>0</v>
      </c>
      <c r="DQ18" s="49">
        <f>SUM(Tabela246379[[#This Row],[30-mar]:[2-abr]])</f>
        <v>0</v>
      </c>
      <c r="DR18" s="67">
        <f>Tabela246379[[#This Row],[30/03 - 02/04]]*8.8</f>
        <v>0</v>
      </c>
      <c r="DS18" s="49">
        <f>SUM(Tabela246379[[#This Row],[7-abr]:[10-abr]])</f>
        <v>1.5699999999999998</v>
      </c>
      <c r="DT18" s="67">
        <f>Tabela246379[[#This Row],[07/04 - 10/04]]*8.8</f>
        <v>13.815999999999999</v>
      </c>
      <c r="DU18" s="68">
        <f>SUM(Tabela246379[[#This Row],[13-abr]:[17-abr]])</f>
        <v>1.19</v>
      </c>
      <c r="DV18" s="69">
        <f>Tabela246379[[#This Row],[13/04 - 17/04]]*8.8</f>
        <v>10.472</v>
      </c>
      <c r="DW18" s="49">
        <f>SUM(Tabela246379[[#This Row],[22-abr]:[24-abr]])</f>
        <v>2</v>
      </c>
      <c r="DX18" s="67">
        <f>Tabela246379[[#This Row],[22/04 - 24/04]]*8.8</f>
        <v>17.600000000000001</v>
      </c>
      <c r="DY18" s="49">
        <f>SUM(Tabela246379[[#This Row],[27-abr]:[30-abr]])</f>
        <v>3.88</v>
      </c>
      <c r="DZ18" s="67">
        <f>Tabela246379[[#This Row],[27/04 - 30/04]]*8.8</f>
        <v>34.143999999999998</v>
      </c>
      <c r="EA18" s="49">
        <f>SUM(Tabela246379[[#This Row],[4-mai]:[8-mai]])</f>
        <v>5.82</v>
      </c>
      <c r="EB18" s="67">
        <f>Tabela246379[[#This Row],[04/05 - 08/05]]*8.8</f>
        <v>51.216000000000008</v>
      </c>
      <c r="EC18" s="49">
        <f>SUM(Tabela246379[[#This Row],[11-mai]:[15-mai]])</f>
        <v>7.88</v>
      </c>
      <c r="ED18" s="70">
        <f>Tabela246379[[#This Row],[11/05 - 15/05]]*8.8</f>
        <v>69.344000000000008</v>
      </c>
      <c r="EE18" s="49">
        <f>SUM(Tabela246379[[#This Row],[18-mai]:[22-mai]])</f>
        <v>7.5</v>
      </c>
      <c r="EF18" s="68">
        <f>Tabela246379[[#This Row],[18/05 - 22/05]]*8.8</f>
        <v>66</v>
      </c>
      <c r="EG18" s="49">
        <f>SUM(Tabela246379[[#This Row],[25-mai]:[29-mai]])</f>
        <v>6.5</v>
      </c>
      <c r="EH18" s="70">
        <f>Tabela246379[[#This Row],[25/05 - 29/05]]*8.8</f>
        <v>57.2</v>
      </c>
      <c r="EI18" s="49">
        <f>SUM(Tabela246379[[#This Row],[1-jun]:[3-jun]])</f>
        <v>5.5</v>
      </c>
      <c r="EJ18" s="70">
        <f>Tabela246379[[#This Row],[01/06 - 03/06]]*8.8</f>
        <v>48.400000000000006</v>
      </c>
      <c r="EK18" s="49">
        <f>SUM(Tabela246379[[#This Row],[8-jun]:[12-jun]])</f>
        <v>5</v>
      </c>
      <c r="EL18" s="70">
        <f>Tabela246379[[#This Row],[08/06 - 12/06]]*8.8</f>
        <v>44</v>
      </c>
      <c r="EM18" s="49">
        <f>SUM(Tabela246379[[#This Row],[15-jun]:[19-jun]])</f>
        <v>5</v>
      </c>
      <c r="EN18" s="70">
        <f>Tabela246379[[#This Row],[15/06 - 19/06]]*8.8</f>
        <v>44</v>
      </c>
      <c r="EO18" s="49">
        <f>SUM(Tabela246379[[#This Row],[22-jun]:[26-jun]])</f>
        <v>13</v>
      </c>
      <c r="EP18" s="70">
        <f>Tabela246379[[#This Row],[22/06 - 26/06]]*8.8</f>
        <v>114.4</v>
      </c>
      <c r="EQ18" s="49">
        <f>SUM(Tabela246379[[#This Row],[29/jun]:[01/jul]])</f>
        <v>4</v>
      </c>
      <c r="ER18" s="70">
        <f>Tabela246379[[#This Row],[29/06 - 01/07]]*8.8</f>
        <v>35.200000000000003</v>
      </c>
    </row>
    <row r="19" spans="1:148" s="22" customFormat="1" ht="24.95" customHeight="1" x14ac:dyDescent="0.25">
      <c r="A19" s="13">
        <v>7</v>
      </c>
      <c r="B19" s="59" t="s">
        <v>161</v>
      </c>
      <c r="C19" s="71" t="s">
        <v>5</v>
      </c>
      <c r="D19" s="72">
        <f t="shared" si="0"/>
        <v>0</v>
      </c>
      <c r="E19" s="72">
        <f t="shared" si="1"/>
        <v>0.38265306122448978</v>
      </c>
      <c r="F19" s="73">
        <f t="shared" si="2"/>
        <v>1</v>
      </c>
      <c r="G19" s="74">
        <v>0</v>
      </c>
      <c r="H19" s="46">
        <v>0</v>
      </c>
      <c r="I19" s="46">
        <v>0</v>
      </c>
      <c r="J19" s="46">
        <v>0</v>
      </c>
      <c r="K19" s="46">
        <v>0</v>
      </c>
      <c r="L19" s="47">
        <v>0</v>
      </c>
      <c r="M19" s="47">
        <v>0</v>
      </c>
      <c r="N19" s="47">
        <v>0.5</v>
      </c>
      <c r="O19" s="47">
        <v>0.5</v>
      </c>
      <c r="P19" s="47">
        <v>0.5</v>
      </c>
      <c r="Q19" s="47">
        <v>0.5</v>
      </c>
      <c r="R19" s="47">
        <v>0.5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1</v>
      </c>
      <c r="AX19" s="47">
        <v>1</v>
      </c>
      <c r="AY19" s="47">
        <v>1</v>
      </c>
      <c r="AZ19" s="47">
        <v>1</v>
      </c>
      <c r="BA19" s="47">
        <v>0</v>
      </c>
      <c r="BB19" s="47">
        <v>0</v>
      </c>
      <c r="BC19" s="47">
        <v>0</v>
      </c>
      <c r="BD19" s="47">
        <v>1</v>
      </c>
      <c r="BE19" s="47">
        <v>1</v>
      </c>
      <c r="BF19" s="47">
        <v>1</v>
      </c>
      <c r="BG19" s="47">
        <v>1</v>
      </c>
      <c r="BH19" s="47">
        <v>1</v>
      </c>
      <c r="BI19" s="47">
        <v>0</v>
      </c>
      <c r="BJ19" s="47">
        <v>0</v>
      </c>
      <c r="BK19" s="47">
        <v>1</v>
      </c>
      <c r="BL19" s="47">
        <v>0</v>
      </c>
      <c r="BM19" s="47">
        <v>0</v>
      </c>
      <c r="BN19" s="47">
        <v>1</v>
      </c>
      <c r="BO19" s="47">
        <v>1</v>
      </c>
      <c r="BP19" s="47">
        <v>0</v>
      </c>
      <c r="BQ19" s="47">
        <v>0</v>
      </c>
      <c r="BR19" s="47">
        <v>1</v>
      </c>
      <c r="BS19" s="47">
        <v>1</v>
      </c>
      <c r="BT19" s="47">
        <v>1</v>
      </c>
      <c r="BU19" s="47">
        <v>1</v>
      </c>
      <c r="BV19" s="47">
        <v>1</v>
      </c>
      <c r="BW19" s="47">
        <v>0</v>
      </c>
      <c r="BX19" s="47">
        <v>0</v>
      </c>
      <c r="BY19" s="47">
        <v>1</v>
      </c>
      <c r="BZ19" s="47">
        <v>1</v>
      </c>
      <c r="CA19" s="47">
        <v>1</v>
      </c>
      <c r="CB19" s="47">
        <v>1</v>
      </c>
      <c r="CC19" s="47">
        <v>1</v>
      </c>
      <c r="CD19" s="47">
        <v>0</v>
      </c>
      <c r="CE19" s="47">
        <v>0</v>
      </c>
      <c r="CF19" s="47">
        <v>1</v>
      </c>
      <c r="CG19" s="47">
        <v>1</v>
      </c>
      <c r="CH19" s="47">
        <v>1</v>
      </c>
      <c r="CI19" s="47">
        <v>0</v>
      </c>
      <c r="CJ19" s="47">
        <v>0</v>
      </c>
      <c r="CK19" s="47">
        <v>0</v>
      </c>
      <c r="CL19" s="47">
        <v>0</v>
      </c>
      <c r="CM19" s="47">
        <v>1</v>
      </c>
      <c r="CN19" s="47">
        <v>1</v>
      </c>
      <c r="CO19" s="47">
        <v>1</v>
      </c>
      <c r="CP19" s="47">
        <v>1</v>
      </c>
      <c r="CQ19" s="47">
        <v>1</v>
      </c>
      <c r="CR19" s="47">
        <v>0</v>
      </c>
      <c r="CS19" s="47">
        <v>0</v>
      </c>
      <c r="CT19" s="47">
        <v>1</v>
      </c>
      <c r="CU19" s="47">
        <v>1</v>
      </c>
      <c r="CV19" s="47">
        <v>1</v>
      </c>
      <c r="CW19" s="47">
        <v>1</v>
      </c>
      <c r="CX19" s="47">
        <v>1</v>
      </c>
      <c r="CY19" s="47">
        <v>0</v>
      </c>
      <c r="CZ19" s="47">
        <v>0</v>
      </c>
      <c r="DA19" s="47">
        <v>1</v>
      </c>
      <c r="DB19" s="47">
        <v>0</v>
      </c>
      <c r="DC19" s="47">
        <v>0</v>
      </c>
      <c r="DD19" s="47">
        <v>0</v>
      </c>
      <c r="DE19" s="47">
        <v>0</v>
      </c>
      <c r="DF19" s="47">
        <v>0</v>
      </c>
      <c r="DG19" s="47">
        <v>0</v>
      </c>
      <c r="DH19" s="47">
        <v>0</v>
      </c>
      <c r="DI19" s="47">
        <v>0</v>
      </c>
      <c r="DJ19" s="77">
        <v>0</v>
      </c>
      <c r="DK19" s="18">
        <f>SUM(Tabela246379[[#This Row],[16-mar]:[01/jul]])</f>
        <v>38.5</v>
      </c>
      <c r="DL19" s="48">
        <f>Tabela246379[[#This Row],[Dias]]*8</f>
        <v>308</v>
      </c>
      <c r="DM19" s="49">
        <f>SUM(Tabela246379[[#This Row],[16-mar]:[20-mar]])</f>
        <v>0</v>
      </c>
      <c r="DN19" s="50">
        <f>Tabela246379[[#This Row],[16/03 - 20/03]]*8.8</f>
        <v>0</v>
      </c>
      <c r="DO19" s="53">
        <f>SUM(Tabela246379[[#This Row],[23-mar]:[27-mar]])</f>
        <v>2.5</v>
      </c>
      <c r="DP19" s="54">
        <f>Tabela246379[[#This Row],[23/03 - 27/03]]*8.8</f>
        <v>22</v>
      </c>
      <c r="DQ19" s="53">
        <f>SUM(Tabela246379[[#This Row],[30-mar]:[2-abr]])</f>
        <v>0</v>
      </c>
      <c r="DR19" s="54">
        <f>Tabela246379[[#This Row],[30/03 - 02/04]]*8.8</f>
        <v>0</v>
      </c>
      <c r="DS19" s="53">
        <f>SUM(Tabela246379[[#This Row],[7-abr]:[10-abr]])</f>
        <v>0</v>
      </c>
      <c r="DT19" s="54">
        <f>Tabela246379[[#This Row],[07/04 - 10/04]]*8.8</f>
        <v>0</v>
      </c>
      <c r="DU19" s="51">
        <f>SUM(Tabela246379[[#This Row],[13-abr]:[17-abr]])</f>
        <v>0</v>
      </c>
      <c r="DV19" s="52">
        <f>Tabela246379[[#This Row],[13/04 - 17/04]]*8.8</f>
        <v>0</v>
      </c>
      <c r="DW19" s="53">
        <f>SUM(Tabela246379[[#This Row],[22-abr]:[24-abr]])</f>
        <v>0</v>
      </c>
      <c r="DX19" s="54">
        <f>Tabela246379[[#This Row],[22/04 - 24/04]]*8.8</f>
        <v>0</v>
      </c>
      <c r="DY19" s="53">
        <f>SUM(Tabela246379[[#This Row],[27-abr]:[30-abr]])</f>
        <v>4</v>
      </c>
      <c r="DZ19" s="54">
        <f>Tabela246379[[#This Row],[27/04 - 30/04]]*8.8</f>
        <v>35.200000000000003</v>
      </c>
      <c r="EA19" s="53">
        <f>SUM(Tabela246379[[#This Row],[4-mai]:[8-mai]])</f>
        <v>5</v>
      </c>
      <c r="EB19" s="54">
        <f>Tabela246379[[#This Row],[04/05 - 08/05]]*8.8</f>
        <v>44</v>
      </c>
      <c r="EC19" s="53">
        <f>SUM(Tabela246379[[#This Row],[11-mai]:[15-mai]])</f>
        <v>3</v>
      </c>
      <c r="ED19" s="55">
        <f>Tabela246379[[#This Row],[11/05 - 15/05]]*8.8</f>
        <v>26.400000000000002</v>
      </c>
      <c r="EE19" s="53">
        <f>SUM(Tabela246379[[#This Row],[18-mai]:[22-mai]])</f>
        <v>5</v>
      </c>
      <c r="EF19" s="51">
        <f>Tabela246379[[#This Row],[18/05 - 22/05]]*8.8</f>
        <v>44</v>
      </c>
      <c r="EG19" s="53">
        <f>SUM(Tabela246379[[#This Row],[25-mai]:[29-mai]])</f>
        <v>5</v>
      </c>
      <c r="EH19" s="55">
        <f>Tabela246379[[#This Row],[25/05 - 29/05]]*8.8</f>
        <v>44</v>
      </c>
      <c r="EI19" s="53">
        <f>SUM(Tabela246379[[#This Row],[1-jun]:[3-jun]])</f>
        <v>3</v>
      </c>
      <c r="EJ19" s="55">
        <f>Tabela246379[[#This Row],[01/06 - 03/06]]*8.8</f>
        <v>26.400000000000002</v>
      </c>
      <c r="EK19" s="53">
        <f>SUM(Tabela246379[[#This Row],[8-jun]:[12-jun]])</f>
        <v>5</v>
      </c>
      <c r="EL19" s="55">
        <f>Tabela246379[[#This Row],[08/06 - 12/06]]*8.8</f>
        <v>44</v>
      </c>
      <c r="EM19" s="53">
        <f>SUM(Tabela246379[[#This Row],[15-jun]:[19-jun]])</f>
        <v>5</v>
      </c>
      <c r="EN19" s="55">
        <f>Tabela246379[[#This Row],[15/06 - 19/06]]*8.8</f>
        <v>44</v>
      </c>
      <c r="EO19" s="53">
        <f>SUM(Tabela246379[[#This Row],[22-jun]:[26-jun]])</f>
        <v>1</v>
      </c>
      <c r="EP19" s="55">
        <f>Tabela246379[[#This Row],[22/06 - 26/06]]*8.8</f>
        <v>8.8000000000000007</v>
      </c>
      <c r="EQ19" s="49">
        <f>SUM(Tabela246379[[#This Row],[29/jun]:[01/jul]])</f>
        <v>0</v>
      </c>
      <c r="ER19" s="70">
        <f>Tabela246379[[#This Row],[29/06 - 01/07]]*8.8</f>
        <v>0</v>
      </c>
    </row>
    <row r="20" spans="1:148" s="43" customFormat="1" ht="24.95" customHeight="1" x14ac:dyDescent="0.25">
      <c r="A20" s="58"/>
      <c r="B20" s="59"/>
      <c r="C20" s="60" t="s">
        <v>155</v>
      </c>
      <c r="D20" s="61">
        <f t="shared" si="0"/>
        <v>0</v>
      </c>
      <c r="E20" s="61">
        <f t="shared" si="1"/>
        <v>0.65603773584905656</v>
      </c>
      <c r="F20" s="62">
        <f t="shared" si="2"/>
        <v>1</v>
      </c>
      <c r="G20" s="63"/>
      <c r="H20" s="64"/>
      <c r="I20" s="64"/>
      <c r="J20" s="64"/>
      <c r="K20" s="64"/>
      <c r="L20" s="65"/>
      <c r="M20" s="65"/>
      <c r="N20" s="64">
        <v>0.25</v>
      </c>
      <c r="O20" s="64">
        <v>0.25</v>
      </c>
      <c r="P20" s="64">
        <v>0.25</v>
      </c>
      <c r="Q20" s="64">
        <v>0.25</v>
      </c>
      <c r="R20" s="64">
        <v>0.25</v>
      </c>
      <c r="S20" s="65"/>
      <c r="T20" s="65"/>
      <c r="U20" s="64">
        <v>0.23</v>
      </c>
      <c r="V20" s="64">
        <v>0.23</v>
      </c>
      <c r="W20" s="64">
        <v>0.23</v>
      </c>
      <c r="X20" s="64">
        <v>0.23</v>
      </c>
      <c r="Y20" s="65"/>
      <c r="Z20" s="65"/>
      <c r="AA20" s="65"/>
      <c r="AB20" s="65"/>
      <c r="AC20" s="47">
        <v>0</v>
      </c>
      <c r="AD20" s="47">
        <v>0</v>
      </c>
      <c r="AE20" s="47">
        <v>0</v>
      </c>
      <c r="AF20" s="47">
        <v>0</v>
      </c>
      <c r="AG20" s="65"/>
      <c r="AH20" s="65"/>
      <c r="AI20" s="64">
        <v>0.25</v>
      </c>
      <c r="AJ20" s="64">
        <v>0.25</v>
      </c>
      <c r="AK20" s="64">
        <v>0.25</v>
      </c>
      <c r="AL20" s="64">
        <v>0.25</v>
      </c>
      <c r="AM20" s="64">
        <v>0.25</v>
      </c>
      <c r="AN20" s="65"/>
      <c r="AO20" s="65"/>
      <c r="AP20" s="65"/>
      <c r="AQ20" s="65"/>
      <c r="AR20" s="47">
        <v>1</v>
      </c>
      <c r="AS20" s="47">
        <v>1</v>
      </c>
      <c r="AT20" s="47">
        <v>1</v>
      </c>
      <c r="AU20" s="65"/>
      <c r="AV20" s="65"/>
      <c r="AW20" s="64">
        <v>1</v>
      </c>
      <c r="AX20" s="64"/>
      <c r="AY20" s="64">
        <v>0.5</v>
      </c>
      <c r="AZ20" s="64">
        <v>1</v>
      </c>
      <c r="BA20" s="65"/>
      <c r="BB20" s="65"/>
      <c r="BC20" s="65"/>
      <c r="BD20" s="64">
        <v>1</v>
      </c>
      <c r="BE20" s="64">
        <v>1</v>
      </c>
      <c r="BF20" s="64">
        <v>0.75</v>
      </c>
      <c r="BG20" s="64">
        <v>1</v>
      </c>
      <c r="BH20" s="64">
        <v>1</v>
      </c>
      <c r="BI20" s="65"/>
      <c r="BJ20" s="65"/>
      <c r="BK20" s="64">
        <v>1</v>
      </c>
      <c r="BL20" s="64">
        <v>0.88</v>
      </c>
      <c r="BM20" s="64">
        <v>1</v>
      </c>
      <c r="BN20" s="64">
        <v>1</v>
      </c>
      <c r="BO20" s="64">
        <v>0.88</v>
      </c>
      <c r="BP20" s="65"/>
      <c r="BQ20" s="65"/>
      <c r="BR20" s="64">
        <v>1</v>
      </c>
      <c r="BS20" s="64">
        <v>1</v>
      </c>
      <c r="BT20" s="64">
        <v>1</v>
      </c>
      <c r="BU20" s="64">
        <v>1</v>
      </c>
      <c r="BV20" s="64">
        <v>0.5</v>
      </c>
      <c r="BW20" s="65"/>
      <c r="BX20" s="65"/>
      <c r="BY20" s="64">
        <v>0.5</v>
      </c>
      <c r="BZ20" s="64">
        <v>0.5</v>
      </c>
      <c r="CA20" s="64">
        <v>1</v>
      </c>
      <c r="CB20" s="64">
        <v>1</v>
      </c>
      <c r="CC20" s="64">
        <v>0.84</v>
      </c>
      <c r="CD20" s="65"/>
      <c r="CE20" s="65"/>
      <c r="CF20" s="64"/>
      <c r="CG20" s="64"/>
      <c r="CH20" s="64">
        <v>1</v>
      </c>
      <c r="CI20" s="65"/>
      <c r="CJ20" s="65"/>
      <c r="CK20" s="65"/>
      <c r="CL20" s="65"/>
      <c r="CM20" s="64">
        <v>0.5</v>
      </c>
      <c r="CN20" s="64">
        <v>0.5</v>
      </c>
      <c r="CO20" s="64"/>
      <c r="CP20" s="64"/>
      <c r="CQ20" s="64">
        <v>1</v>
      </c>
      <c r="CR20" s="65"/>
      <c r="CS20" s="65"/>
      <c r="CT20" s="64">
        <v>1</v>
      </c>
      <c r="CU20" s="64">
        <v>1</v>
      </c>
      <c r="CV20" s="64">
        <v>1</v>
      </c>
      <c r="CW20" s="64">
        <v>1</v>
      </c>
      <c r="CX20" s="64">
        <v>1</v>
      </c>
      <c r="CY20" s="65"/>
      <c r="CZ20" s="65"/>
      <c r="DA20" s="64">
        <v>0.25</v>
      </c>
      <c r="DB20" s="64">
        <v>0.5</v>
      </c>
      <c r="DC20" s="64">
        <v>0.5</v>
      </c>
      <c r="DD20" s="64">
        <v>0.25</v>
      </c>
      <c r="DE20" s="64"/>
      <c r="DF20" s="65"/>
      <c r="DG20" s="65"/>
      <c r="DH20" s="75"/>
      <c r="DI20" s="75"/>
      <c r="DJ20" s="75"/>
      <c r="DK20" s="18">
        <f>SUM(Tabela246379[[#This Row],[16-mar]:[01/jul]])</f>
        <v>36.269999999999996</v>
      </c>
      <c r="DL20" s="48">
        <f>Tabela246379[[#This Row],[Dias]]*8</f>
        <v>290.15999999999997</v>
      </c>
      <c r="DM20" s="49">
        <f>SUM(Tabela246379[[#This Row],[16-mar]:[20-mar]])</f>
        <v>0</v>
      </c>
      <c r="DN20" s="50">
        <f>Tabela246379[[#This Row],[16/03 - 20/03]]*8.8</f>
        <v>0</v>
      </c>
      <c r="DO20" s="49">
        <f>SUM(Tabela246379[[#This Row],[23-mar]:[27-mar]])</f>
        <v>1.25</v>
      </c>
      <c r="DP20" s="67">
        <f>Tabela246379[[#This Row],[23/03 - 27/03]]*8.8</f>
        <v>11</v>
      </c>
      <c r="DQ20" s="49">
        <f>SUM(Tabela246379[[#This Row],[30-mar]:[2-abr]])</f>
        <v>0.92</v>
      </c>
      <c r="DR20" s="67">
        <f>Tabela246379[[#This Row],[30/03 - 02/04]]*8.8</f>
        <v>8.0960000000000019</v>
      </c>
      <c r="DS20" s="49">
        <f>SUM(Tabela246379[[#This Row],[7-abr]:[10-abr]])</f>
        <v>0</v>
      </c>
      <c r="DT20" s="67">
        <f>Tabela246379[[#This Row],[07/04 - 10/04]]*8.8</f>
        <v>0</v>
      </c>
      <c r="DU20" s="68">
        <f>SUM(Tabela246379[[#This Row],[13-abr]:[17-abr]])</f>
        <v>1.25</v>
      </c>
      <c r="DV20" s="69">
        <f>Tabela246379[[#This Row],[13/04 - 17/04]]*8.8</f>
        <v>11</v>
      </c>
      <c r="DW20" s="49">
        <f>SUM(Tabela246379[[#This Row],[22-abr]:[24-abr]])</f>
        <v>3</v>
      </c>
      <c r="DX20" s="67">
        <f>Tabela246379[[#This Row],[22/04 - 24/04]]*8.8</f>
        <v>26.400000000000002</v>
      </c>
      <c r="DY20" s="49">
        <f>SUM(Tabela246379[[#This Row],[27-abr]:[30-abr]])</f>
        <v>2.5</v>
      </c>
      <c r="DZ20" s="67">
        <f>Tabela246379[[#This Row],[27/04 - 30/04]]*8.8</f>
        <v>22</v>
      </c>
      <c r="EA20" s="49">
        <f>SUM(Tabela246379[[#This Row],[4-mai]:[8-mai]])</f>
        <v>4.75</v>
      </c>
      <c r="EB20" s="67">
        <f>Tabela246379[[#This Row],[04/05 - 08/05]]*8.8</f>
        <v>41.800000000000004</v>
      </c>
      <c r="EC20" s="49">
        <f>SUM(Tabela246379[[#This Row],[11-mai]:[15-mai]])</f>
        <v>4.76</v>
      </c>
      <c r="ED20" s="70">
        <f>Tabela246379[[#This Row],[11/05 - 15/05]]*8.8</f>
        <v>41.887999999999998</v>
      </c>
      <c r="EE20" s="49">
        <f>SUM(Tabela246379[[#This Row],[18-mai]:[22-mai]])</f>
        <v>4.5</v>
      </c>
      <c r="EF20" s="68">
        <f>Tabela246379[[#This Row],[18/05 - 22/05]]*8.8</f>
        <v>39.6</v>
      </c>
      <c r="EG20" s="49">
        <f>SUM(Tabela246379[[#This Row],[25-mai]:[29-mai]])</f>
        <v>3.84</v>
      </c>
      <c r="EH20" s="70">
        <f>Tabela246379[[#This Row],[25/05 - 29/05]]*8.8</f>
        <v>33.792000000000002</v>
      </c>
      <c r="EI20" s="49">
        <f>SUM(Tabela246379[[#This Row],[1-jun]:[3-jun]])</f>
        <v>1</v>
      </c>
      <c r="EJ20" s="70">
        <f>Tabela246379[[#This Row],[01/06 - 03/06]]*8.8</f>
        <v>8.8000000000000007</v>
      </c>
      <c r="EK20" s="49">
        <f>SUM(Tabela246379[[#This Row],[8-jun]:[12-jun]])</f>
        <v>2</v>
      </c>
      <c r="EL20" s="70">
        <f>Tabela246379[[#This Row],[08/06 - 12/06]]*8.8</f>
        <v>17.600000000000001</v>
      </c>
      <c r="EM20" s="49">
        <f>SUM(Tabela246379[[#This Row],[15-jun]:[19-jun]])</f>
        <v>5</v>
      </c>
      <c r="EN20" s="70">
        <f>Tabela246379[[#This Row],[15/06 - 19/06]]*8.8</f>
        <v>44</v>
      </c>
      <c r="EO20" s="49">
        <f>SUM(Tabela246379[[#This Row],[22-jun]:[26-jun]])</f>
        <v>1.5</v>
      </c>
      <c r="EP20" s="70">
        <f>Tabela246379[[#This Row],[22/06 - 26/06]]*8.8</f>
        <v>13.200000000000001</v>
      </c>
      <c r="EQ20" s="49">
        <f>SUM(Tabela246379[[#This Row],[29/jun]:[01/jul]])</f>
        <v>0</v>
      </c>
      <c r="ER20" s="70">
        <f>Tabela246379[[#This Row],[29/06 - 01/07]]*8.8</f>
        <v>0</v>
      </c>
    </row>
    <row r="21" spans="1:148" s="22" customFormat="1" ht="24.95" customHeight="1" x14ac:dyDescent="0.25">
      <c r="A21" s="58">
        <v>8</v>
      </c>
      <c r="B21" s="59" t="s">
        <v>162</v>
      </c>
      <c r="C21" s="71" t="s">
        <v>5</v>
      </c>
      <c r="D21" s="72">
        <f t="shared" si="0"/>
        <v>0</v>
      </c>
      <c r="E21" s="72">
        <f t="shared" si="1"/>
        <v>0.36734693877551022</v>
      </c>
      <c r="F21" s="73">
        <f t="shared" si="2"/>
        <v>1</v>
      </c>
      <c r="G21" s="74">
        <v>0</v>
      </c>
      <c r="H21" s="46">
        <v>0</v>
      </c>
      <c r="I21" s="46">
        <v>0</v>
      </c>
      <c r="J21" s="46">
        <v>0</v>
      </c>
      <c r="K21" s="46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1</v>
      </c>
      <c r="AJ21" s="47">
        <v>1</v>
      </c>
      <c r="AK21" s="47">
        <v>1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1</v>
      </c>
      <c r="AX21" s="47">
        <v>1</v>
      </c>
      <c r="AY21" s="47">
        <v>1</v>
      </c>
      <c r="AZ21" s="47">
        <v>1</v>
      </c>
      <c r="BA21" s="47">
        <v>0</v>
      </c>
      <c r="BB21" s="47">
        <v>0</v>
      </c>
      <c r="BC21" s="47">
        <v>0</v>
      </c>
      <c r="BD21" s="47">
        <v>1</v>
      </c>
      <c r="BE21" s="47">
        <v>1</v>
      </c>
      <c r="BF21" s="47">
        <v>1</v>
      </c>
      <c r="BG21" s="47">
        <v>1</v>
      </c>
      <c r="BH21" s="47">
        <v>1</v>
      </c>
      <c r="BI21" s="47">
        <v>0</v>
      </c>
      <c r="BJ21" s="47">
        <v>0</v>
      </c>
      <c r="BK21" s="47">
        <v>1</v>
      </c>
      <c r="BL21" s="47">
        <v>0</v>
      </c>
      <c r="BM21" s="47">
        <v>0</v>
      </c>
      <c r="BN21" s="47">
        <v>1</v>
      </c>
      <c r="BO21" s="47">
        <v>1</v>
      </c>
      <c r="BP21" s="47">
        <v>0</v>
      </c>
      <c r="BQ21" s="47">
        <v>0</v>
      </c>
      <c r="BR21" s="47">
        <v>1</v>
      </c>
      <c r="BS21" s="47">
        <v>1</v>
      </c>
      <c r="BT21" s="47">
        <v>1</v>
      </c>
      <c r="BU21" s="47">
        <v>1</v>
      </c>
      <c r="BV21" s="47">
        <v>1</v>
      </c>
      <c r="BW21" s="47">
        <v>0</v>
      </c>
      <c r="BX21" s="47">
        <v>0</v>
      </c>
      <c r="BY21" s="47">
        <v>1</v>
      </c>
      <c r="BZ21" s="47">
        <v>1</v>
      </c>
      <c r="CA21" s="47">
        <v>1</v>
      </c>
      <c r="CB21" s="47">
        <v>1</v>
      </c>
      <c r="CC21" s="47">
        <v>1</v>
      </c>
      <c r="CD21" s="47">
        <v>0</v>
      </c>
      <c r="CE21" s="47">
        <v>0</v>
      </c>
      <c r="CF21" s="47">
        <v>0</v>
      </c>
      <c r="CG21" s="47">
        <v>1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1</v>
      </c>
      <c r="CN21" s="47">
        <v>1</v>
      </c>
      <c r="CO21" s="47">
        <v>1</v>
      </c>
      <c r="CP21" s="47">
        <v>1</v>
      </c>
      <c r="CQ21" s="47">
        <v>1</v>
      </c>
      <c r="CR21" s="47">
        <v>0</v>
      </c>
      <c r="CS21" s="47">
        <v>0</v>
      </c>
      <c r="CT21" s="47">
        <v>1</v>
      </c>
      <c r="CU21" s="47">
        <v>1</v>
      </c>
      <c r="CV21" s="47">
        <v>1</v>
      </c>
      <c r="CW21" s="47">
        <v>1</v>
      </c>
      <c r="CX21" s="47">
        <v>1</v>
      </c>
      <c r="CY21" s="47">
        <v>0</v>
      </c>
      <c r="CZ21" s="47">
        <v>0</v>
      </c>
      <c r="DA21" s="47">
        <v>0</v>
      </c>
      <c r="DB21" s="47">
        <v>0</v>
      </c>
      <c r="DC21" s="47">
        <v>0</v>
      </c>
      <c r="DD21" s="47">
        <v>1</v>
      </c>
      <c r="DE21" s="47">
        <v>0</v>
      </c>
      <c r="DF21" s="47">
        <v>0</v>
      </c>
      <c r="DG21" s="47">
        <v>0</v>
      </c>
      <c r="DH21" s="47">
        <v>0</v>
      </c>
      <c r="DI21" s="47">
        <v>0</v>
      </c>
      <c r="DJ21" s="77">
        <v>0</v>
      </c>
      <c r="DK21" s="18">
        <f>SUM(Tabela246379[[#This Row],[16-mar]:[01/jul]])</f>
        <v>37</v>
      </c>
      <c r="DL21" s="48">
        <f>Tabela246379[[#This Row],[Dias]]*8</f>
        <v>296</v>
      </c>
      <c r="DM21" s="49">
        <f>SUM(Tabela246379[[#This Row],[16-mar]:[20-mar]])</f>
        <v>0</v>
      </c>
      <c r="DN21" s="50">
        <f>Tabela246379[[#This Row],[16/03 - 20/03]]*8.8</f>
        <v>0</v>
      </c>
      <c r="DO21" s="53">
        <f>SUM(Tabela246379[[#This Row],[23-mar]:[27-mar]])</f>
        <v>0</v>
      </c>
      <c r="DP21" s="54">
        <f>Tabela246379[[#This Row],[23/03 - 27/03]]*8.8</f>
        <v>0</v>
      </c>
      <c r="DQ21" s="53">
        <f>SUM(Tabela246379[[#This Row],[30-mar]:[2-abr]])</f>
        <v>0</v>
      </c>
      <c r="DR21" s="54">
        <f>Tabela246379[[#This Row],[30/03 - 02/04]]*8.8</f>
        <v>0</v>
      </c>
      <c r="DS21" s="53">
        <f>SUM(Tabela246379[[#This Row],[7-abr]:[10-abr]])</f>
        <v>0</v>
      </c>
      <c r="DT21" s="54">
        <f>Tabela246379[[#This Row],[07/04 - 10/04]]*8.8</f>
        <v>0</v>
      </c>
      <c r="DU21" s="51">
        <f>SUM(Tabela246379[[#This Row],[13-abr]:[17-abr]])</f>
        <v>3</v>
      </c>
      <c r="DV21" s="52">
        <f>Tabela246379[[#This Row],[13/04 - 17/04]]*8.8</f>
        <v>26.400000000000002</v>
      </c>
      <c r="DW21" s="53">
        <f>SUM(Tabela246379[[#This Row],[22-abr]:[24-abr]])</f>
        <v>0</v>
      </c>
      <c r="DX21" s="54">
        <f>Tabela246379[[#This Row],[22/04 - 24/04]]*8.8</f>
        <v>0</v>
      </c>
      <c r="DY21" s="53">
        <f>SUM(Tabela246379[[#This Row],[27-abr]:[30-abr]])</f>
        <v>4</v>
      </c>
      <c r="DZ21" s="54">
        <f>Tabela246379[[#This Row],[27/04 - 30/04]]*8.8</f>
        <v>35.200000000000003</v>
      </c>
      <c r="EA21" s="53">
        <f>SUM(Tabela246379[[#This Row],[4-mai]:[8-mai]])</f>
        <v>5</v>
      </c>
      <c r="EB21" s="54">
        <f>Tabela246379[[#This Row],[04/05 - 08/05]]*8.8</f>
        <v>44</v>
      </c>
      <c r="EC21" s="53">
        <f>SUM(Tabela246379[[#This Row],[11-mai]:[15-mai]])</f>
        <v>3</v>
      </c>
      <c r="ED21" s="55">
        <f>Tabela246379[[#This Row],[11/05 - 15/05]]*8.8</f>
        <v>26.400000000000002</v>
      </c>
      <c r="EE21" s="53">
        <f>SUM(Tabela246379[[#This Row],[18-mai]:[22-mai]])</f>
        <v>5</v>
      </c>
      <c r="EF21" s="51">
        <f>Tabela246379[[#This Row],[18/05 - 22/05]]*8.8</f>
        <v>44</v>
      </c>
      <c r="EG21" s="53">
        <f>SUM(Tabela246379[[#This Row],[25-mai]:[29-mai]])</f>
        <v>5</v>
      </c>
      <c r="EH21" s="55">
        <f>Tabela246379[[#This Row],[25/05 - 29/05]]*8.8</f>
        <v>44</v>
      </c>
      <c r="EI21" s="53">
        <f>SUM(Tabela246379[[#This Row],[1-jun]:[3-jun]])</f>
        <v>1</v>
      </c>
      <c r="EJ21" s="55">
        <f>Tabela246379[[#This Row],[01/06 - 03/06]]*8.8</f>
        <v>8.8000000000000007</v>
      </c>
      <c r="EK21" s="53">
        <f>SUM(Tabela246379[[#This Row],[8-jun]:[12-jun]])</f>
        <v>5</v>
      </c>
      <c r="EL21" s="55">
        <f>Tabela246379[[#This Row],[08/06 - 12/06]]*8.8</f>
        <v>44</v>
      </c>
      <c r="EM21" s="53">
        <f>SUM(Tabela246379[[#This Row],[15-jun]:[19-jun]])</f>
        <v>5</v>
      </c>
      <c r="EN21" s="55">
        <f>Tabela246379[[#This Row],[15/06 - 19/06]]*8.8</f>
        <v>44</v>
      </c>
      <c r="EO21" s="53">
        <f>SUM(Tabela246379[[#This Row],[22-jun]:[26-jun]])</f>
        <v>1</v>
      </c>
      <c r="EP21" s="55">
        <f>Tabela246379[[#This Row],[22/06 - 26/06]]*8.8</f>
        <v>8.8000000000000007</v>
      </c>
      <c r="EQ21" s="49">
        <f>SUM(Tabela246379[[#This Row],[29/jun]:[01/jul]])</f>
        <v>0</v>
      </c>
      <c r="ER21" s="70">
        <f>Tabela246379[[#This Row],[29/06 - 01/07]]*8.8</f>
        <v>0</v>
      </c>
    </row>
    <row r="22" spans="1:148" s="43" customFormat="1" ht="24.95" customHeight="1" x14ac:dyDescent="0.25">
      <c r="A22" s="58"/>
      <c r="B22" s="59"/>
      <c r="C22" s="60" t="s">
        <v>155</v>
      </c>
      <c r="D22" s="61">
        <f t="shared" si="0"/>
        <v>0</v>
      </c>
      <c r="E22" s="61">
        <f t="shared" si="1"/>
        <v>1.2657142857142856</v>
      </c>
      <c r="F22" s="62">
        <f t="shared" si="2"/>
        <v>1.94</v>
      </c>
      <c r="G22" s="63"/>
      <c r="H22" s="64"/>
      <c r="I22" s="64"/>
      <c r="J22" s="64"/>
      <c r="K22" s="64"/>
      <c r="L22" s="65"/>
      <c r="M22" s="65"/>
      <c r="N22" s="64"/>
      <c r="O22" s="64"/>
      <c r="P22" s="64"/>
      <c r="Q22" s="64"/>
      <c r="R22" s="64"/>
      <c r="S22" s="65"/>
      <c r="T22" s="65"/>
      <c r="U22" s="64"/>
      <c r="V22" s="64"/>
      <c r="W22" s="64"/>
      <c r="X22" s="64"/>
      <c r="Y22" s="65"/>
      <c r="Z22" s="65"/>
      <c r="AA22" s="65"/>
      <c r="AB22" s="65"/>
      <c r="AC22" s="47">
        <v>0</v>
      </c>
      <c r="AD22" s="47">
        <v>0</v>
      </c>
      <c r="AE22" s="47">
        <v>0</v>
      </c>
      <c r="AF22" s="47">
        <v>0</v>
      </c>
      <c r="AG22" s="65"/>
      <c r="AH22" s="65"/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65"/>
      <c r="AO22" s="65"/>
      <c r="AP22" s="65"/>
      <c r="AQ22" s="65"/>
      <c r="AR22" s="47">
        <v>1</v>
      </c>
      <c r="AS22" s="47">
        <v>1</v>
      </c>
      <c r="AT22" s="47">
        <v>1</v>
      </c>
      <c r="AU22" s="65"/>
      <c r="AV22" s="65"/>
      <c r="AW22" s="64">
        <v>1</v>
      </c>
      <c r="AX22" s="64">
        <v>1</v>
      </c>
      <c r="AY22" s="64">
        <v>1</v>
      </c>
      <c r="AZ22" s="64">
        <v>1</v>
      </c>
      <c r="BA22" s="65"/>
      <c r="BB22" s="65"/>
      <c r="BC22" s="65"/>
      <c r="BD22" s="64">
        <v>1</v>
      </c>
      <c r="BE22" s="64">
        <v>1</v>
      </c>
      <c r="BF22" s="64">
        <v>1</v>
      </c>
      <c r="BG22" s="64">
        <v>1.5</v>
      </c>
      <c r="BH22" s="64">
        <v>1.94</v>
      </c>
      <c r="BI22" s="65"/>
      <c r="BJ22" s="65"/>
      <c r="BK22" s="64">
        <v>1.9</v>
      </c>
      <c r="BL22" s="64">
        <v>1.9</v>
      </c>
      <c r="BM22" s="64">
        <v>1.9</v>
      </c>
      <c r="BN22" s="64">
        <v>1.88</v>
      </c>
      <c r="BO22" s="64">
        <v>1.9</v>
      </c>
      <c r="BP22" s="65"/>
      <c r="BQ22" s="65"/>
      <c r="BR22" s="64">
        <v>1.9</v>
      </c>
      <c r="BS22" s="64">
        <v>1.9</v>
      </c>
      <c r="BT22" s="64">
        <v>1.9</v>
      </c>
      <c r="BU22" s="64">
        <v>1.9</v>
      </c>
      <c r="BV22" s="64">
        <v>1.9</v>
      </c>
      <c r="BW22" s="65"/>
      <c r="BX22" s="65"/>
      <c r="BY22" s="64">
        <v>1.9</v>
      </c>
      <c r="BZ22" s="64">
        <v>1.9</v>
      </c>
      <c r="CA22" s="64">
        <v>1.9</v>
      </c>
      <c r="CB22" s="64">
        <v>1.9</v>
      </c>
      <c r="CC22" s="64">
        <v>1.9</v>
      </c>
      <c r="CD22" s="65"/>
      <c r="CE22" s="65"/>
      <c r="CF22" s="64">
        <v>1.9</v>
      </c>
      <c r="CG22" s="64">
        <v>1.9</v>
      </c>
      <c r="CH22" s="64">
        <v>1.9</v>
      </c>
      <c r="CI22" s="65"/>
      <c r="CJ22" s="65"/>
      <c r="CK22" s="65"/>
      <c r="CL22" s="65"/>
      <c r="CM22" s="64">
        <v>1.88</v>
      </c>
      <c r="CN22" s="64">
        <v>1.88</v>
      </c>
      <c r="CO22" s="64">
        <v>1.88</v>
      </c>
      <c r="CP22" s="64">
        <v>1.88</v>
      </c>
      <c r="CQ22" s="64">
        <v>1.88</v>
      </c>
      <c r="CR22" s="65"/>
      <c r="CS22" s="65"/>
      <c r="CT22" s="64">
        <v>1</v>
      </c>
      <c r="CU22" s="64">
        <v>1</v>
      </c>
      <c r="CV22" s="64">
        <v>1</v>
      </c>
      <c r="CW22" s="64">
        <v>1</v>
      </c>
      <c r="CX22" s="64">
        <v>1</v>
      </c>
      <c r="CY22" s="65"/>
      <c r="CZ22" s="65"/>
      <c r="DA22" s="64">
        <v>1</v>
      </c>
      <c r="DB22" s="64">
        <v>1</v>
      </c>
      <c r="DC22" s="64"/>
      <c r="DD22" s="64"/>
      <c r="DE22" s="64"/>
      <c r="DF22" s="65"/>
      <c r="DG22" s="65"/>
      <c r="DH22" s="75">
        <v>1</v>
      </c>
      <c r="DI22" s="75">
        <v>1</v>
      </c>
      <c r="DJ22" s="75"/>
      <c r="DK22" s="18">
        <f>SUM(Tabela246379[[#This Row],[16-mar]:[01/jul]])</f>
        <v>66.019999999999982</v>
      </c>
      <c r="DL22" s="48">
        <f>Tabela246379[[#This Row],[Dias]]*8</f>
        <v>528.15999999999985</v>
      </c>
      <c r="DM22" s="49">
        <f>SUM(Tabela246379[[#This Row],[16-mar]:[20-mar]])</f>
        <v>0</v>
      </c>
      <c r="DN22" s="50">
        <f>Tabela246379[[#This Row],[16/03 - 20/03]]*8.8</f>
        <v>0</v>
      </c>
      <c r="DO22" s="49">
        <f>SUM(Tabela246379[[#This Row],[23-mar]:[27-mar]])</f>
        <v>0</v>
      </c>
      <c r="DP22" s="67">
        <f>Tabela246379[[#This Row],[23/03 - 27/03]]*8.8</f>
        <v>0</v>
      </c>
      <c r="DQ22" s="49">
        <f>SUM(Tabela246379[[#This Row],[30-mar]:[2-abr]])</f>
        <v>0</v>
      </c>
      <c r="DR22" s="67">
        <f>Tabela246379[[#This Row],[30/03 - 02/04]]*8.8</f>
        <v>0</v>
      </c>
      <c r="DS22" s="49">
        <f>SUM(Tabela246379[[#This Row],[7-abr]:[10-abr]])</f>
        <v>0</v>
      </c>
      <c r="DT22" s="67">
        <f>Tabela246379[[#This Row],[07/04 - 10/04]]*8.8</f>
        <v>0</v>
      </c>
      <c r="DU22" s="68">
        <f>SUM(Tabela246379[[#This Row],[13-abr]:[17-abr]])</f>
        <v>0</v>
      </c>
      <c r="DV22" s="69">
        <f>Tabela246379[[#This Row],[13/04 - 17/04]]*8.8</f>
        <v>0</v>
      </c>
      <c r="DW22" s="49">
        <f>SUM(Tabela246379[[#This Row],[22-abr]:[24-abr]])</f>
        <v>3</v>
      </c>
      <c r="DX22" s="67">
        <f>Tabela246379[[#This Row],[22/04 - 24/04]]*8.8</f>
        <v>26.400000000000002</v>
      </c>
      <c r="DY22" s="49">
        <f>SUM(Tabela246379[[#This Row],[27-abr]:[30-abr]])</f>
        <v>4</v>
      </c>
      <c r="DZ22" s="67">
        <f>Tabela246379[[#This Row],[27/04 - 30/04]]*8.8</f>
        <v>35.200000000000003</v>
      </c>
      <c r="EA22" s="49">
        <f>SUM(Tabela246379[[#This Row],[4-mai]:[8-mai]])</f>
        <v>6.4399999999999995</v>
      </c>
      <c r="EB22" s="67">
        <f>Tabela246379[[#This Row],[04/05 - 08/05]]*8.8</f>
        <v>56.671999999999997</v>
      </c>
      <c r="EC22" s="49">
        <f>SUM(Tabela246379[[#This Row],[11-mai]:[15-mai]])</f>
        <v>9.4799999999999986</v>
      </c>
      <c r="ED22" s="70">
        <f>Tabela246379[[#This Row],[11/05 - 15/05]]*8.8</f>
        <v>83.423999999999992</v>
      </c>
      <c r="EE22" s="49">
        <f>SUM(Tabela246379[[#This Row],[18-mai]:[22-mai]])</f>
        <v>9.5</v>
      </c>
      <c r="EF22" s="68">
        <f>Tabela246379[[#This Row],[18/05 - 22/05]]*8.8</f>
        <v>83.600000000000009</v>
      </c>
      <c r="EG22" s="49">
        <f>SUM(Tabela246379[[#This Row],[25-mai]:[29-mai]])</f>
        <v>9.5</v>
      </c>
      <c r="EH22" s="70">
        <f>Tabela246379[[#This Row],[25/05 - 29/05]]*8.8</f>
        <v>83.600000000000009</v>
      </c>
      <c r="EI22" s="49">
        <f>SUM(Tabela246379[[#This Row],[1-jun]:[3-jun]])</f>
        <v>5.6999999999999993</v>
      </c>
      <c r="EJ22" s="70">
        <f>Tabela246379[[#This Row],[01/06 - 03/06]]*8.8</f>
        <v>50.16</v>
      </c>
      <c r="EK22" s="49">
        <f>SUM(Tabela246379[[#This Row],[8-jun]:[12-jun]])</f>
        <v>9.3999999999999986</v>
      </c>
      <c r="EL22" s="70">
        <f>Tabela246379[[#This Row],[08/06 - 12/06]]*8.8</f>
        <v>82.72</v>
      </c>
      <c r="EM22" s="49">
        <f>SUM(Tabela246379[[#This Row],[15-jun]:[19-jun]])</f>
        <v>5</v>
      </c>
      <c r="EN22" s="70">
        <f>Tabela246379[[#This Row],[15/06 - 19/06]]*8.8</f>
        <v>44</v>
      </c>
      <c r="EO22" s="49">
        <f>SUM(Tabela246379[[#This Row],[22-jun]:[26-jun]])</f>
        <v>2</v>
      </c>
      <c r="EP22" s="70">
        <f>Tabela246379[[#This Row],[22/06 - 26/06]]*8.8</f>
        <v>17.600000000000001</v>
      </c>
      <c r="EQ22" s="49">
        <f>SUM(Tabela246379[[#This Row],[29/jun]:[01/jul]])</f>
        <v>2</v>
      </c>
      <c r="ER22" s="70">
        <f>Tabela246379[[#This Row],[29/06 - 01/07]]*8.8</f>
        <v>17.600000000000001</v>
      </c>
    </row>
    <row r="23" spans="1:148" s="22" customFormat="1" ht="24.95" customHeight="1" x14ac:dyDescent="0.25">
      <c r="A23" s="13">
        <v>9</v>
      </c>
      <c r="B23" s="59" t="s">
        <v>163</v>
      </c>
      <c r="C23" s="71" t="s">
        <v>5</v>
      </c>
      <c r="D23" s="72">
        <f t="shared" si="0"/>
        <v>0</v>
      </c>
      <c r="E23" s="72">
        <f t="shared" si="1"/>
        <v>0.25</v>
      </c>
      <c r="F23" s="73">
        <f t="shared" si="2"/>
        <v>1</v>
      </c>
      <c r="G23" s="74">
        <v>0</v>
      </c>
      <c r="H23" s="46">
        <v>0</v>
      </c>
      <c r="I23" s="46">
        <v>0</v>
      </c>
      <c r="J23" s="46">
        <v>0</v>
      </c>
      <c r="K23" s="46">
        <v>0</v>
      </c>
      <c r="L23" s="47">
        <v>0</v>
      </c>
      <c r="M23" s="47">
        <v>0</v>
      </c>
      <c r="N23" s="47">
        <v>0.5</v>
      </c>
      <c r="O23" s="47">
        <v>0.5</v>
      </c>
      <c r="P23" s="47">
        <v>0.5</v>
      </c>
      <c r="Q23" s="47">
        <v>0.5</v>
      </c>
      <c r="R23" s="47">
        <v>0.5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1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1</v>
      </c>
      <c r="AU23" s="47">
        <v>0</v>
      </c>
      <c r="AV23" s="47">
        <v>0</v>
      </c>
      <c r="AW23" s="47">
        <v>1</v>
      </c>
      <c r="AX23" s="47">
        <v>1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1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1</v>
      </c>
      <c r="BP23" s="47">
        <v>0</v>
      </c>
      <c r="BQ23" s="47">
        <v>0</v>
      </c>
      <c r="BR23" s="47">
        <v>1</v>
      </c>
      <c r="BS23" s="47">
        <v>0</v>
      </c>
      <c r="BT23" s="47">
        <v>0</v>
      </c>
      <c r="BU23" s="47">
        <v>0</v>
      </c>
      <c r="BV23" s="47">
        <v>1</v>
      </c>
      <c r="BW23" s="47">
        <v>0</v>
      </c>
      <c r="BX23" s="47">
        <v>0</v>
      </c>
      <c r="BY23" s="47">
        <v>1</v>
      </c>
      <c r="BZ23" s="47">
        <v>1</v>
      </c>
      <c r="CA23" s="47">
        <v>1</v>
      </c>
      <c r="CB23" s="47">
        <v>0</v>
      </c>
      <c r="CC23" s="47">
        <v>1</v>
      </c>
      <c r="CD23" s="47">
        <v>0</v>
      </c>
      <c r="CE23" s="47">
        <v>0</v>
      </c>
      <c r="CF23" s="47">
        <v>0</v>
      </c>
      <c r="CG23" s="47">
        <v>1</v>
      </c>
      <c r="CH23" s="47">
        <v>1</v>
      </c>
      <c r="CI23" s="47">
        <v>0</v>
      </c>
      <c r="CJ23" s="47">
        <v>0</v>
      </c>
      <c r="CK23" s="47">
        <v>0</v>
      </c>
      <c r="CL23" s="47">
        <v>0</v>
      </c>
      <c r="CM23" s="47">
        <v>1</v>
      </c>
      <c r="CN23" s="47">
        <v>1</v>
      </c>
      <c r="CO23" s="47">
        <v>1</v>
      </c>
      <c r="CP23" s="47">
        <v>0</v>
      </c>
      <c r="CQ23" s="47">
        <v>1</v>
      </c>
      <c r="CR23" s="47">
        <v>0</v>
      </c>
      <c r="CS23" s="47">
        <v>0</v>
      </c>
      <c r="CT23" s="47">
        <v>1</v>
      </c>
      <c r="CU23" s="47">
        <v>1</v>
      </c>
      <c r="CV23" s="47">
        <v>0</v>
      </c>
      <c r="CW23" s="47">
        <v>1</v>
      </c>
      <c r="CX23" s="47">
        <v>1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1</v>
      </c>
      <c r="DE23" s="47">
        <v>0</v>
      </c>
      <c r="DF23" s="47">
        <v>0</v>
      </c>
      <c r="DG23" s="47">
        <v>0</v>
      </c>
      <c r="DH23" s="47">
        <v>0</v>
      </c>
      <c r="DI23" s="47">
        <v>0</v>
      </c>
      <c r="DJ23" s="77">
        <v>0</v>
      </c>
      <c r="DK23" s="18">
        <f>SUM(Tabela246379[[#This Row],[16-mar]:[01/jul]])</f>
        <v>25.5</v>
      </c>
      <c r="DL23" s="48">
        <f>Tabela246379[[#This Row],[Dias]]*8</f>
        <v>204</v>
      </c>
      <c r="DM23" s="49">
        <f>SUM(Tabela246379[[#This Row],[16-mar]:[20-mar]])</f>
        <v>0</v>
      </c>
      <c r="DN23" s="50">
        <f>Tabela246379[[#This Row],[16/03 - 20/03]]*8.8</f>
        <v>0</v>
      </c>
      <c r="DO23" s="53">
        <f>SUM(Tabela246379[[#This Row],[23-mar]:[27-mar]])</f>
        <v>2.5</v>
      </c>
      <c r="DP23" s="54">
        <f>Tabela246379[[#This Row],[23/03 - 27/03]]*8.8</f>
        <v>22</v>
      </c>
      <c r="DQ23" s="53">
        <f>SUM(Tabela246379[[#This Row],[30-mar]:[2-abr]])</f>
        <v>1</v>
      </c>
      <c r="DR23" s="54">
        <f>Tabela246379[[#This Row],[30/03 - 02/04]]*8.8</f>
        <v>8.8000000000000007</v>
      </c>
      <c r="DS23" s="53">
        <f>SUM(Tabela246379[[#This Row],[7-abr]:[10-abr]])</f>
        <v>0</v>
      </c>
      <c r="DT23" s="54">
        <f>Tabela246379[[#This Row],[07/04 - 10/04]]*8.8</f>
        <v>0</v>
      </c>
      <c r="DU23" s="51">
        <f>SUM(Tabela246379[[#This Row],[13-abr]:[17-abr]])</f>
        <v>0</v>
      </c>
      <c r="DV23" s="52">
        <f>Tabela246379[[#This Row],[13/04 - 17/04]]*8.8</f>
        <v>0</v>
      </c>
      <c r="DW23" s="53">
        <f>SUM(Tabela246379[[#This Row],[22-abr]:[24-abr]])</f>
        <v>1</v>
      </c>
      <c r="DX23" s="54">
        <f>Tabela246379[[#This Row],[22/04 - 24/04]]*8.8</f>
        <v>8.8000000000000007</v>
      </c>
      <c r="DY23" s="53">
        <f>SUM(Tabela246379[[#This Row],[27-abr]:[30-abr]])</f>
        <v>2</v>
      </c>
      <c r="DZ23" s="54">
        <f>Tabela246379[[#This Row],[27/04 - 30/04]]*8.8</f>
        <v>17.600000000000001</v>
      </c>
      <c r="EA23" s="53">
        <f>SUM(Tabela246379[[#This Row],[4-mai]:[8-mai]])</f>
        <v>1</v>
      </c>
      <c r="EB23" s="54">
        <f>Tabela246379[[#This Row],[04/05 - 08/05]]*8.8</f>
        <v>8.8000000000000007</v>
      </c>
      <c r="EC23" s="53">
        <f>SUM(Tabela246379[[#This Row],[11-mai]:[15-mai]])</f>
        <v>1</v>
      </c>
      <c r="ED23" s="55">
        <f>Tabela246379[[#This Row],[11/05 - 15/05]]*8.8</f>
        <v>8.8000000000000007</v>
      </c>
      <c r="EE23" s="53">
        <f>SUM(Tabela246379[[#This Row],[18-mai]:[22-mai]])</f>
        <v>2</v>
      </c>
      <c r="EF23" s="51">
        <f>Tabela246379[[#This Row],[18/05 - 22/05]]*8.8</f>
        <v>17.600000000000001</v>
      </c>
      <c r="EG23" s="53">
        <f>SUM(Tabela246379[[#This Row],[25-mai]:[29-mai]])</f>
        <v>4</v>
      </c>
      <c r="EH23" s="55">
        <f>Tabela246379[[#This Row],[25/05 - 29/05]]*8.8</f>
        <v>35.200000000000003</v>
      </c>
      <c r="EI23" s="53">
        <f>SUM(Tabela246379[[#This Row],[1-jun]:[3-jun]])</f>
        <v>2</v>
      </c>
      <c r="EJ23" s="55">
        <f>Tabela246379[[#This Row],[01/06 - 03/06]]*8.8</f>
        <v>17.600000000000001</v>
      </c>
      <c r="EK23" s="53">
        <f>SUM(Tabela246379[[#This Row],[8-jun]:[12-jun]])</f>
        <v>4</v>
      </c>
      <c r="EL23" s="55">
        <f>Tabela246379[[#This Row],[08/06 - 12/06]]*8.8</f>
        <v>35.200000000000003</v>
      </c>
      <c r="EM23" s="53">
        <f>SUM(Tabela246379[[#This Row],[15-jun]:[19-jun]])</f>
        <v>4</v>
      </c>
      <c r="EN23" s="55">
        <f>Tabela246379[[#This Row],[15/06 - 19/06]]*8.8</f>
        <v>35.200000000000003</v>
      </c>
      <c r="EO23" s="53">
        <f>SUM(Tabela246379[[#This Row],[22-jun]:[26-jun]])</f>
        <v>1</v>
      </c>
      <c r="EP23" s="55">
        <f>Tabela246379[[#This Row],[22/06 - 26/06]]*8.8</f>
        <v>8.8000000000000007</v>
      </c>
      <c r="EQ23" s="49">
        <f>SUM(Tabela246379[[#This Row],[29/jun]:[01/jul]])</f>
        <v>0</v>
      </c>
      <c r="ER23" s="70">
        <f>Tabela246379[[#This Row],[29/06 - 01/07]]*8.8</f>
        <v>0</v>
      </c>
    </row>
    <row r="24" spans="1:148" s="43" customFormat="1" ht="24.95" customHeight="1" x14ac:dyDescent="0.25">
      <c r="A24" s="58"/>
      <c r="B24" s="59"/>
      <c r="C24" s="60" t="s">
        <v>155</v>
      </c>
      <c r="D24" s="61">
        <f t="shared" si="0"/>
        <v>0</v>
      </c>
      <c r="E24" s="61">
        <f t="shared" si="1"/>
        <v>0.58074074074074056</v>
      </c>
      <c r="F24" s="62">
        <f t="shared" si="2"/>
        <v>1</v>
      </c>
      <c r="G24" s="63"/>
      <c r="H24" s="64"/>
      <c r="I24" s="64"/>
      <c r="J24" s="64"/>
      <c r="K24" s="64"/>
      <c r="L24" s="65"/>
      <c r="M24" s="65"/>
      <c r="N24" s="64">
        <v>0.25</v>
      </c>
      <c r="O24" s="64">
        <v>0.25</v>
      </c>
      <c r="P24" s="64">
        <v>0.25</v>
      </c>
      <c r="Q24" s="64">
        <v>0.25</v>
      </c>
      <c r="R24" s="64">
        <v>0.25</v>
      </c>
      <c r="S24" s="65"/>
      <c r="T24" s="65"/>
      <c r="U24" s="64">
        <v>0.23</v>
      </c>
      <c r="V24" s="64">
        <v>0.23</v>
      </c>
      <c r="W24" s="64"/>
      <c r="X24" s="64"/>
      <c r="Y24" s="65"/>
      <c r="Z24" s="65"/>
      <c r="AA24" s="65"/>
      <c r="AB24" s="65"/>
      <c r="AC24" s="47">
        <v>0</v>
      </c>
      <c r="AD24" s="47">
        <v>0</v>
      </c>
      <c r="AE24" s="47">
        <v>0</v>
      </c>
      <c r="AF24" s="47">
        <v>0</v>
      </c>
      <c r="AG24" s="65"/>
      <c r="AH24" s="65"/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65"/>
      <c r="AO24" s="65"/>
      <c r="AP24" s="65"/>
      <c r="AQ24" s="65"/>
      <c r="AR24" s="47">
        <v>0</v>
      </c>
      <c r="AS24" s="47">
        <v>0</v>
      </c>
      <c r="AT24" s="47">
        <v>0</v>
      </c>
      <c r="AU24" s="65"/>
      <c r="AV24" s="65"/>
      <c r="AW24" s="64">
        <v>1</v>
      </c>
      <c r="AX24" s="64">
        <v>1</v>
      </c>
      <c r="AY24" s="64">
        <v>1</v>
      </c>
      <c r="AZ24" s="64">
        <v>1</v>
      </c>
      <c r="BA24" s="65"/>
      <c r="BB24" s="65"/>
      <c r="BC24" s="65"/>
      <c r="BD24" s="64">
        <v>1</v>
      </c>
      <c r="BE24" s="64">
        <v>1</v>
      </c>
      <c r="BF24" s="64">
        <v>1</v>
      </c>
      <c r="BG24" s="64">
        <v>1</v>
      </c>
      <c r="BH24" s="64">
        <v>1</v>
      </c>
      <c r="BI24" s="65"/>
      <c r="BJ24" s="65"/>
      <c r="BK24" s="64">
        <v>0.88</v>
      </c>
      <c r="BL24" s="64">
        <v>0.75</v>
      </c>
      <c r="BM24" s="64">
        <v>0.94</v>
      </c>
      <c r="BN24" s="64">
        <v>0.73</v>
      </c>
      <c r="BO24" s="64">
        <v>0.88</v>
      </c>
      <c r="BP24" s="65"/>
      <c r="BQ24" s="65"/>
      <c r="BR24" s="64">
        <v>0.88</v>
      </c>
      <c r="BS24" s="64"/>
      <c r="BT24" s="64"/>
      <c r="BU24" s="64">
        <v>0.75</v>
      </c>
      <c r="BV24" s="64">
        <v>0.63</v>
      </c>
      <c r="BW24" s="65"/>
      <c r="BX24" s="65"/>
      <c r="BY24" s="64">
        <v>0.63</v>
      </c>
      <c r="BZ24" s="64">
        <v>0.75</v>
      </c>
      <c r="CA24" s="64">
        <v>0.75</v>
      </c>
      <c r="CB24" s="64">
        <v>0.88</v>
      </c>
      <c r="CC24" s="64">
        <v>0.88</v>
      </c>
      <c r="CD24" s="65"/>
      <c r="CE24" s="65"/>
      <c r="CF24" s="64">
        <v>0.88</v>
      </c>
      <c r="CG24" s="64">
        <v>0.88</v>
      </c>
      <c r="CH24" s="64">
        <v>0.88</v>
      </c>
      <c r="CI24" s="65"/>
      <c r="CJ24" s="65"/>
      <c r="CK24" s="65"/>
      <c r="CL24" s="65"/>
      <c r="CM24" s="64">
        <v>0.75</v>
      </c>
      <c r="CN24" s="64">
        <v>0.75</v>
      </c>
      <c r="CO24" s="64">
        <v>0.75</v>
      </c>
      <c r="CP24" s="64">
        <v>1</v>
      </c>
      <c r="CQ24" s="64">
        <v>1</v>
      </c>
      <c r="CR24" s="65"/>
      <c r="CS24" s="65"/>
      <c r="CT24" s="64">
        <v>0.5</v>
      </c>
      <c r="CU24" s="64">
        <v>0.81</v>
      </c>
      <c r="CV24" s="64">
        <v>0.81</v>
      </c>
      <c r="CW24" s="64">
        <v>0.81</v>
      </c>
      <c r="CX24" s="64">
        <v>0.5</v>
      </c>
      <c r="CY24" s="65"/>
      <c r="CZ24" s="65"/>
      <c r="DA24" s="64">
        <v>0.28999999999999998</v>
      </c>
      <c r="DB24" s="64">
        <v>0.28999999999999998</v>
      </c>
      <c r="DC24" s="64">
        <v>0.19</v>
      </c>
      <c r="DD24" s="64"/>
      <c r="DE24" s="64"/>
      <c r="DF24" s="65"/>
      <c r="DG24" s="65"/>
      <c r="DH24" s="75"/>
      <c r="DI24" s="75"/>
      <c r="DJ24" s="75"/>
      <c r="DK24" s="18">
        <f>SUM(Tabela246379[[#This Row],[16-mar]:[01/jul]])</f>
        <v>32.129999999999988</v>
      </c>
      <c r="DL24" s="48">
        <f>Tabela246379[[#This Row],[Dias]]*8</f>
        <v>257.03999999999991</v>
      </c>
      <c r="DM24" s="49">
        <f>SUM(Tabela246379[[#This Row],[16-mar]:[20-mar]])</f>
        <v>0</v>
      </c>
      <c r="DN24" s="50">
        <f>Tabela246379[[#This Row],[16/03 - 20/03]]*8.8</f>
        <v>0</v>
      </c>
      <c r="DO24" s="49">
        <f>SUM(Tabela246379[[#This Row],[23-mar]:[27-mar]])</f>
        <v>1.25</v>
      </c>
      <c r="DP24" s="67">
        <f>Tabela246379[[#This Row],[23/03 - 27/03]]*8.8</f>
        <v>11</v>
      </c>
      <c r="DQ24" s="49">
        <f>SUM(Tabela246379[[#This Row],[30-mar]:[2-abr]])</f>
        <v>0.46</v>
      </c>
      <c r="DR24" s="67">
        <f>Tabela246379[[#This Row],[30/03 - 02/04]]*8.8</f>
        <v>4.0480000000000009</v>
      </c>
      <c r="DS24" s="49">
        <f>SUM(Tabela246379[[#This Row],[7-abr]:[10-abr]])</f>
        <v>0</v>
      </c>
      <c r="DT24" s="67">
        <f>Tabela246379[[#This Row],[07/04 - 10/04]]*8.8</f>
        <v>0</v>
      </c>
      <c r="DU24" s="68">
        <f>SUM(Tabela246379[[#This Row],[13-abr]:[17-abr]])</f>
        <v>0</v>
      </c>
      <c r="DV24" s="69">
        <f>Tabela246379[[#This Row],[13/04 - 17/04]]*8.8</f>
        <v>0</v>
      </c>
      <c r="DW24" s="49">
        <f>SUM(Tabela246379[[#This Row],[22-abr]:[24-abr]])</f>
        <v>0</v>
      </c>
      <c r="DX24" s="67">
        <f>Tabela246379[[#This Row],[22/04 - 24/04]]*8.8</f>
        <v>0</v>
      </c>
      <c r="DY24" s="49">
        <f>SUM(Tabela246379[[#This Row],[27-abr]:[30-abr]])</f>
        <v>4</v>
      </c>
      <c r="DZ24" s="67">
        <f>Tabela246379[[#This Row],[27/04 - 30/04]]*8.8</f>
        <v>35.200000000000003</v>
      </c>
      <c r="EA24" s="49">
        <f>SUM(Tabela246379[[#This Row],[4-mai]:[8-mai]])</f>
        <v>5</v>
      </c>
      <c r="EB24" s="67">
        <f>Tabela246379[[#This Row],[04/05 - 08/05]]*8.8</f>
        <v>44</v>
      </c>
      <c r="EC24" s="49">
        <f>SUM(Tabela246379[[#This Row],[11-mai]:[15-mai]])</f>
        <v>4.18</v>
      </c>
      <c r="ED24" s="70">
        <f>Tabela246379[[#This Row],[11/05 - 15/05]]*8.8</f>
        <v>36.783999999999999</v>
      </c>
      <c r="EE24" s="49">
        <f>SUM(Tabela246379[[#This Row],[18-mai]:[22-mai]])</f>
        <v>2.2599999999999998</v>
      </c>
      <c r="EF24" s="68">
        <f>Tabela246379[[#This Row],[18/05 - 22/05]]*8.8</f>
        <v>19.887999999999998</v>
      </c>
      <c r="EG24" s="49">
        <f>SUM(Tabela246379[[#This Row],[25-mai]:[29-mai]])</f>
        <v>3.8899999999999997</v>
      </c>
      <c r="EH24" s="70">
        <f>Tabela246379[[#This Row],[25/05 - 29/05]]*8.8</f>
        <v>34.231999999999999</v>
      </c>
      <c r="EI24" s="49">
        <f>SUM(Tabela246379[[#This Row],[1-jun]:[3-jun]])</f>
        <v>2.64</v>
      </c>
      <c r="EJ24" s="70">
        <f>Tabela246379[[#This Row],[01/06 - 03/06]]*8.8</f>
        <v>23.232000000000003</v>
      </c>
      <c r="EK24" s="49">
        <f>SUM(Tabela246379[[#This Row],[8-jun]:[12-jun]])</f>
        <v>4.25</v>
      </c>
      <c r="EL24" s="70">
        <f>Tabela246379[[#This Row],[08/06 - 12/06]]*8.8</f>
        <v>37.400000000000006</v>
      </c>
      <c r="EM24" s="49">
        <f>SUM(Tabela246379[[#This Row],[15-jun]:[19-jun]])</f>
        <v>3.43</v>
      </c>
      <c r="EN24" s="70">
        <f>Tabela246379[[#This Row],[15/06 - 19/06]]*8.8</f>
        <v>30.184000000000005</v>
      </c>
      <c r="EO24" s="49">
        <f>SUM(Tabela246379[[#This Row],[22-jun]:[26-jun]])</f>
        <v>0.77</v>
      </c>
      <c r="EP24" s="70">
        <f>Tabela246379[[#This Row],[22/06 - 26/06]]*8.8</f>
        <v>6.7760000000000007</v>
      </c>
      <c r="EQ24" s="49">
        <f>SUM(Tabela246379[[#This Row],[29/jun]:[01/jul]])</f>
        <v>0</v>
      </c>
      <c r="ER24" s="70">
        <f>Tabela246379[[#This Row],[29/06 - 01/07]]*8.8</f>
        <v>0</v>
      </c>
    </row>
    <row r="25" spans="1:148" s="22" customFormat="1" ht="24.95" customHeight="1" x14ac:dyDescent="0.25">
      <c r="A25" s="58">
        <v>10</v>
      </c>
      <c r="B25" s="59" t="s">
        <v>164</v>
      </c>
      <c r="C25" s="71" t="s">
        <v>5</v>
      </c>
      <c r="D25" s="72">
        <f t="shared" si="0"/>
        <v>0</v>
      </c>
      <c r="E25" s="72">
        <f t="shared" si="1"/>
        <v>0.17346938775510204</v>
      </c>
      <c r="F25" s="73">
        <f t="shared" si="2"/>
        <v>1</v>
      </c>
      <c r="G25" s="74">
        <v>0</v>
      </c>
      <c r="H25" s="46">
        <v>0</v>
      </c>
      <c r="I25" s="46">
        <v>0</v>
      </c>
      <c r="J25" s="46">
        <v>0</v>
      </c>
      <c r="K25" s="46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1</v>
      </c>
      <c r="BN25" s="47">
        <v>1</v>
      </c>
      <c r="BO25" s="47">
        <v>1</v>
      </c>
      <c r="BP25" s="47">
        <v>0</v>
      </c>
      <c r="BQ25" s="47">
        <v>0</v>
      </c>
      <c r="BR25" s="47">
        <v>1</v>
      </c>
      <c r="BS25" s="47">
        <v>0</v>
      </c>
      <c r="BT25" s="47">
        <v>0</v>
      </c>
      <c r="BU25" s="47">
        <v>0</v>
      </c>
      <c r="BV25" s="47">
        <v>1</v>
      </c>
      <c r="BW25" s="47">
        <v>0</v>
      </c>
      <c r="BX25" s="47">
        <v>0</v>
      </c>
      <c r="BY25" s="47">
        <v>0</v>
      </c>
      <c r="BZ25" s="47">
        <v>1</v>
      </c>
      <c r="CA25" s="47">
        <v>1</v>
      </c>
      <c r="CB25" s="47">
        <v>1</v>
      </c>
      <c r="CC25" s="47">
        <v>1</v>
      </c>
      <c r="CD25" s="47">
        <v>0</v>
      </c>
      <c r="CE25" s="47">
        <v>0</v>
      </c>
      <c r="CF25" s="47">
        <v>1</v>
      </c>
      <c r="CG25" s="47">
        <v>1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1</v>
      </c>
      <c r="CN25" s="47">
        <v>0</v>
      </c>
      <c r="CO25" s="47">
        <v>1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1</v>
      </c>
      <c r="CV25" s="47">
        <v>1</v>
      </c>
      <c r="CW25" s="47">
        <v>1</v>
      </c>
      <c r="CX25" s="47">
        <v>1</v>
      </c>
      <c r="CY25" s="47">
        <v>0</v>
      </c>
      <c r="CZ25" s="47">
        <v>0</v>
      </c>
      <c r="DA25" s="47">
        <v>0</v>
      </c>
      <c r="DB25" s="47">
        <v>0</v>
      </c>
      <c r="DC25" s="47">
        <v>1</v>
      </c>
      <c r="DD25" s="47">
        <v>1</v>
      </c>
      <c r="DE25" s="47">
        <v>0</v>
      </c>
      <c r="DF25" s="47">
        <v>0</v>
      </c>
      <c r="DG25" s="47">
        <v>0</v>
      </c>
      <c r="DH25" s="47">
        <v>0</v>
      </c>
      <c r="DI25" s="47">
        <v>0</v>
      </c>
      <c r="DJ25" s="77">
        <v>0</v>
      </c>
      <c r="DK25" s="18">
        <f>SUM(Tabela246379[[#This Row],[16-mar]:[01/jul]])</f>
        <v>19</v>
      </c>
      <c r="DL25" s="48">
        <f>Tabela246379[[#This Row],[Dias]]*8</f>
        <v>152</v>
      </c>
      <c r="DM25" s="49">
        <f>SUM(Tabela246379[[#This Row],[16-mar]:[20-mar]])</f>
        <v>0</v>
      </c>
      <c r="DN25" s="50">
        <f>Tabela246379[[#This Row],[16/03 - 20/03]]*8.8</f>
        <v>0</v>
      </c>
      <c r="DO25" s="53">
        <f>SUM(Tabela246379[[#This Row],[23-mar]:[27-mar]])</f>
        <v>0</v>
      </c>
      <c r="DP25" s="54">
        <f>Tabela246379[[#This Row],[23/03 - 27/03]]*8.8</f>
        <v>0</v>
      </c>
      <c r="DQ25" s="53">
        <f>SUM(Tabela246379[[#This Row],[30-mar]:[2-abr]])</f>
        <v>0</v>
      </c>
      <c r="DR25" s="54">
        <f>Tabela246379[[#This Row],[30/03 - 02/04]]*8.8</f>
        <v>0</v>
      </c>
      <c r="DS25" s="53">
        <f>SUM(Tabela246379[[#This Row],[7-abr]:[10-abr]])</f>
        <v>0</v>
      </c>
      <c r="DT25" s="54">
        <f>Tabela246379[[#This Row],[07/04 - 10/04]]*8.8</f>
        <v>0</v>
      </c>
      <c r="DU25" s="51">
        <f>SUM(Tabela246379[[#This Row],[13-abr]:[17-abr]])</f>
        <v>0</v>
      </c>
      <c r="DV25" s="52">
        <f>Tabela246379[[#This Row],[13/04 - 17/04]]*8.8</f>
        <v>0</v>
      </c>
      <c r="DW25" s="53">
        <f>SUM(Tabela246379[[#This Row],[22-abr]:[24-abr]])</f>
        <v>0</v>
      </c>
      <c r="DX25" s="54">
        <f>Tabela246379[[#This Row],[22/04 - 24/04]]*8.8</f>
        <v>0</v>
      </c>
      <c r="DY25" s="53">
        <f>SUM(Tabela246379[[#This Row],[27-abr]:[30-abr]])</f>
        <v>0</v>
      </c>
      <c r="DZ25" s="54">
        <f>Tabela246379[[#This Row],[27/04 - 30/04]]*8.8</f>
        <v>0</v>
      </c>
      <c r="EA25" s="53">
        <f>SUM(Tabela246379[[#This Row],[4-mai]:[8-mai]])</f>
        <v>0</v>
      </c>
      <c r="EB25" s="54">
        <f>Tabela246379[[#This Row],[04/05 - 08/05]]*8.8</f>
        <v>0</v>
      </c>
      <c r="EC25" s="53">
        <f>SUM(Tabela246379[[#This Row],[11-mai]:[15-mai]])</f>
        <v>3</v>
      </c>
      <c r="ED25" s="55">
        <f>Tabela246379[[#This Row],[11/05 - 15/05]]*8.8</f>
        <v>26.400000000000002</v>
      </c>
      <c r="EE25" s="53">
        <f>SUM(Tabela246379[[#This Row],[18-mai]:[22-mai]])</f>
        <v>2</v>
      </c>
      <c r="EF25" s="51">
        <f>Tabela246379[[#This Row],[18/05 - 22/05]]*8.8</f>
        <v>17.600000000000001</v>
      </c>
      <c r="EG25" s="53">
        <f>SUM(Tabela246379[[#This Row],[25-mai]:[29-mai]])</f>
        <v>4</v>
      </c>
      <c r="EH25" s="55">
        <f>Tabela246379[[#This Row],[25/05 - 29/05]]*8.8</f>
        <v>35.200000000000003</v>
      </c>
      <c r="EI25" s="53">
        <f>SUM(Tabela246379[[#This Row],[1-jun]:[3-jun]])</f>
        <v>2</v>
      </c>
      <c r="EJ25" s="55">
        <f>Tabela246379[[#This Row],[01/06 - 03/06]]*8.8</f>
        <v>17.600000000000001</v>
      </c>
      <c r="EK25" s="53">
        <f>SUM(Tabela246379[[#This Row],[8-jun]:[12-jun]])</f>
        <v>2</v>
      </c>
      <c r="EL25" s="55">
        <f>Tabela246379[[#This Row],[08/06 - 12/06]]*8.8</f>
        <v>17.600000000000001</v>
      </c>
      <c r="EM25" s="53">
        <f>SUM(Tabela246379[[#This Row],[15-jun]:[19-jun]])</f>
        <v>4</v>
      </c>
      <c r="EN25" s="55">
        <f>Tabela246379[[#This Row],[15/06 - 19/06]]*8.8</f>
        <v>35.200000000000003</v>
      </c>
      <c r="EO25" s="53">
        <f>SUM(Tabela246379[[#This Row],[22-jun]:[26-jun]])</f>
        <v>2</v>
      </c>
      <c r="EP25" s="55">
        <f>Tabela246379[[#This Row],[22/06 - 26/06]]*8.8</f>
        <v>17.600000000000001</v>
      </c>
      <c r="EQ25" s="49">
        <f>SUM(Tabela246379[[#This Row],[29/jun]:[01/jul]])</f>
        <v>0</v>
      </c>
      <c r="ER25" s="70">
        <f>Tabela246379[[#This Row],[29/06 - 01/07]]*8.8</f>
        <v>0</v>
      </c>
    </row>
    <row r="26" spans="1:148" s="43" customFormat="1" ht="24.95" customHeight="1" x14ac:dyDescent="0.25">
      <c r="A26" s="58"/>
      <c r="B26" s="59"/>
      <c r="C26" s="60" t="s">
        <v>155</v>
      </c>
      <c r="D26" s="61">
        <f t="shared" si="0"/>
        <v>0</v>
      </c>
      <c r="E26" s="61">
        <f t="shared" si="1"/>
        <v>0.68421052631578949</v>
      </c>
      <c r="F26" s="62">
        <f t="shared" si="2"/>
        <v>1</v>
      </c>
      <c r="G26" s="63"/>
      <c r="H26" s="64"/>
      <c r="I26" s="64"/>
      <c r="J26" s="64"/>
      <c r="K26" s="64"/>
      <c r="L26" s="65"/>
      <c r="M26" s="65"/>
      <c r="N26" s="64"/>
      <c r="O26" s="64"/>
      <c r="P26" s="64"/>
      <c r="Q26" s="64"/>
      <c r="R26" s="64"/>
      <c r="S26" s="65"/>
      <c r="T26" s="65"/>
      <c r="U26" s="64"/>
      <c r="V26" s="64"/>
      <c r="W26" s="64"/>
      <c r="X26" s="64"/>
      <c r="Y26" s="65"/>
      <c r="Z26" s="65"/>
      <c r="AA26" s="65"/>
      <c r="AB26" s="65"/>
      <c r="AC26" s="47">
        <v>0</v>
      </c>
      <c r="AD26" s="47">
        <v>0</v>
      </c>
      <c r="AE26" s="47">
        <v>0</v>
      </c>
      <c r="AF26" s="47">
        <v>0</v>
      </c>
      <c r="AG26" s="65"/>
      <c r="AH26" s="65"/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65"/>
      <c r="AO26" s="65"/>
      <c r="AP26" s="65"/>
      <c r="AQ26" s="65"/>
      <c r="AR26" s="47">
        <v>0</v>
      </c>
      <c r="AS26" s="47">
        <v>0</v>
      </c>
      <c r="AT26" s="47">
        <v>0</v>
      </c>
      <c r="AU26" s="65"/>
      <c r="AV26" s="65"/>
      <c r="AW26" s="64"/>
      <c r="AX26" s="64"/>
      <c r="AY26" s="64"/>
      <c r="AZ26" s="64"/>
      <c r="BA26" s="65"/>
      <c r="BB26" s="65"/>
      <c r="BC26" s="65"/>
      <c r="BD26" s="64"/>
      <c r="BE26" s="64"/>
      <c r="BF26" s="64"/>
      <c r="BG26" s="64"/>
      <c r="BH26" s="64"/>
      <c r="BI26" s="65"/>
      <c r="BJ26" s="65"/>
      <c r="BK26" s="64"/>
      <c r="BL26" s="64">
        <v>1</v>
      </c>
      <c r="BM26" s="64">
        <v>1</v>
      </c>
      <c r="BN26" s="64">
        <v>1</v>
      </c>
      <c r="BO26" s="64">
        <v>1</v>
      </c>
      <c r="BP26" s="65"/>
      <c r="BQ26" s="65"/>
      <c r="BR26" s="64">
        <v>1</v>
      </c>
      <c r="BS26" s="64">
        <v>1</v>
      </c>
      <c r="BT26" s="64">
        <v>1</v>
      </c>
      <c r="BU26" s="64"/>
      <c r="BV26" s="64">
        <v>1</v>
      </c>
      <c r="BW26" s="65"/>
      <c r="BX26" s="65"/>
      <c r="BY26" s="64">
        <v>1</v>
      </c>
      <c r="BZ26" s="64">
        <v>1</v>
      </c>
      <c r="CA26" s="64">
        <v>1</v>
      </c>
      <c r="CB26" s="64">
        <v>1</v>
      </c>
      <c r="CC26" s="64">
        <v>1</v>
      </c>
      <c r="CD26" s="65"/>
      <c r="CE26" s="65"/>
      <c r="CF26" s="64">
        <v>1</v>
      </c>
      <c r="CG26" s="64">
        <v>1</v>
      </c>
      <c r="CH26" s="64">
        <v>1</v>
      </c>
      <c r="CI26" s="65"/>
      <c r="CJ26" s="65"/>
      <c r="CK26" s="65"/>
      <c r="CL26" s="65"/>
      <c r="CM26" s="64">
        <v>1</v>
      </c>
      <c r="CN26" s="64">
        <v>1</v>
      </c>
      <c r="CO26" s="64">
        <v>1</v>
      </c>
      <c r="CP26" s="64">
        <v>1</v>
      </c>
      <c r="CQ26" s="64">
        <v>1</v>
      </c>
      <c r="CR26" s="65"/>
      <c r="CS26" s="65"/>
      <c r="CT26" s="64">
        <v>1</v>
      </c>
      <c r="CU26" s="64">
        <v>1</v>
      </c>
      <c r="CV26" s="64">
        <v>1</v>
      </c>
      <c r="CW26" s="64">
        <v>1</v>
      </c>
      <c r="CX26" s="64">
        <v>1</v>
      </c>
      <c r="CY26" s="65"/>
      <c r="CZ26" s="65"/>
      <c r="DA26" s="64">
        <v>1</v>
      </c>
      <c r="DB26" s="64"/>
      <c r="DC26" s="64"/>
      <c r="DD26" s="64"/>
      <c r="DE26" s="64"/>
      <c r="DF26" s="65"/>
      <c r="DG26" s="65"/>
      <c r="DH26" s="75"/>
      <c r="DI26" s="75"/>
      <c r="DJ26" s="75"/>
      <c r="DK26" s="18">
        <f>SUM(Tabela246379[[#This Row],[16-mar]:[01/jul]])</f>
        <v>27</v>
      </c>
      <c r="DL26" s="48">
        <f>Tabela246379[[#This Row],[Dias]]*8</f>
        <v>216</v>
      </c>
      <c r="DM26" s="49">
        <f>SUM(Tabela246379[[#This Row],[16-mar]:[20-mar]])</f>
        <v>0</v>
      </c>
      <c r="DN26" s="50">
        <f>Tabela246379[[#This Row],[16/03 - 20/03]]*8.8</f>
        <v>0</v>
      </c>
      <c r="DO26" s="49">
        <f>SUM(Tabela246379[[#This Row],[23-mar]:[27-mar]])</f>
        <v>0</v>
      </c>
      <c r="DP26" s="67">
        <f>Tabela246379[[#This Row],[23/03 - 27/03]]*8.8</f>
        <v>0</v>
      </c>
      <c r="DQ26" s="49">
        <f>SUM(Tabela246379[[#This Row],[30-mar]:[2-abr]])</f>
        <v>0</v>
      </c>
      <c r="DR26" s="67">
        <f>Tabela246379[[#This Row],[30/03 - 02/04]]*8.8</f>
        <v>0</v>
      </c>
      <c r="DS26" s="49">
        <f>SUM(Tabela246379[[#This Row],[7-abr]:[10-abr]])</f>
        <v>0</v>
      </c>
      <c r="DT26" s="67">
        <f>Tabela246379[[#This Row],[07/04 - 10/04]]*8.8</f>
        <v>0</v>
      </c>
      <c r="DU26" s="68">
        <f>SUM(Tabela246379[[#This Row],[13-abr]:[17-abr]])</f>
        <v>0</v>
      </c>
      <c r="DV26" s="69">
        <f>Tabela246379[[#This Row],[13/04 - 17/04]]*8.8</f>
        <v>0</v>
      </c>
      <c r="DW26" s="49">
        <f>SUM(Tabela246379[[#This Row],[22-abr]:[24-abr]])</f>
        <v>0</v>
      </c>
      <c r="DX26" s="67">
        <f>Tabela246379[[#This Row],[22/04 - 24/04]]*8.8</f>
        <v>0</v>
      </c>
      <c r="DY26" s="49">
        <f>SUM(Tabela246379[[#This Row],[27-abr]:[30-abr]])</f>
        <v>0</v>
      </c>
      <c r="DZ26" s="67">
        <f>Tabela246379[[#This Row],[27/04 - 30/04]]*8.8</f>
        <v>0</v>
      </c>
      <c r="EA26" s="49">
        <f>SUM(Tabela246379[[#This Row],[4-mai]:[8-mai]])</f>
        <v>0</v>
      </c>
      <c r="EB26" s="67">
        <f>Tabela246379[[#This Row],[04/05 - 08/05]]*8.8</f>
        <v>0</v>
      </c>
      <c r="EC26" s="49">
        <f>SUM(Tabela246379[[#This Row],[11-mai]:[15-mai]])</f>
        <v>4</v>
      </c>
      <c r="ED26" s="70">
        <f>Tabela246379[[#This Row],[11/05 - 15/05]]*8.8</f>
        <v>35.200000000000003</v>
      </c>
      <c r="EE26" s="49">
        <f>SUM(Tabela246379[[#This Row],[18-mai]:[22-mai]])</f>
        <v>4</v>
      </c>
      <c r="EF26" s="68">
        <f>Tabela246379[[#This Row],[18/05 - 22/05]]*8.8</f>
        <v>35.200000000000003</v>
      </c>
      <c r="EG26" s="49">
        <f>SUM(Tabela246379[[#This Row],[25-mai]:[29-mai]])</f>
        <v>5</v>
      </c>
      <c r="EH26" s="70">
        <f>Tabela246379[[#This Row],[25/05 - 29/05]]*8.8</f>
        <v>44</v>
      </c>
      <c r="EI26" s="49">
        <f>SUM(Tabela246379[[#This Row],[1-jun]:[3-jun]])</f>
        <v>3</v>
      </c>
      <c r="EJ26" s="70">
        <f>Tabela246379[[#This Row],[01/06 - 03/06]]*8.8</f>
        <v>26.400000000000002</v>
      </c>
      <c r="EK26" s="49">
        <f>SUM(Tabela246379[[#This Row],[8-jun]:[12-jun]])</f>
        <v>5</v>
      </c>
      <c r="EL26" s="70">
        <f>Tabela246379[[#This Row],[08/06 - 12/06]]*8.8</f>
        <v>44</v>
      </c>
      <c r="EM26" s="49">
        <f>SUM(Tabela246379[[#This Row],[15-jun]:[19-jun]])</f>
        <v>5</v>
      </c>
      <c r="EN26" s="70">
        <f>Tabela246379[[#This Row],[15/06 - 19/06]]*8.8</f>
        <v>44</v>
      </c>
      <c r="EO26" s="49">
        <f>SUM(Tabela246379[[#This Row],[22-jun]:[26-jun]])</f>
        <v>1</v>
      </c>
      <c r="EP26" s="70">
        <f>Tabela246379[[#This Row],[22/06 - 26/06]]*8.8</f>
        <v>8.8000000000000007</v>
      </c>
      <c r="EQ26" s="49">
        <f>SUM(Tabela246379[[#This Row],[29/jun]:[01/jul]])</f>
        <v>0</v>
      </c>
      <c r="ER26" s="70">
        <f>Tabela246379[[#This Row],[29/06 - 01/07]]*8.8</f>
        <v>0</v>
      </c>
    </row>
    <row r="27" spans="1:148" s="22" customFormat="1" ht="24.95" customHeight="1" x14ac:dyDescent="0.25">
      <c r="A27" s="13">
        <v>11</v>
      </c>
      <c r="B27" s="83" t="s">
        <v>165</v>
      </c>
      <c r="C27" s="71" t="s">
        <v>5</v>
      </c>
      <c r="D27" s="72">
        <f t="shared" si="0"/>
        <v>0</v>
      </c>
      <c r="E27" s="72">
        <f t="shared" si="1"/>
        <v>0.16326530612244897</v>
      </c>
      <c r="F27" s="73">
        <f t="shared" si="2"/>
        <v>1</v>
      </c>
      <c r="G27" s="74">
        <v>0</v>
      </c>
      <c r="H27" s="46">
        <v>0</v>
      </c>
      <c r="I27" s="46">
        <v>0</v>
      </c>
      <c r="J27" s="46">
        <v>0</v>
      </c>
      <c r="K27" s="46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</v>
      </c>
      <c r="Y27" s="47">
        <v>0</v>
      </c>
      <c r="Z27" s="47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47">
        <v>0</v>
      </c>
      <c r="AH27" s="47">
        <v>0</v>
      </c>
      <c r="AI27" s="47">
        <v>1</v>
      </c>
      <c r="AJ27" s="47">
        <v>1</v>
      </c>
      <c r="AK27" s="47">
        <v>1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1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1</v>
      </c>
      <c r="CA27" s="47">
        <v>1</v>
      </c>
      <c r="CB27" s="47">
        <v>1</v>
      </c>
      <c r="CC27" s="47">
        <v>1</v>
      </c>
      <c r="CD27" s="47">
        <v>0</v>
      </c>
      <c r="CE27" s="47">
        <v>0</v>
      </c>
      <c r="CF27" s="47">
        <v>1</v>
      </c>
      <c r="CG27" s="47">
        <v>1</v>
      </c>
      <c r="CH27" s="47">
        <v>1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1</v>
      </c>
      <c r="CO27" s="47">
        <v>0</v>
      </c>
      <c r="CP27" s="47">
        <v>1</v>
      </c>
      <c r="CQ27" s="47">
        <v>0</v>
      </c>
      <c r="CR27" s="47">
        <v>0</v>
      </c>
      <c r="CS27" s="47">
        <v>0</v>
      </c>
      <c r="CT27" s="47">
        <v>0</v>
      </c>
      <c r="CU27" s="47">
        <v>1</v>
      </c>
      <c r="CV27" s="47">
        <v>1</v>
      </c>
      <c r="CW27" s="47">
        <v>1</v>
      </c>
      <c r="CX27" s="47">
        <v>0</v>
      </c>
      <c r="CY27" s="47">
        <v>0</v>
      </c>
      <c r="CZ27" s="47">
        <v>0</v>
      </c>
      <c r="DA27" s="47">
        <v>0</v>
      </c>
      <c r="DB27" s="47">
        <v>0</v>
      </c>
      <c r="DC27" s="47">
        <v>1</v>
      </c>
      <c r="DD27" s="47">
        <v>0</v>
      </c>
      <c r="DE27" s="47">
        <v>0</v>
      </c>
      <c r="DF27" s="47">
        <v>0</v>
      </c>
      <c r="DG27" s="47">
        <v>0</v>
      </c>
      <c r="DH27" s="47">
        <v>0</v>
      </c>
      <c r="DI27" s="47">
        <v>0</v>
      </c>
      <c r="DJ27" s="77">
        <v>0</v>
      </c>
      <c r="DK27" s="18">
        <f>SUM(Tabela246379[[#This Row],[16-mar]:[01/jul]])</f>
        <v>17</v>
      </c>
      <c r="DL27" s="48">
        <f>Tabela246379[[#This Row],[Dias]]*8</f>
        <v>136</v>
      </c>
      <c r="DM27" s="49">
        <f>SUM(Tabela246379[[#This Row],[16-mar]:[20-mar]])</f>
        <v>0</v>
      </c>
      <c r="DN27" s="50">
        <f>Tabela246379[[#This Row],[16/03 - 20/03]]*8.8</f>
        <v>0</v>
      </c>
      <c r="DO27" s="53">
        <f>SUM(Tabela246379[[#This Row],[23-mar]:[27-mar]])</f>
        <v>0</v>
      </c>
      <c r="DP27" s="54">
        <f>Tabela246379[[#This Row],[23/03 - 27/03]]*8.8</f>
        <v>0</v>
      </c>
      <c r="DQ27" s="53">
        <f>SUM(Tabela246379[[#This Row],[30-mar]:[2-abr]])</f>
        <v>0</v>
      </c>
      <c r="DR27" s="54">
        <f>Tabela246379[[#This Row],[30/03 - 02/04]]*8.8</f>
        <v>0</v>
      </c>
      <c r="DS27" s="53">
        <f>SUM(Tabela246379[[#This Row],[7-abr]:[10-abr]])</f>
        <v>0</v>
      </c>
      <c r="DT27" s="54">
        <f>Tabela246379[[#This Row],[07/04 - 10/04]]*8.8</f>
        <v>0</v>
      </c>
      <c r="DU27" s="51">
        <f>SUM(Tabela246379[[#This Row],[13-abr]:[17-abr]])</f>
        <v>3</v>
      </c>
      <c r="DV27" s="52">
        <f>Tabela246379[[#This Row],[13/04 - 17/04]]*8.8</f>
        <v>26.400000000000002</v>
      </c>
      <c r="DW27" s="53">
        <f>SUM(Tabela246379[[#This Row],[22-abr]:[24-abr]])</f>
        <v>1</v>
      </c>
      <c r="DX27" s="54">
        <f>Tabela246379[[#This Row],[22/04 - 24/04]]*8.8</f>
        <v>8.8000000000000007</v>
      </c>
      <c r="DY27" s="53">
        <f>SUM(Tabela246379[[#This Row],[27-abr]:[30-abr]])</f>
        <v>0</v>
      </c>
      <c r="DZ27" s="54">
        <f>Tabela246379[[#This Row],[27/04 - 30/04]]*8.8</f>
        <v>0</v>
      </c>
      <c r="EA27" s="53">
        <f>SUM(Tabela246379[[#This Row],[4-mai]:[8-mai]])</f>
        <v>0</v>
      </c>
      <c r="EB27" s="54">
        <f>Tabela246379[[#This Row],[04/05 - 08/05]]*8.8</f>
        <v>0</v>
      </c>
      <c r="EC27" s="53">
        <f>SUM(Tabela246379[[#This Row],[11-mai]:[15-mai]])</f>
        <v>0</v>
      </c>
      <c r="ED27" s="55">
        <f>Tabela246379[[#This Row],[11/05 - 15/05]]*8.8</f>
        <v>0</v>
      </c>
      <c r="EE27" s="53">
        <f>SUM(Tabela246379[[#This Row],[18-mai]:[22-mai]])</f>
        <v>0</v>
      </c>
      <c r="EF27" s="51">
        <f>Tabela246379[[#This Row],[18/05 - 22/05]]*8.8</f>
        <v>0</v>
      </c>
      <c r="EG27" s="53">
        <f>SUM(Tabela246379[[#This Row],[25-mai]:[29-mai]])</f>
        <v>4</v>
      </c>
      <c r="EH27" s="55">
        <f>Tabela246379[[#This Row],[25/05 - 29/05]]*8.8</f>
        <v>35.200000000000003</v>
      </c>
      <c r="EI27" s="53">
        <f>SUM(Tabela246379[[#This Row],[1-jun]:[3-jun]])</f>
        <v>3</v>
      </c>
      <c r="EJ27" s="55">
        <f>Tabela246379[[#This Row],[01/06 - 03/06]]*8.8</f>
        <v>26.400000000000002</v>
      </c>
      <c r="EK27" s="53">
        <f>SUM(Tabela246379[[#This Row],[8-jun]:[12-jun]])</f>
        <v>2</v>
      </c>
      <c r="EL27" s="55">
        <f>Tabela246379[[#This Row],[08/06 - 12/06]]*8.8</f>
        <v>17.600000000000001</v>
      </c>
      <c r="EM27" s="53">
        <f>SUM(Tabela246379[[#This Row],[15-jun]:[19-jun]])</f>
        <v>3</v>
      </c>
      <c r="EN27" s="55">
        <f>Tabela246379[[#This Row],[15/06 - 19/06]]*8.8</f>
        <v>26.400000000000002</v>
      </c>
      <c r="EO27" s="53">
        <f>SUM(Tabela246379[[#This Row],[22-jun]:[26-jun]])</f>
        <v>1</v>
      </c>
      <c r="EP27" s="55">
        <f>Tabela246379[[#This Row],[22/06 - 26/06]]*8.8</f>
        <v>8.8000000000000007</v>
      </c>
      <c r="EQ27" s="49">
        <f>SUM(Tabela246379[[#This Row],[29/jun]:[01/jul]])</f>
        <v>0</v>
      </c>
      <c r="ER27" s="70">
        <f>Tabela246379[[#This Row],[29/06 - 01/07]]*8.8</f>
        <v>0</v>
      </c>
    </row>
    <row r="28" spans="1:148" s="43" customFormat="1" ht="24.95" customHeight="1" x14ac:dyDescent="0.25">
      <c r="A28" s="58"/>
      <c r="B28" s="83"/>
      <c r="C28" s="60" t="s">
        <v>155</v>
      </c>
      <c r="D28" s="61">
        <f t="shared" si="0"/>
        <v>0</v>
      </c>
      <c r="E28" s="61">
        <f t="shared" si="1"/>
        <v>0.79870967741935484</v>
      </c>
      <c r="F28" s="62">
        <f t="shared" si="2"/>
        <v>1</v>
      </c>
      <c r="G28" s="63"/>
      <c r="H28" s="64"/>
      <c r="I28" s="64"/>
      <c r="J28" s="64"/>
      <c r="K28" s="64"/>
      <c r="L28" s="65"/>
      <c r="M28" s="65"/>
      <c r="N28" s="64"/>
      <c r="O28" s="64"/>
      <c r="P28" s="64"/>
      <c r="Q28" s="64"/>
      <c r="R28" s="64"/>
      <c r="S28" s="65"/>
      <c r="T28" s="65"/>
      <c r="U28" s="64"/>
      <c r="V28" s="64"/>
      <c r="W28" s="64"/>
      <c r="X28" s="64"/>
      <c r="Y28" s="65"/>
      <c r="Z28" s="65"/>
      <c r="AA28" s="65"/>
      <c r="AB28" s="65"/>
      <c r="AC28" s="47">
        <v>0</v>
      </c>
      <c r="AD28" s="64">
        <v>0.25</v>
      </c>
      <c r="AE28" s="47">
        <v>0</v>
      </c>
      <c r="AF28" s="47">
        <v>0</v>
      </c>
      <c r="AG28" s="65"/>
      <c r="AH28" s="65"/>
      <c r="AI28" s="64">
        <v>0.45</v>
      </c>
      <c r="AJ28" s="64">
        <v>0.45</v>
      </c>
      <c r="AK28" s="64">
        <v>0.91</v>
      </c>
      <c r="AL28" s="64">
        <v>0.91</v>
      </c>
      <c r="AM28" s="64">
        <v>0.91</v>
      </c>
      <c r="AN28" s="65"/>
      <c r="AO28" s="65"/>
      <c r="AP28" s="65"/>
      <c r="AQ28" s="65"/>
      <c r="AR28" s="47">
        <v>0.26</v>
      </c>
      <c r="AS28" s="47">
        <v>0.71</v>
      </c>
      <c r="AT28" s="47">
        <v>0.91</v>
      </c>
      <c r="AU28" s="65"/>
      <c r="AV28" s="65"/>
      <c r="AW28" s="64">
        <v>1</v>
      </c>
      <c r="AX28" s="64">
        <v>1</v>
      </c>
      <c r="AY28" s="64">
        <v>1</v>
      </c>
      <c r="AZ28" s="64">
        <v>1</v>
      </c>
      <c r="BA28" s="65"/>
      <c r="BB28" s="65"/>
      <c r="BC28" s="65"/>
      <c r="BD28" s="64">
        <v>1</v>
      </c>
      <c r="BE28" s="64">
        <v>1</v>
      </c>
      <c r="BF28" s="64">
        <v>1</v>
      </c>
      <c r="BG28" s="64">
        <v>1</v>
      </c>
      <c r="BH28" s="64">
        <v>1</v>
      </c>
      <c r="BI28" s="65"/>
      <c r="BJ28" s="65"/>
      <c r="BK28" s="64">
        <v>1</v>
      </c>
      <c r="BL28" s="64">
        <v>1</v>
      </c>
      <c r="BM28" s="64">
        <v>1</v>
      </c>
      <c r="BN28" s="64">
        <v>1</v>
      </c>
      <c r="BO28" s="64">
        <v>1</v>
      </c>
      <c r="BP28" s="65"/>
      <c r="BQ28" s="65"/>
      <c r="BR28" s="64">
        <v>1</v>
      </c>
      <c r="BS28" s="64">
        <v>1</v>
      </c>
      <c r="BT28" s="64">
        <v>1</v>
      </c>
      <c r="BU28" s="64"/>
      <c r="BV28" s="64"/>
      <c r="BW28" s="65"/>
      <c r="BX28" s="65"/>
      <c r="BY28" s="64">
        <v>1</v>
      </c>
      <c r="BZ28" s="64">
        <v>1</v>
      </c>
      <c r="CA28" s="64"/>
      <c r="CB28" s="64"/>
      <c r="CC28" s="64"/>
      <c r="CD28" s="65"/>
      <c r="CE28" s="65"/>
      <c r="CF28" s="64"/>
      <c r="CG28" s="64"/>
      <c r="CH28" s="64"/>
      <c r="CI28" s="65"/>
      <c r="CJ28" s="65"/>
      <c r="CK28" s="65"/>
      <c r="CL28" s="65"/>
      <c r="CM28" s="64"/>
      <c r="CN28" s="64"/>
      <c r="CO28" s="64"/>
      <c r="CP28" s="64"/>
      <c r="CQ28" s="64"/>
      <c r="CR28" s="65"/>
      <c r="CS28" s="65"/>
      <c r="CT28" s="64"/>
      <c r="CU28" s="64"/>
      <c r="CV28" s="64"/>
      <c r="CW28" s="64"/>
      <c r="CX28" s="64"/>
      <c r="CY28" s="65"/>
      <c r="CZ28" s="65"/>
      <c r="DA28" s="64"/>
      <c r="DB28" s="64"/>
      <c r="DC28" s="64"/>
      <c r="DD28" s="64"/>
      <c r="DE28" s="64"/>
      <c r="DF28" s="65"/>
      <c r="DG28" s="65"/>
      <c r="DH28" s="75"/>
      <c r="DI28" s="75"/>
      <c r="DJ28" s="75"/>
      <c r="DK28" s="18">
        <f>SUM(Tabela246379[[#This Row],[16-mar]:[01/jul]])</f>
        <v>24.76</v>
      </c>
      <c r="DL28" s="48">
        <f>Tabela246379[[#This Row],[Dias]]*8</f>
        <v>198.08</v>
      </c>
      <c r="DM28" s="49">
        <f>SUM(Tabela246379[[#This Row],[16-mar]:[20-mar]])</f>
        <v>0</v>
      </c>
      <c r="DN28" s="50">
        <f>Tabela246379[[#This Row],[16/03 - 20/03]]*8.8</f>
        <v>0</v>
      </c>
      <c r="DO28" s="49">
        <f>SUM(Tabela246379[[#This Row],[23-mar]:[27-mar]])</f>
        <v>0</v>
      </c>
      <c r="DP28" s="67">
        <f>Tabela246379[[#This Row],[23/03 - 27/03]]*8.8</f>
        <v>0</v>
      </c>
      <c r="DQ28" s="49">
        <f>SUM(Tabela246379[[#This Row],[30-mar]:[2-abr]])</f>
        <v>0</v>
      </c>
      <c r="DR28" s="67">
        <f>Tabela246379[[#This Row],[30/03 - 02/04]]*8.8</f>
        <v>0</v>
      </c>
      <c r="DS28" s="49">
        <f>SUM(Tabela246379[[#This Row],[7-abr]:[10-abr]])</f>
        <v>0.25</v>
      </c>
      <c r="DT28" s="67">
        <f>Tabela246379[[#This Row],[07/04 - 10/04]]*8.8</f>
        <v>2.2000000000000002</v>
      </c>
      <c r="DU28" s="68">
        <f>SUM(Tabela246379[[#This Row],[13-abr]:[17-abr]])</f>
        <v>3.6300000000000003</v>
      </c>
      <c r="DV28" s="69">
        <f>Tabela246379[[#This Row],[13/04 - 17/04]]*8.8</f>
        <v>31.944000000000006</v>
      </c>
      <c r="DW28" s="49">
        <f>SUM(Tabela246379[[#This Row],[22-abr]:[24-abr]])</f>
        <v>1.88</v>
      </c>
      <c r="DX28" s="67">
        <f>Tabela246379[[#This Row],[22/04 - 24/04]]*8.8</f>
        <v>16.544</v>
      </c>
      <c r="DY28" s="49">
        <f>SUM(Tabela246379[[#This Row],[27-abr]:[30-abr]])</f>
        <v>4</v>
      </c>
      <c r="DZ28" s="67">
        <f>Tabela246379[[#This Row],[27/04 - 30/04]]*8.8</f>
        <v>35.200000000000003</v>
      </c>
      <c r="EA28" s="49">
        <f>SUM(Tabela246379[[#This Row],[4-mai]:[8-mai]])</f>
        <v>5</v>
      </c>
      <c r="EB28" s="67">
        <f>Tabela246379[[#This Row],[04/05 - 08/05]]*8.8</f>
        <v>44</v>
      </c>
      <c r="EC28" s="49">
        <f>SUM(Tabela246379[[#This Row],[11-mai]:[15-mai]])</f>
        <v>5</v>
      </c>
      <c r="ED28" s="70">
        <f>Tabela246379[[#This Row],[11/05 - 15/05]]*8.8</f>
        <v>44</v>
      </c>
      <c r="EE28" s="49">
        <f>SUM(Tabela246379[[#This Row],[18-mai]:[22-mai]])</f>
        <v>3</v>
      </c>
      <c r="EF28" s="68">
        <f>Tabela246379[[#This Row],[18/05 - 22/05]]*8.8</f>
        <v>26.400000000000002</v>
      </c>
      <c r="EG28" s="49">
        <f>SUM(Tabela246379[[#This Row],[25-mai]:[29-mai]])</f>
        <v>2</v>
      </c>
      <c r="EH28" s="70">
        <f>Tabela246379[[#This Row],[25/05 - 29/05]]*8.8</f>
        <v>17.600000000000001</v>
      </c>
      <c r="EI28" s="49">
        <f>SUM(Tabela246379[[#This Row],[1-jun]:[3-jun]])</f>
        <v>0</v>
      </c>
      <c r="EJ28" s="70">
        <f>Tabela246379[[#This Row],[01/06 - 03/06]]*8.8</f>
        <v>0</v>
      </c>
      <c r="EK28" s="49">
        <f>SUM(Tabela246379[[#This Row],[8-jun]:[12-jun]])</f>
        <v>0</v>
      </c>
      <c r="EL28" s="70">
        <f>Tabela246379[[#This Row],[08/06 - 12/06]]*8.8</f>
        <v>0</v>
      </c>
      <c r="EM28" s="49">
        <f>SUM(Tabela246379[[#This Row],[15-jun]:[19-jun]])</f>
        <v>0</v>
      </c>
      <c r="EN28" s="70">
        <f>Tabela246379[[#This Row],[15/06 - 19/06]]*8.8</f>
        <v>0</v>
      </c>
      <c r="EO28" s="49">
        <f>SUM(Tabela246379[[#This Row],[22-jun]:[26-jun]])</f>
        <v>0</v>
      </c>
      <c r="EP28" s="70">
        <f>Tabela246379[[#This Row],[22/06 - 26/06]]*8.8</f>
        <v>0</v>
      </c>
      <c r="EQ28" s="49">
        <f>SUM(Tabela246379[[#This Row],[29/jun]:[01/jul]])</f>
        <v>0</v>
      </c>
      <c r="ER28" s="70">
        <f>Tabela246379[[#This Row],[29/06 - 01/07]]*8.8</f>
        <v>0</v>
      </c>
    </row>
    <row r="29" spans="1:148" s="22" customFormat="1" ht="24.95" customHeight="1" x14ac:dyDescent="0.25">
      <c r="A29" s="58">
        <v>12</v>
      </c>
      <c r="B29" s="83" t="s">
        <v>166</v>
      </c>
      <c r="C29" s="71" t="s">
        <v>5</v>
      </c>
      <c r="D29" s="72">
        <f>MIN(G29:CZ29)</f>
        <v>0</v>
      </c>
      <c r="E29" s="72">
        <f>AVERAGE(G29:CZ29)</f>
        <v>0.23469387755102042</v>
      </c>
      <c r="F29" s="73">
        <f>MAX(G29:CZ29)</f>
        <v>1</v>
      </c>
      <c r="G29" s="74">
        <v>0</v>
      </c>
      <c r="H29" s="46">
        <v>0</v>
      </c>
      <c r="I29" s="46">
        <v>0</v>
      </c>
      <c r="J29" s="46">
        <v>0</v>
      </c>
      <c r="K29" s="46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1</v>
      </c>
      <c r="AS29" s="47">
        <v>1</v>
      </c>
      <c r="AT29" s="47">
        <v>1</v>
      </c>
      <c r="AU29" s="47">
        <v>0</v>
      </c>
      <c r="AV29" s="47">
        <v>0</v>
      </c>
      <c r="AW29" s="47">
        <v>1</v>
      </c>
      <c r="AX29" s="47">
        <v>1</v>
      </c>
      <c r="AY29" s="47">
        <v>1</v>
      </c>
      <c r="AZ29" s="47">
        <v>1</v>
      </c>
      <c r="BA29" s="47">
        <v>0</v>
      </c>
      <c r="BB29" s="47">
        <v>0</v>
      </c>
      <c r="BC29" s="47">
        <v>0</v>
      </c>
      <c r="BD29" s="47">
        <v>1</v>
      </c>
      <c r="BE29" s="47">
        <v>1</v>
      </c>
      <c r="BF29" s="47">
        <v>1</v>
      </c>
      <c r="BG29" s="47">
        <v>1</v>
      </c>
      <c r="BH29" s="47">
        <v>1</v>
      </c>
      <c r="BI29" s="47">
        <v>0</v>
      </c>
      <c r="BJ29" s="47">
        <v>0</v>
      </c>
      <c r="BK29" s="47">
        <v>1</v>
      </c>
      <c r="BL29" s="47">
        <v>1</v>
      </c>
      <c r="BM29" s="47">
        <v>1</v>
      </c>
      <c r="BN29" s="47">
        <v>1</v>
      </c>
      <c r="BO29" s="47">
        <v>1</v>
      </c>
      <c r="BP29" s="47">
        <v>0</v>
      </c>
      <c r="BQ29" s="47">
        <v>0</v>
      </c>
      <c r="BR29" s="47">
        <v>1</v>
      </c>
      <c r="BS29" s="47">
        <v>0</v>
      </c>
      <c r="BT29" s="47">
        <v>1</v>
      </c>
      <c r="BU29" s="47">
        <v>0</v>
      </c>
      <c r="BV29" s="47">
        <v>1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1</v>
      </c>
      <c r="CV29" s="47">
        <v>1</v>
      </c>
      <c r="CW29" s="47">
        <v>1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1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77">
        <v>0</v>
      </c>
      <c r="DK29" s="18">
        <f>SUM(Tabela246379[[#This Row],[16-mar]:[01/jul]])</f>
        <v>24</v>
      </c>
      <c r="DL29" s="48">
        <f>Tabela246379[[#This Row],[Dias]]*8</f>
        <v>192</v>
      </c>
      <c r="DM29" s="49">
        <f>SUM(Tabela246379[[#This Row],[16-mar]:[20-mar]])</f>
        <v>0</v>
      </c>
      <c r="DN29" s="50">
        <f>Tabela246379[[#This Row],[16/03 - 20/03]]*8.8</f>
        <v>0</v>
      </c>
      <c r="DO29" s="53">
        <f>SUM(Tabela246379[[#This Row],[23-mar]:[27-mar]])</f>
        <v>0</v>
      </c>
      <c r="DP29" s="54">
        <f>Tabela246379[[#This Row],[23/03 - 27/03]]*8.8</f>
        <v>0</v>
      </c>
      <c r="DQ29" s="53">
        <f>SUM(Tabela246379[[#This Row],[30-mar]:[2-abr]])</f>
        <v>0</v>
      </c>
      <c r="DR29" s="54">
        <f>Tabela246379[[#This Row],[30/03 - 02/04]]*8.8</f>
        <v>0</v>
      </c>
      <c r="DS29" s="53">
        <f>SUM(Tabela246379[[#This Row],[7-abr]:[10-abr]])</f>
        <v>0</v>
      </c>
      <c r="DT29" s="54">
        <f>Tabela246379[[#This Row],[07/04 - 10/04]]*8.8</f>
        <v>0</v>
      </c>
      <c r="DU29" s="51">
        <f>SUM(Tabela246379[[#This Row],[13-abr]:[17-abr]])</f>
        <v>0</v>
      </c>
      <c r="DV29" s="52">
        <f>Tabela246379[[#This Row],[13/04 - 17/04]]*8.8</f>
        <v>0</v>
      </c>
      <c r="DW29" s="53">
        <f>SUM(Tabela246379[[#This Row],[22-abr]:[24-abr]])</f>
        <v>3</v>
      </c>
      <c r="DX29" s="54">
        <f>Tabela246379[[#This Row],[22/04 - 24/04]]*8.8</f>
        <v>26.400000000000002</v>
      </c>
      <c r="DY29" s="53">
        <f>SUM(Tabela246379[[#This Row],[27-abr]:[30-abr]])</f>
        <v>4</v>
      </c>
      <c r="DZ29" s="54">
        <f>Tabela246379[[#This Row],[27/04 - 30/04]]*8.8</f>
        <v>35.200000000000003</v>
      </c>
      <c r="EA29" s="53">
        <f>SUM(Tabela246379[[#This Row],[4-mai]:[8-mai]])</f>
        <v>5</v>
      </c>
      <c r="EB29" s="54">
        <f>Tabela246379[[#This Row],[04/05 - 08/05]]*8.8</f>
        <v>44</v>
      </c>
      <c r="EC29" s="53">
        <f>SUM(Tabela246379[[#This Row],[11-mai]:[15-mai]])</f>
        <v>5</v>
      </c>
      <c r="ED29" s="55">
        <f>Tabela246379[[#This Row],[11/05 - 15/05]]*8.8</f>
        <v>44</v>
      </c>
      <c r="EE29" s="53">
        <f>SUM(Tabela246379[[#This Row],[18-mai]:[22-mai]])</f>
        <v>3</v>
      </c>
      <c r="EF29" s="51">
        <f>Tabela246379[[#This Row],[18/05 - 22/05]]*8.8</f>
        <v>26.400000000000002</v>
      </c>
      <c r="EG29" s="53">
        <f>SUM(Tabela246379[[#This Row],[25-mai]:[29-mai]])</f>
        <v>0</v>
      </c>
      <c r="EH29" s="55">
        <f>Tabela246379[[#This Row],[25/05 - 29/05]]*8.8</f>
        <v>0</v>
      </c>
      <c r="EI29" s="53">
        <f>SUM(Tabela246379[[#This Row],[1-jun]:[3-jun]])</f>
        <v>0</v>
      </c>
      <c r="EJ29" s="55">
        <f>Tabela246379[[#This Row],[01/06 - 03/06]]*8.8</f>
        <v>0</v>
      </c>
      <c r="EK29" s="53">
        <f>SUM(Tabela246379[[#This Row],[8-jun]:[12-jun]])</f>
        <v>0</v>
      </c>
      <c r="EL29" s="55">
        <f>Tabela246379[[#This Row],[08/06 - 12/06]]*8.8</f>
        <v>0</v>
      </c>
      <c r="EM29" s="53">
        <f>SUM(Tabela246379[[#This Row],[15-jun]:[19-jun]])</f>
        <v>3</v>
      </c>
      <c r="EN29" s="55">
        <f>Tabela246379[[#This Row],[15/06 - 19/06]]*8.8</f>
        <v>26.400000000000002</v>
      </c>
      <c r="EO29" s="53">
        <f>SUM(Tabela246379[[#This Row],[22-jun]:[26-jun]])</f>
        <v>1</v>
      </c>
      <c r="EP29" s="55">
        <f>Tabela246379[[#This Row],[22/06 - 26/06]]*8.8</f>
        <v>8.8000000000000007</v>
      </c>
      <c r="EQ29" s="49">
        <f>SUM(Tabela246379[[#This Row],[29/jun]:[01/jul]])</f>
        <v>0</v>
      </c>
      <c r="ER29" s="70">
        <f>Tabela246379[[#This Row],[29/06 - 01/07]]*8.8</f>
        <v>0</v>
      </c>
    </row>
    <row r="30" spans="1:148" s="43" customFormat="1" ht="24.95" customHeight="1" x14ac:dyDescent="0.25">
      <c r="A30" s="58"/>
      <c r="B30" s="83"/>
      <c r="C30" s="60" t="s">
        <v>155</v>
      </c>
      <c r="D30" s="61">
        <f t="shared" ref="D30:D36" si="3">MIN(G30:DA30)</f>
        <v>0</v>
      </c>
      <c r="E30" s="61">
        <f t="shared" ref="E30:E36" si="4">AVERAGE(G30:DA30)</f>
        <v>1.3271111111111111</v>
      </c>
      <c r="F30" s="62">
        <f t="shared" ref="F30:F36" si="5">MAX(G30:DA30)</f>
        <v>1.9</v>
      </c>
      <c r="G30" s="63"/>
      <c r="H30" s="64"/>
      <c r="I30" s="64"/>
      <c r="J30" s="64"/>
      <c r="K30" s="64"/>
      <c r="L30" s="65"/>
      <c r="M30" s="65"/>
      <c r="N30" s="64"/>
      <c r="O30" s="64"/>
      <c r="P30" s="64"/>
      <c r="Q30" s="64"/>
      <c r="R30" s="64"/>
      <c r="S30" s="65"/>
      <c r="T30" s="65"/>
      <c r="U30" s="64"/>
      <c r="V30" s="64"/>
      <c r="W30" s="64"/>
      <c r="X30" s="64"/>
      <c r="Y30" s="65"/>
      <c r="Z30" s="65"/>
      <c r="AA30" s="65"/>
      <c r="AB30" s="65"/>
      <c r="AC30" s="47">
        <v>0</v>
      </c>
      <c r="AD30" s="47">
        <v>0</v>
      </c>
      <c r="AE30" s="47">
        <v>0</v>
      </c>
      <c r="AF30" s="47">
        <v>0</v>
      </c>
      <c r="AG30" s="65"/>
      <c r="AH30" s="65"/>
      <c r="AI30" s="47">
        <v>0</v>
      </c>
      <c r="AJ30" s="47">
        <v>0</v>
      </c>
      <c r="AK30" s="47">
        <v>0</v>
      </c>
      <c r="AL30" s="47">
        <v>0</v>
      </c>
      <c r="AM30" s="47">
        <v>0.96</v>
      </c>
      <c r="AN30" s="65"/>
      <c r="AO30" s="65"/>
      <c r="AP30" s="65"/>
      <c r="AQ30" s="65"/>
      <c r="AR30" s="47">
        <v>1</v>
      </c>
      <c r="AS30" s="47">
        <v>0.88</v>
      </c>
      <c r="AT30" s="47">
        <v>0.91</v>
      </c>
      <c r="AU30" s="65"/>
      <c r="AV30" s="65"/>
      <c r="AW30" s="64">
        <v>1.88</v>
      </c>
      <c r="AX30" s="64">
        <v>1.88</v>
      </c>
      <c r="AY30" s="64">
        <v>1.88</v>
      </c>
      <c r="AZ30" s="64">
        <v>1.88</v>
      </c>
      <c r="BA30" s="65"/>
      <c r="BB30" s="65"/>
      <c r="BC30" s="65"/>
      <c r="BD30" s="64">
        <v>1.88</v>
      </c>
      <c r="BE30" s="64">
        <v>1.88</v>
      </c>
      <c r="BF30" s="64">
        <v>1.88</v>
      </c>
      <c r="BG30" s="64">
        <v>1.88</v>
      </c>
      <c r="BH30" s="64">
        <v>1.88</v>
      </c>
      <c r="BI30" s="65"/>
      <c r="BJ30" s="65"/>
      <c r="BK30" s="64">
        <v>1.4</v>
      </c>
      <c r="BL30" s="64">
        <v>1.88</v>
      </c>
      <c r="BM30" s="64">
        <v>1.88</v>
      </c>
      <c r="BN30" s="64">
        <v>1.88</v>
      </c>
      <c r="BO30" s="64">
        <v>1.88</v>
      </c>
      <c r="BP30" s="65"/>
      <c r="BQ30" s="65"/>
      <c r="BR30" s="64">
        <v>1.88</v>
      </c>
      <c r="BS30" s="64">
        <v>1.88</v>
      </c>
      <c r="BT30" s="64">
        <v>1.88</v>
      </c>
      <c r="BU30" s="64">
        <v>1.89</v>
      </c>
      <c r="BV30" s="64">
        <v>1.89</v>
      </c>
      <c r="BW30" s="65"/>
      <c r="BX30" s="65"/>
      <c r="BY30" s="64">
        <v>1.89</v>
      </c>
      <c r="BZ30" s="64">
        <v>1.89</v>
      </c>
      <c r="CA30" s="64">
        <v>1.89</v>
      </c>
      <c r="CB30" s="64">
        <v>1.9</v>
      </c>
      <c r="CC30" s="64">
        <v>1.9</v>
      </c>
      <c r="CD30" s="65"/>
      <c r="CE30" s="65"/>
      <c r="CF30" s="64">
        <v>1.9</v>
      </c>
      <c r="CG30" s="64">
        <v>1</v>
      </c>
      <c r="CH30" s="64">
        <v>1</v>
      </c>
      <c r="CI30" s="65"/>
      <c r="CJ30" s="65"/>
      <c r="CK30" s="65"/>
      <c r="CL30" s="65"/>
      <c r="CM30" s="64">
        <v>0.88</v>
      </c>
      <c r="CN30" s="64"/>
      <c r="CO30" s="64">
        <v>0.88</v>
      </c>
      <c r="CP30" s="64">
        <v>1</v>
      </c>
      <c r="CQ30" s="64">
        <v>1.82</v>
      </c>
      <c r="CR30" s="65"/>
      <c r="CS30" s="65"/>
      <c r="CT30" s="64">
        <v>1.88</v>
      </c>
      <c r="CU30" s="64">
        <v>0.88</v>
      </c>
      <c r="CV30" s="64"/>
      <c r="CW30" s="64"/>
      <c r="CX30" s="64"/>
      <c r="CY30" s="65"/>
      <c r="CZ30" s="65"/>
      <c r="DA30" s="64"/>
      <c r="DB30" s="64"/>
      <c r="DC30" s="64"/>
      <c r="DD30" s="64"/>
      <c r="DE30" s="64"/>
      <c r="DF30" s="65"/>
      <c r="DG30" s="65"/>
      <c r="DH30" s="75"/>
      <c r="DI30" s="75"/>
      <c r="DJ30" s="75"/>
      <c r="DK30" s="18">
        <f>SUM(Tabela246379[[#This Row],[16-mar]:[01/jul]])</f>
        <v>59.72</v>
      </c>
      <c r="DL30" s="48">
        <f>Tabela246379[[#This Row],[Dias]]*8</f>
        <v>477.76</v>
      </c>
      <c r="DM30" s="49">
        <f>SUM(Tabela246379[[#This Row],[16-mar]:[20-mar]])</f>
        <v>0</v>
      </c>
      <c r="DN30" s="50">
        <f>Tabela246379[[#This Row],[16/03 - 20/03]]*8.8</f>
        <v>0</v>
      </c>
      <c r="DO30" s="49">
        <f>SUM(Tabela246379[[#This Row],[23-mar]:[27-mar]])</f>
        <v>0</v>
      </c>
      <c r="DP30" s="67">
        <f>Tabela246379[[#This Row],[23/03 - 27/03]]*8.8</f>
        <v>0</v>
      </c>
      <c r="DQ30" s="49">
        <f>SUM(Tabela246379[[#This Row],[30-mar]:[2-abr]])</f>
        <v>0</v>
      </c>
      <c r="DR30" s="67">
        <f>Tabela246379[[#This Row],[30/03 - 02/04]]*8.8</f>
        <v>0</v>
      </c>
      <c r="DS30" s="49">
        <f>SUM(Tabela246379[[#This Row],[7-abr]:[10-abr]])</f>
        <v>0</v>
      </c>
      <c r="DT30" s="67">
        <f>Tabela246379[[#This Row],[07/04 - 10/04]]*8.8</f>
        <v>0</v>
      </c>
      <c r="DU30" s="68">
        <f>SUM(Tabela246379[[#This Row],[13-abr]:[17-abr]])</f>
        <v>0.96</v>
      </c>
      <c r="DV30" s="69">
        <f>Tabela246379[[#This Row],[13/04 - 17/04]]*8.8</f>
        <v>8.4480000000000004</v>
      </c>
      <c r="DW30" s="49">
        <f>SUM(Tabela246379[[#This Row],[22-abr]:[24-abr]])</f>
        <v>2.79</v>
      </c>
      <c r="DX30" s="67">
        <f>Tabela246379[[#This Row],[22/04 - 24/04]]*8.8</f>
        <v>24.552000000000003</v>
      </c>
      <c r="DY30" s="49">
        <f>SUM(Tabela246379[[#This Row],[27-abr]:[30-abr]])</f>
        <v>7.52</v>
      </c>
      <c r="DZ30" s="67">
        <f>Tabela246379[[#This Row],[27/04 - 30/04]]*8.8</f>
        <v>66.176000000000002</v>
      </c>
      <c r="EA30" s="49">
        <f>SUM(Tabela246379[[#This Row],[4-mai]:[8-mai]])</f>
        <v>9.3999999999999986</v>
      </c>
      <c r="EB30" s="67">
        <f>Tabela246379[[#This Row],[04/05 - 08/05]]*8.8</f>
        <v>82.72</v>
      </c>
      <c r="EC30" s="49">
        <f>SUM(Tabela246379[[#This Row],[11-mai]:[15-mai]])</f>
        <v>8.92</v>
      </c>
      <c r="ED30" s="70">
        <f>Tabela246379[[#This Row],[11/05 - 15/05]]*8.8</f>
        <v>78.496000000000009</v>
      </c>
      <c r="EE30" s="49">
        <f>SUM(Tabela246379[[#This Row],[18-mai]:[22-mai]])</f>
        <v>9.42</v>
      </c>
      <c r="EF30" s="68">
        <f>Tabela246379[[#This Row],[18/05 - 22/05]]*8.8</f>
        <v>82.896000000000001</v>
      </c>
      <c r="EG30" s="49">
        <f>SUM(Tabela246379[[#This Row],[25-mai]:[29-mai]])</f>
        <v>9.4700000000000006</v>
      </c>
      <c r="EH30" s="70">
        <f>Tabela246379[[#This Row],[25/05 - 29/05]]*8.8</f>
        <v>83.336000000000013</v>
      </c>
      <c r="EI30" s="49">
        <f>SUM(Tabela246379[[#This Row],[1-jun]:[3-jun]])</f>
        <v>3.9</v>
      </c>
      <c r="EJ30" s="70">
        <f>Tabela246379[[#This Row],[01/06 - 03/06]]*8.8</f>
        <v>34.32</v>
      </c>
      <c r="EK30" s="49">
        <f>SUM(Tabela246379[[#This Row],[8-jun]:[12-jun]])</f>
        <v>4.58</v>
      </c>
      <c r="EL30" s="70">
        <f>Tabela246379[[#This Row],[08/06 - 12/06]]*8.8</f>
        <v>40.304000000000002</v>
      </c>
      <c r="EM30" s="49">
        <f>SUM(Tabela246379[[#This Row],[15-jun]:[19-jun]])</f>
        <v>2.76</v>
      </c>
      <c r="EN30" s="70">
        <f>Tabela246379[[#This Row],[15/06 - 19/06]]*8.8</f>
        <v>24.288</v>
      </c>
      <c r="EO30" s="49">
        <f>SUM(Tabela246379[[#This Row],[22-jun]:[26-jun]])</f>
        <v>0</v>
      </c>
      <c r="EP30" s="70">
        <f>Tabela246379[[#This Row],[22/06 - 26/06]]*8.8</f>
        <v>0</v>
      </c>
      <c r="EQ30" s="49">
        <f>SUM(Tabela246379[[#This Row],[29/jun]:[01/jul]])</f>
        <v>0</v>
      </c>
      <c r="ER30" s="70">
        <f>Tabela246379[[#This Row],[29/06 - 01/07]]*8.8</f>
        <v>0</v>
      </c>
    </row>
    <row r="31" spans="1:148" s="22" customFormat="1" ht="24.95" customHeight="1" x14ac:dyDescent="0.25">
      <c r="A31" s="13">
        <v>13</v>
      </c>
      <c r="B31" s="83" t="s">
        <v>167</v>
      </c>
      <c r="C31" s="71" t="s">
        <v>5</v>
      </c>
      <c r="D31" s="72">
        <f t="shared" si="3"/>
        <v>0</v>
      </c>
      <c r="E31" s="72">
        <f t="shared" si="4"/>
        <v>0.15151515151515152</v>
      </c>
      <c r="F31" s="73">
        <f t="shared" si="5"/>
        <v>1</v>
      </c>
      <c r="G31" s="74">
        <v>0</v>
      </c>
      <c r="H31" s="46">
        <v>0</v>
      </c>
      <c r="I31" s="46">
        <v>0</v>
      </c>
      <c r="J31" s="46">
        <v>0</v>
      </c>
      <c r="K31" s="46">
        <v>0</v>
      </c>
      <c r="L31" s="47">
        <v>0</v>
      </c>
      <c r="M31" s="47">
        <v>0</v>
      </c>
      <c r="N31" s="47">
        <v>1</v>
      </c>
      <c r="O31" s="47">
        <v>1</v>
      </c>
      <c r="P31" s="47">
        <v>1</v>
      </c>
      <c r="Q31" s="47">
        <v>1</v>
      </c>
      <c r="R31" s="47">
        <v>1</v>
      </c>
      <c r="S31" s="47">
        <v>0</v>
      </c>
      <c r="T31" s="47">
        <v>0</v>
      </c>
      <c r="U31" s="47">
        <v>1</v>
      </c>
      <c r="V31" s="47">
        <v>1</v>
      </c>
      <c r="W31" s="47">
        <v>1</v>
      </c>
      <c r="X31" s="47">
        <v>1</v>
      </c>
      <c r="Y31" s="47">
        <v>0</v>
      </c>
      <c r="Z31" s="47">
        <v>0</v>
      </c>
      <c r="AA31" s="47">
        <v>0</v>
      </c>
      <c r="AB31" s="47">
        <v>0</v>
      </c>
      <c r="AC31" s="47">
        <v>1</v>
      </c>
      <c r="AD31" s="47">
        <v>1</v>
      </c>
      <c r="AE31" s="47">
        <v>1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1</v>
      </c>
      <c r="AY31" s="47">
        <v>1</v>
      </c>
      <c r="AZ31" s="47">
        <v>1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0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77">
        <v>0</v>
      </c>
      <c r="DK31" s="18">
        <f>SUM(Tabela246379[[#This Row],[16-mar]:[01/jul]])</f>
        <v>15</v>
      </c>
      <c r="DL31" s="48">
        <f>Tabela246379[[#This Row],[Dias]]*8</f>
        <v>120</v>
      </c>
      <c r="DM31" s="49">
        <f>SUM(Tabela246379[[#This Row],[16-mar]:[20-mar]])</f>
        <v>0</v>
      </c>
      <c r="DN31" s="50">
        <f>Tabela246379[[#This Row],[16/03 - 20/03]]*8.8</f>
        <v>0</v>
      </c>
      <c r="DO31" s="53">
        <f>SUM(Tabela246379[[#This Row],[23-mar]:[27-mar]])</f>
        <v>5</v>
      </c>
      <c r="DP31" s="54">
        <f>Tabela246379[[#This Row],[23/03 - 27/03]]*8.8</f>
        <v>44</v>
      </c>
      <c r="DQ31" s="53">
        <f>SUM(Tabela246379[[#This Row],[30-mar]:[2-abr]])</f>
        <v>4</v>
      </c>
      <c r="DR31" s="54">
        <f>Tabela246379[[#This Row],[30/03 - 02/04]]*8.8</f>
        <v>35.200000000000003</v>
      </c>
      <c r="DS31" s="53">
        <f>SUM(Tabela246379[[#This Row],[7-abr]:[10-abr]])</f>
        <v>3</v>
      </c>
      <c r="DT31" s="54">
        <f>Tabela246379[[#This Row],[07/04 - 10/04]]*8.8</f>
        <v>26.400000000000002</v>
      </c>
      <c r="DU31" s="51">
        <f>SUM(Tabela246379[[#This Row],[13-abr]:[17-abr]])</f>
        <v>0</v>
      </c>
      <c r="DV31" s="52">
        <f>Tabela246379[[#This Row],[13/04 - 17/04]]*8.8</f>
        <v>0</v>
      </c>
      <c r="DW31" s="53">
        <f>SUM(Tabela246379[[#This Row],[22-abr]:[24-abr]])</f>
        <v>0</v>
      </c>
      <c r="DX31" s="54">
        <f>Tabela246379[[#This Row],[22/04 - 24/04]]*8.8</f>
        <v>0</v>
      </c>
      <c r="DY31" s="53">
        <f>SUM(Tabela246379[[#This Row],[27-abr]:[30-abr]])</f>
        <v>3</v>
      </c>
      <c r="DZ31" s="54">
        <f>Tabela246379[[#This Row],[27/04 - 30/04]]*8.8</f>
        <v>26.400000000000002</v>
      </c>
      <c r="EA31" s="53">
        <f>SUM(Tabela246379[[#This Row],[4-mai]:[8-mai]])</f>
        <v>0</v>
      </c>
      <c r="EB31" s="54">
        <f>Tabela246379[[#This Row],[04/05 - 08/05]]*8.8</f>
        <v>0</v>
      </c>
      <c r="EC31" s="53">
        <f>SUM(Tabela246379[[#This Row],[11-mai]:[15-mai]])</f>
        <v>0</v>
      </c>
      <c r="ED31" s="55">
        <f>Tabela246379[[#This Row],[11/05 - 15/05]]*8.8</f>
        <v>0</v>
      </c>
      <c r="EE31" s="53">
        <f>SUM(Tabela246379[[#This Row],[18-mai]:[22-mai]])</f>
        <v>0</v>
      </c>
      <c r="EF31" s="51">
        <f>Tabela246379[[#This Row],[18/05 - 22/05]]*8.8</f>
        <v>0</v>
      </c>
      <c r="EG31" s="53">
        <f>SUM(Tabela246379[[#This Row],[25-mai]:[29-mai]])</f>
        <v>0</v>
      </c>
      <c r="EH31" s="55">
        <f>Tabela246379[[#This Row],[25/05 - 29/05]]*8.8</f>
        <v>0</v>
      </c>
      <c r="EI31" s="53">
        <f>SUM(Tabela246379[[#This Row],[1-jun]:[3-jun]])</f>
        <v>0</v>
      </c>
      <c r="EJ31" s="55">
        <f>Tabela246379[[#This Row],[01/06 - 03/06]]*8.8</f>
        <v>0</v>
      </c>
      <c r="EK31" s="53">
        <f>SUM(Tabela246379[[#This Row],[8-jun]:[12-jun]])</f>
        <v>0</v>
      </c>
      <c r="EL31" s="55">
        <f>Tabela246379[[#This Row],[08/06 - 12/06]]*8.8</f>
        <v>0</v>
      </c>
      <c r="EM31" s="53">
        <f>SUM(Tabela246379[[#This Row],[15-jun]:[19-jun]])</f>
        <v>0</v>
      </c>
      <c r="EN31" s="55">
        <f>Tabela246379[[#This Row],[15/06 - 19/06]]*8.8</f>
        <v>0</v>
      </c>
      <c r="EO31" s="53">
        <f>SUM(Tabela246379[[#This Row],[22-jun]:[26-jun]])</f>
        <v>0</v>
      </c>
      <c r="EP31" s="55">
        <f>Tabela246379[[#This Row],[22/06 - 26/06]]*8.8</f>
        <v>0</v>
      </c>
      <c r="EQ31" s="49">
        <f>SUM(Tabela246379[[#This Row],[29/jun]:[01/jul]])</f>
        <v>0</v>
      </c>
      <c r="ER31" s="70">
        <f>Tabela246379[[#This Row],[29/06 - 01/07]]*8.8</f>
        <v>0</v>
      </c>
    </row>
    <row r="32" spans="1:148" s="43" customFormat="1" ht="24.95" customHeight="1" x14ac:dyDescent="0.25">
      <c r="A32" s="58"/>
      <c r="B32" s="83"/>
      <c r="C32" s="60" t="s">
        <v>155</v>
      </c>
      <c r="D32" s="61">
        <f t="shared" si="3"/>
        <v>0</v>
      </c>
      <c r="E32" s="61">
        <f t="shared" si="4"/>
        <v>0.5714285714285714</v>
      </c>
      <c r="F32" s="62">
        <f t="shared" si="5"/>
        <v>1</v>
      </c>
      <c r="G32" s="63"/>
      <c r="H32" s="64"/>
      <c r="I32" s="64"/>
      <c r="J32" s="64"/>
      <c r="K32" s="64"/>
      <c r="L32" s="65"/>
      <c r="M32" s="65"/>
      <c r="N32" s="47">
        <v>1</v>
      </c>
      <c r="O32" s="47">
        <v>1</v>
      </c>
      <c r="P32" s="47">
        <v>1</v>
      </c>
      <c r="Q32" s="47">
        <v>1</v>
      </c>
      <c r="R32" s="47">
        <v>1</v>
      </c>
      <c r="S32" s="65"/>
      <c r="T32" s="65"/>
      <c r="U32" s="47">
        <v>1</v>
      </c>
      <c r="V32" s="47">
        <v>1</v>
      </c>
      <c r="W32" s="47">
        <v>1</v>
      </c>
      <c r="X32" s="47">
        <v>1</v>
      </c>
      <c r="Y32" s="65"/>
      <c r="Z32" s="65"/>
      <c r="AA32" s="65"/>
      <c r="AB32" s="65"/>
      <c r="AC32" s="47">
        <v>1</v>
      </c>
      <c r="AD32" s="47">
        <v>1</v>
      </c>
      <c r="AE32" s="47">
        <v>1</v>
      </c>
      <c r="AF32" s="47">
        <v>0</v>
      </c>
      <c r="AG32" s="65"/>
      <c r="AH32" s="65"/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65"/>
      <c r="AO32" s="65"/>
      <c r="AP32" s="65"/>
      <c r="AQ32" s="65"/>
      <c r="AR32" s="47">
        <v>0</v>
      </c>
      <c r="AS32" s="47">
        <v>0</v>
      </c>
      <c r="AT32" s="47">
        <v>0</v>
      </c>
      <c r="AU32" s="65"/>
      <c r="AV32" s="65"/>
      <c r="AW32" s="64"/>
      <c r="AX32" s="64"/>
      <c r="AY32" s="64"/>
      <c r="AZ32" s="64"/>
      <c r="BA32" s="65"/>
      <c r="BB32" s="65"/>
      <c r="BC32" s="65"/>
      <c r="BD32" s="64"/>
      <c r="BE32" s="64"/>
      <c r="BF32" s="64"/>
      <c r="BG32" s="64"/>
      <c r="BH32" s="64"/>
      <c r="BI32" s="65"/>
      <c r="BJ32" s="65"/>
      <c r="BK32" s="64"/>
      <c r="BL32" s="64"/>
      <c r="BM32" s="64"/>
      <c r="BN32" s="64"/>
      <c r="BO32" s="64"/>
      <c r="BP32" s="65"/>
      <c r="BQ32" s="65"/>
      <c r="BR32" s="64"/>
      <c r="BS32" s="64"/>
      <c r="BT32" s="64"/>
      <c r="BU32" s="64"/>
      <c r="BV32" s="64"/>
      <c r="BW32" s="65"/>
      <c r="BX32" s="65"/>
      <c r="BY32" s="64"/>
      <c r="BZ32" s="64"/>
      <c r="CA32" s="64"/>
      <c r="CB32" s="64"/>
      <c r="CC32" s="64"/>
      <c r="CD32" s="65"/>
      <c r="CE32" s="65"/>
      <c r="CF32" s="64"/>
      <c r="CG32" s="64"/>
      <c r="CH32" s="64"/>
      <c r="CI32" s="65"/>
      <c r="CJ32" s="65"/>
      <c r="CK32" s="65"/>
      <c r="CL32" s="65"/>
      <c r="CM32" s="64"/>
      <c r="CN32" s="64"/>
      <c r="CO32" s="64"/>
      <c r="CP32" s="64"/>
      <c r="CQ32" s="64"/>
      <c r="CR32" s="65"/>
      <c r="CS32" s="65"/>
      <c r="CT32" s="64"/>
      <c r="CU32" s="64"/>
      <c r="CV32" s="64"/>
      <c r="CW32" s="64"/>
      <c r="CX32" s="64"/>
      <c r="CY32" s="65"/>
      <c r="CZ32" s="65"/>
      <c r="DA32" s="64"/>
      <c r="DB32" s="64"/>
      <c r="DC32" s="64"/>
      <c r="DD32" s="64"/>
      <c r="DE32" s="64"/>
      <c r="DF32" s="65"/>
      <c r="DG32" s="65"/>
      <c r="DH32" s="75"/>
      <c r="DI32" s="75"/>
      <c r="DJ32" s="75"/>
      <c r="DK32" s="18">
        <f>SUM(Tabela246379[[#This Row],[16-mar]:[01/jul]])</f>
        <v>12</v>
      </c>
      <c r="DL32" s="48">
        <f>Tabela246379[[#This Row],[Dias]]*8</f>
        <v>96</v>
      </c>
      <c r="DM32" s="49">
        <f>SUM(Tabela246379[[#This Row],[16-mar]:[20-mar]])</f>
        <v>0</v>
      </c>
      <c r="DN32" s="50">
        <f>Tabela246379[[#This Row],[16/03 - 20/03]]*8.8</f>
        <v>0</v>
      </c>
      <c r="DO32" s="49">
        <f>SUM(Tabela246379[[#This Row],[23-mar]:[27-mar]])</f>
        <v>5</v>
      </c>
      <c r="DP32" s="67">
        <f>Tabela246379[[#This Row],[23/03 - 27/03]]*8.8</f>
        <v>44</v>
      </c>
      <c r="DQ32" s="49">
        <f>SUM(Tabela246379[[#This Row],[30-mar]:[2-abr]])</f>
        <v>4</v>
      </c>
      <c r="DR32" s="67">
        <f>Tabela246379[[#This Row],[30/03 - 02/04]]*8.8</f>
        <v>35.200000000000003</v>
      </c>
      <c r="DS32" s="49">
        <f>SUM(Tabela246379[[#This Row],[7-abr]:[10-abr]])</f>
        <v>3</v>
      </c>
      <c r="DT32" s="67">
        <f>Tabela246379[[#This Row],[07/04 - 10/04]]*8.8</f>
        <v>26.400000000000002</v>
      </c>
      <c r="DU32" s="68">
        <f>SUM(Tabela246379[[#This Row],[13-abr]:[17-abr]])</f>
        <v>0</v>
      </c>
      <c r="DV32" s="69">
        <f>Tabela246379[[#This Row],[13/04 - 17/04]]*8.8</f>
        <v>0</v>
      </c>
      <c r="DW32" s="49">
        <f>SUM(Tabela246379[[#This Row],[22-abr]:[24-abr]])</f>
        <v>0</v>
      </c>
      <c r="DX32" s="67">
        <f>Tabela246379[[#This Row],[22/04 - 24/04]]*8.8</f>
        <v>0</v>
      </c>
      <c r="DY32" s="49">
        <f>SUM(Tabela246379[[#This Row],[27-abr]:[30-abr]])</f>
        <v>0</v>
      </c>
      <c r="DZ32" s="67">
        <f>Tabela246379[[#This Row],[27/04 - 30/04]]*8.8</f>
        <v>0</v>
      </c>
      <c r="EA32" s="49">
        <f>SUM(Tabela246379[[#This Row],[4-mai]:[8-mai]])</f>
        <v>0</v>
      </c>
      <c r="EB32" s="67">
        <f>Tabela246379[[#This Row],[04/05 - 08/05]]*8.8</f>
        <v>0</v>
      </c>
      <c r="EC32" s="49">
        <f>SUM(Tabela246379[[#This Row],[11-mai]:[15-mai]])</f>
        <v>0</v>
      </c>
      <c r="ED32" s="70">
        <f>Tabela246379[[#This Row],[11/05 - 15/05]]*8.8</f>
        <v>0</v>
      </c>
      <c r="EE32" s="49">
        <f>SUM(Tabela246379[[#This Row],[18-mai]:[22-mai]])</f>
        <v>0</v>
      </c>
      <c r="EF32" s="68">
        <f>Tabela246379[[#This Row],[18/05 - 22/05]]*8.8</f>
        <v>0</v>
      </c>
      <c r="EG32" s="49">
        <f>SUM(Tabela246379[[#This Row],[25-mai]:[29-mai]])</f>
        <v>0</v>
      </c>
      <c r="EH32" s="70">
        <f>Tabela246379[[#This Row],[25/05 - 29/05]]*8.8</f>
        <v>0</v>
      </c>
      <c r="EI32" s="49">
        <f>SUM(Tabela246379[[#This Row],[1-jun]:[3-jun]])</f>
        <v>0</v>
      </c>
      <c r="EJ32" s="70">
        <f>Tabela246379[[#This Row],[01/06 - 03/06]]*8.8</f>
        <v>0</v>
      </c>
      <c r="EK32" s="49">
        <f>SUM(Tabela246379[[#This Row],[8-jun]:[12-jun]])</f>
        <v>0</v>
      </c>
      <c r="EL32" s="70">
        <f>Tabela246379[[#This Row],[08/06 - 12/06]]*8.8</f>
        <v>0</v>
      </c>
      <c r="EM32" s="49">
        <f>SUM(Tabela246379[[#This Row],[15-jun]:[19-jun]])</f>
        <v>0</v>
      </c>
      <c r="EN32" s="70">
        <f>Tabela246379[[#This Row],[15/06 - 19/06]]*8.8</f>
        <v>0</v>
      </c>
      <c r="EO32" s="49">
        <f>SUM(Tabela246379[[#This Row],[22-jun]:[26-jun]])</f>
        <v>0</v>
      </c>
      <c r="EP32" s="70">
        <f>Tabela246379[[#This Row],[22/06 - 26/06]]*8.8</f>
        <v>0</v>
      </c>
      <c r="EQ32" s="49">
        <f>SUM(Tabela246379[[#This Row],[29/jun]:[01/jul]])</f>
        <v>0</v>
      </c>
      <c r="ER32" s="70">
        <f>Tabela246379[[#This Row],[29/06 - 01/07]]*8.8</f>
        <v>0</v>
      </c>
    </row>
    <row r="33" spans="1:148" s="22" customFormat="1" ht="24.95" customHeight="1" x14ac:dyDescent="0.25">
      <c r="A33" s="58">
        <v>14</v>
      </c>
      <c r="B33" s="83" t="s">
        <v>168</v>
      </c>
      <c r="C33" s="71" t="s">
        <v>5</v>
      </c>
      <c r="D33" s="72">
        <f t="shared" si="3"/>
        <v>0</v>
      </c>
      <c r="E33" s="72">
        <f t="shared" si="4"/>
        <v>0.16161616161616163</v>
      </c>
      <c r="F33" s="73">
        <f t="shared" si="5"/>
        <v>1</v>
      </c>
      <c r="G33" s="74">
        <v>0</v>
      </c>
      <c r="H33" s="46">
        <v>0</v>
      </c>
      <c r="I33" s="46">
        <v>0</v>
      </c>
      <c r="J33" s="46">
        <v>0</v>
      </c>
      <c r="K33" s="46">
        <v>0</v>
      </c>
      <c r="L33" s="47">
        <v>0</v>
      </c>
      <c r="M33" s="47">
        <v>0</v>
      </c>
      <c r="N33" s="47">
        <v>1</v>
      </c>
      <c r="O33" s="47">
        <v>1</v>
      </c>
      <c r="P33" s="47">
        <v>1</v>
      </c>
      <c r="Q33" s="47">
        <v>1</v>
      </c>
      <c r="R33" s="47">
        <v>1</v>
      </c>
      <c r="S33" s="47">
        <v>0</v>
      </c>
      <c r="T33" s="47">
        <v>0</v>
      </c>
      <c r="U33" s="47">
        <v>1</v>
      </c>
      <c r="V33" s="47">
        <v>1</v>
      </c>
      <c r="W33" s="47">
        <v>1</v>
      </c>
      <c r="X33" s="47">
        <v>1</v>
      </c>
      <c r="Y33" s="47">
        <v>0</v>
      </c>
      <c r="Z33" s="47">
        <v>0</v>
      </c>
      <c r="AA33" s="47">
        <v>0</v>
      </c>
      <c r="AB33" s="47">
        <v>0</v>
      </c>
      <c r="AC33" s="47">
        <v>1</v>
      </c>
      <c r="AD33" s="47">
        <v>1</v>
      </c>
      <c r="AE33" s="47">
        <v>1</v>
      </c>
      <c r="AF33" s="47">
        <v>0</v>
      </c>
      <c r="AG33" s="47">
        <v>0</v>
      </c>
      <c r="AH33" s="47">
        <v>0</v>
      </c>
      <c r="AI33" s="47">
        <v>1</v>
      </c>
      <c r="AJ33" s="47">
        <v>0</v>
      </c>
      <c r="AK33" s="47">
        <v>0</v>
      </c>
      <c r="AL33" s="47">
        <v>0</v>
      </c>
      <c r="AM33" s="47">
        <v>0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1</v>
      </c>
      <c r="AY33" s="47">
        <v>1</v>
      </c>
      <c r="AZ33" s="47">
        <v>1</v>
      </c>
      <c r="BA33" s="47">
        <v>0</v>
      </c>
      <c r="BB33" s="47">
        <v>0</v>
      </c>
      <c r="BC33" s="47">
        <v>0</v>
      </c>
      <c r="BD33" s="47">
        <v>0</v>
      </c>
      <c r="BE33" s="47">
        <v>0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0</v>
      </c>
      <c r="BM33" s="47">
        <v>0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0</v>
      </c>
      <c r="DC33" s="47">
        <v>0</v>
      </c>
      <c r="DD33" s="47">
        <v>0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77">
        <v>0</v>
      </c>
      <c r="DK33" s="18">
        <f>SUM(Tabela246379[[#This Row],[16-mar]:[01/jul]])</f>
        <v>16</v>
      </c>
      <c r="DL33" s="48">
        <f>Tabela246379[[#This Row],[Dias]]*8</f>
        <v>128</v>
      </c>
      <c r="DM33" s="49">
        <f>SUM(Tabela246379[[#This Row],[16-mar]:[20-mar]])</f>
        <v>0</v>
      </c>
      <c r="DN33" s="50">
        <f>Tabela246379[[#This Row],[16/03 - 20/03]]*8.8</f>
        <v>0</v>
      </c>
      <c r="DO33" s="53">
        <f>SUM(Tabela246379[[#This Row],[23-mar]:[27-mar]])</f>
        <v>5</v>
      </c>
      <c r="DP33" s="54">
        <f>Tabela246379[[#This Row],[23/03 - 27/03]]*8.8</f>
        <v>44</v>
      </c>
      <c r="DQ33" s="53">
        <f>SUM(Tabela246379[[#This Row],[30-mar]:[2-abr]])</f>
        <v>4</v>
      </c>
      <c r="DR33" s="54">
        <f>Tabela246379[[#This Row],[30/03 - 02/04]]*8.8</f>
        <v>35.200000000000003</v>
      </c>
      <c r="DS33" s="53">
        <f>SUM(Tabela246379[[#This Row],[7-abr]:[10-abr]])</f>
        <v>3</v>
      </c>
      <c r="DT33" s="54">
        <f>Tabela246379[[#This Row],[07/04 - 10/04]]*8.8</f>
        <v>26.400000000000002</v>
      </c>
      <c r="DU33" s="51">
        <f>SUM(Tabela246379[[#This Row],[13-abr]:[17-abr]])</f>
        <v>1</v>
      </c>
      <c r="DV33" s="52">
        <f>Tabela246379[[#This Row],[13/04 - 17/04]]*8.8</f>
        <v>8.8000000000000007</v>
      </c>
      <c r="DW33" s="53">
        <f>SUM(Tabela246379[[#This Row],[22-abr]:[24-abr]])</f>
        <v>0</v>
      </c>
      <c r="DX33" s="54">
        <f>Tabela246379[[#This Row],[22/04 - 24/04]]*8.8</f>
        <v>0</v>
      </c>
      <c r="DY33" s="53">
        <f>SUM(Tabela246379[[#This Row],[27-abr]:[30-abr]])</f>
        <v>3</v>
      </c>
      <c r="DZ33" s="54">
        <f>Tabela246379[[#This Row],[27/04 - 30/04]]*8.8</f>
        <v>26.400000000000002</v>
      </c>
      <c r="EA33" s="53">
        <f>SUM(Tabela246379[[#This Row],[4-mai]:[8-mai]])</f>
        <v>0</v>
      </c>
      <c r="EB33" s="54">
        <f>Tabela246379[[#This Row],[04/05 - 08/05]]*8.8</f>
        <v>0</v>
      </c>
      <c r="EC33" s="53">
        <f>SUM(Tabela246379[[#This Row],[11-mai]:[15-mai]])</f>
        <v>0</v>
      </c>
      <c r="ED33" s="55">
        <f>Tabela246379[[#This Row],[11/05 - 15/05]]*8.8</f>
        <v>0</v>
      </c>
      <c r="EE33" s="53">
        <f>SUM(Tabela246379[[#This Row],[18-mai]:[22-mai]])</f>
        <v>0</v>
      </c>
      <c r="EF33" s="51">
        <f>Tabela246379[[#This Row],[18/05 - 22/05]]*8.8</f>
        <v>0</v>
      </c>
      <c r="EG33" s="53">
        <f>SUM(Tabela246379[[#This Row],[25-mai]:[29-mai]])</f>
        <v>0</v>
      </c>
      <c r="EH33" s="55">
        <f>Tabela246379[[#This Row],[25/05 - 29/05]]*8.8</f>
        <v>0</v>
      </c>
      <c r="EI33" s="53">
        <f>SUM(Tabela246379[[#This Row],[1-jun]:[3-jun]])</f>
        <v>0</v>
      </c>
      <c r="EJ33" s="55">
        <f>Tabela246379[[#This Row],[01/06 - 03/06]]*8.8</f>
        <v>0</v>
      </c>
      <c r="EK33" s="53">
        <f>SUM(Tabela246379[[#This Row],[8-jun]:[12-jun]])</f>
        <v>0</v>
      </c>
      <c r="EL33" s="55">
        <f>Tabela246379[[#This Row],[08/06 - 12/06]]*8.8</f>
        <v>0</v>
      </c>
      <c r="EM33" s="53">
        <f>SUM(Tabela246379[[#This Row],[15-jun]:[19-jun]])</f>
        <v>0</v>
      </c>
      <c r="EN33" s="55">
        <f>Tabela246379[[#This Row],[15/06 - 19/06]]*8.8</f>
        <v>0</v>
      </c>
      <c r="EO33" s="53">
        <f>SUM(Tabela246379[[#This Row],[22-jun]:[26-jun]])</f>
        <v>0</v>
      </c>
      <c r="EP33" s="55">
        <f>Tabela246379[[#This Row],[22/06 - 26/06]]*8.8</f>
        <v>0</v>
      </c>
      <c r="EQ33" s="49">
        <f>SUM(Tabela246379[[#This Row],[29/jun]:[01/jul]])</f>
        <v>0</v>
      </c>
      <c r="ER33" s="70">
        <f>Tabela246379[[#This Row],[29/06 - 01/07]]*8.8</f>
        <v>0</v>
      </c>
    </row>
    <row r="34" spans="1:148" s="43" customFormat="1" ht="24.95" customHeight="1" thickBot="1" x14ac:dyDescent="0.3">
      <c r="A34" s="58"/>
      <c r="B34" s="83"/>
      <c r="C34" s="84" t="s">
        <v>155</v>
      </c>
      <c r="D34" s="85">
        <f t="shared" si="3"/>
        <v>0</v>
      </c>
      <c r="E34" s="85">
        <f t="shared" si="4"/>
        <v>0.61904761904761907</v>
      </c>
      <c r="F34" s="86">
        <f t="shared" si="5"/>
        <v>1</v>
      </c>
      <c r="G34" s="87"/>
      <c r="H34" s="66"/>
      <c r="I34" s="66"/>
      <c r="J34" s="66"/>
      <c r="K34" s="66"/>
      <c r="L34" s="88"/>
      <c r="M34" s="88"/>
      <c r="N34" s="47">
        <v>1</v>
      </c>
      <c r="O34" s="47">
        <v>1</v>
      </c>
      <c r="P34" s="47">
        <v>1</v>
      </c>
      <c r="Q34" s="47">
        <v>1</v>
      </c>
      <c r="R34" s="47">
        <v>1</v>
      </c>
      <c r="S34" s="88"/>
      <c r="T34" s="88"/>
      <c r="U34" s="47">
        <v>1</v>
      </c>
      <c r="V34" s="47">
        <v>1</v>
      </c>
      <c r="W34" s="47">
        <v>1</v>
      </c>
      <c r="X34" s="47">
        <v>1</v>
      </c>
      <c r="Y34" s="88"/>
      <c r="Z34" s="88"/>
      <c r="AA34" s="88"/>
      <c r="AB34" s="88"/>
      <c r="AC34" s="47">
        <v>1</v>
      </c>
      <c r="AD34" s="47">
        <v>1</v>
      </c>
      <c r="AE34" s="47">
        <v>1</v>
      </c>
      <c r="AF34" s="47">
        <v>0</v>
      </c>
      <c r="AG34" s="88"/>
      <c r="AH34" s="88"/>
      <c r="AI34" s="47">
        <v>1</v>
      </c>
      <c r="AJ34" s="47">
        <v>0</v>
      </c>
      <c r="AK34" s="47">
        <v>0</v>
      </c>
      <c r="AL34" s="47">
        <v>0</v>
      </c>
      <c r="AM34" s="47">
        <v>0</v>
      </c>
      <c r="AN34" s="88"/>
      <c r="AO34" s="88"/>
      <c r="AP34" s="88"/>
      <c r="AQ34" s="88"/>
      <c r="AR34" s="47">
        <v>0</v>
      </c>
      <c r="AS34" s="47">
        <v>0</v>
      </c>
      <c r="AT34" s="47">
        <v>0</v>
      </c>
      <c r="AU34" s="88"/>
      <c r="AV34" s="88"/>
      <c r="AW34" s="66"/>
      <c r="AX34" s="66"/>
      <c r="AY34" s="66"/>
      <c r="AZ34" s="66"/>
      <c r="BA34" s="88"/>
      <c r="BB34" s="88"/>
      <c r="BC34" s="88"/>
      <c r="BD34" s="66"/>
      <c r="BE34" s="66"/>
      <c r="BF34" s="66"/>
      <c r="BG34" s="66"/>
      <c r="BH34" s="66"/>
      <c r="BI34" s="88"/>
      <c r="BJ34" s="88"/>
      <c r="BK34" s="66"/>
      <c r="BL34" s="66"/>
      <c r="BM34" s="66"/>
      <c r="BN34" s="66"/>
      <c r="BO34" s="66"/>
      <c r="BP34" s="88"/>
      <c r="BQ34" s="88"/>
      <c r="BR34" s="66"/>
      <c r="BS34" s="66"/>
      <c r="BT34" s="66"/>
      <c r="BU34" s="66"/>
      <c r="BV34" s="66"/>
      <c r="BW34" s="88"/>
      <c r="BX34" s="88"/>
      <c r="BY34" s="66"/>
      <c r="BZ34" s="66"/>
      <c r="CA34" s="66"/>
      <c r="CB34" s="66"/>
      <c r="CC34" s="66"/>
      <c r="CD34" s="88"/>
      <c r="CE34" s="88"/>
      <c r="CF34" s="66"/>
      <c r="CG34" s="66"/>
      <c r="CH34" s="66"/>
      <c r="CI34" s="88"/>
      <c r="CJ34" s="88"/>
      <c r="CK34" s="88"/>
      <c r="CL34" s="88"/>
      <c r="CM34" s="66"/>
      <c r="CN34" s="66"/>
      <c r="CO34" s="66"/>
      <c r="CP34" s="66"/>
      <c r="CQ34" s="66"/>
      <c r="CR34" s="88"/>
      <c r="CS34" s="88"/>
      <c r="CT34" s="66"/>
      <c r="CU34" s="66"/>
      <c r="CV34" s="66"/>
      <c r="CW34" s="66"/>
      <c r="CX34" s="66"/>
      <c r="CY34" s="88"/>
      <c r="CZ34" s="88"/>
      <c r="DA34" s="66"/>
      <c r="DB34" s="66"/>
      <c r="DC34" s="66"/>
      <c r="DD34" s="66"/>
      <c r="DE34" s="66"/>
      <c r="DF34" s="88"/>
      <c r="DG34" s="88"/>
      <c r="DH34" s="89"/>
      <c r="DI34" s="89"/>
      <c r="DJ34" s="89"/>
      <c r="DK34" s="18">
        <f>SUM(Tabela246379[[#This Row],[16-mar]:[01/jul]])</f>
        <v>13</v>
      </c>
      <c r="DL34" s="48">
        <f>Tabela246379[[#This Row],[Dias]]*8</f>
        <v>104</v>
      </c>
      <c r="DM34" s="49">
        <f>SUM(Tabela246379[[#This Row],[16-mar]:[20-mar]])</f>
        <v>0</v>
      </c>
      <c r="DN34" s="50">
        <f>Tabela246379[[#This Row],[16/03 - 20/03]]*8.8</f>
        <v>0</v>
      </c>
      <c r="DO34" s="49">
        <f>SUM(Tabela246379[[#This Row],[23-mar]:[27-mar]])</f>
        <v>5</v>
      </c>
      <c r="DP34" s="67">
        <f>Tabela246379[[#This Row],[23/03 - 27/03]]*8.8</f>
        <v>44</v>
      </c>
      <c r="DQ34" s="49">
        <f>SUM(Tabela246379[[#This Row],[30-mar]:[2-abr]])</f>
        <v>4</v>
      </c>
      <c r="DR34" s="67">
        <f>Tabela246379[[#This Row],[30/03 - 02/04]]*8.8</f>
        <v>35.200000000000003</v>
      </c>
      <c r="DS34" s="49">
        <f>SUM(Tabela246379[[#This Row],[7-abr]:[10-abr]])</f>
        <v>3</v>
      </c>
      <c r="DT34" s="67">
        <f>Tabela246379[[#This Row],[07/04 - 10/04]]*8.8</f>
        <v>26.400000000000002</v>
      </c>
      <c r="DU34" s="68">
        <f>SUM(Tabela246379[[#This Row],[13-abr]:[17-abr]])</f>
        <v>1</v>
      </c>
      <c r="DV34" s="69">
        <f>Tabela246379[[#This Row],[13/04 - 17/04]]*8.8</f>
        <v>8.8000000000000007</v>
      </c>
      <c r="DW34" s="49">
        <f>SUM(Tabela246379[[#This Row],[22-abr]:[24-abr]])</f>
        <v>0</v>
      </c>
      <c r="DX34" s="67">
        <f>Tabela246379[[#This Row],[22/04 - 24/04]]*8.8</f>
        <v>0</v>
      </c>
      <c r="DY34" s="49">
        <f>SUM(Tabela246379[[#This Row],[27-abr]:[30-abr]])</f>
        <v>0</v>
      </c>
      <c r="DZ34" s="67">
        <f>Tabela246379[[#This Row],[27/04 - 30/04]]*8.8</f>
        <v>0</v>
      </c>
      <c r="EA34" s="49">
        <f>SUM(Tabela246379[[#This Row],[4-mai]:[8-mai]])</f>
        <v>0</v>
      </c>
      <c r="EB34" s="67">
        <f>Tabela246379[[#This Row],[04/05 - 08/05]]*8.8</f>
        <v>0</v>
      </c>
      <c r="EC34" s="49">
        <f>SUM(Tabela246379[[#This Row],[11-mai]:[15-mai]])</f>
        <v>0</v>
      </c>
      <c r="ED34" s="70">
        <f>Tabela246379[[#This Row],[11/05 - 15/05]]*8.8</f>
        <v>0</v>
      </c>
      <c r="EE34" s="49">
        <f>SUM(Tabela246379[[#This Row],[18-mai]:[22-mai]])</f>
        <v>0</v>
      </c>
      <c r="EF34" s="68">
        <f>Tabela246379[[#This Row],[18/05 - 22/05]]*8.8</f>
        <v>0</v>
      </c>
      <c r="EG34" s="49">
        <f>SUM(Tabela246379[[#This Row],[25-mai]:[29-mai]])</f>
        <v>0</v>
      </c>
      <c r="EH34" s="70">
        <f>Tabela246379[[#This Row],[25/05 - 29/05]]*8.8</f>
        <v>0</v>
      </c>
      <c r="EI34" s="49">
        <f>SUM(Tabela246379[[#This Row],[1-jun]:[3-jun]])</f>
        <v>0</v>
      </c>
      <c r="EJ34" s="70">
        <f>Tabela246379[[#This Row],[01/06 - 03/06]]*8.8</f>
        <v>0</v>
      </c>
      <c r="EK34" s="49">
        <f>SUM(Tabela246379[[#This Row],[8-jun]:[12-jun]])</f>
        <v>0</v>
      </c>
      <c r="EL34" s="70">
        <f>Tabela246379[[#This Row],[08/06 - 12/06]]*8.8</f>
        <v>0</v>
      </c>
      <c r="EM34" s="49">
        <f>SUM(Tabela246379[[#This Row],[15-jun]:[19-jun]])</f>
        <v>0</v>
      </c>
      <c r="EN34" s="70">
        <f>Tabela246379[[#This Row],[15/06 - 19/06]]*8.8</f>
        <v>0</v>
      </c>
      <c r="EO34" s="49">
        <f>SUM(Tabela246379[[#This Row],[22-jun]:[26-jun]])</f>
        <v>0</v>
      </c>
      <c r="EP34" s="70">
        <f>Tabela246379[[#This Row],[22/06 - 26/06]]*8.8</f>
        <v>0</v>
      </c>
      <c r="EQ34" s="49">
        <f>SUM(Tabela246379[[#This Row],[29/jun]:[01/jul]])</f>
        <v>0</v>
      </c>
      <c r="ER34" s="70">
        <f>Tabela246379[[#This Row],[29/06 - 01/07]]*8.8</f>
        <v>0</v>
      </c>
    </row>
    <row r="35" spans="1:148" s="43" customFormat="1" ht="24.95" customHeight="1" x14ac:dyDescent="0.25">
      <c r="A35" s="90" t="s">
        <v>169</v>
      </c>
      <c r="B35" s="91"/>
      <c r="C35" s="92" t="s">
        <v>5</v>
      </c>
      <c r="D35" s="93">
        <f t="shared" si="3"/>
        <v>0</v>
      </c>
      <c r="E35" s="93">
        <f t="shared" si="4"/>
        <v>4.308080808080808</v>
      </c>
      <c r="F35" s="94">
        <f t="shared" si="5"/>
        <v>10.5</v>
      </c>
      <c r="G35" s="95">
        <f t="shared" ref="G35:BR36" si="6">SUM(G7,G11,G13,G15,G17,G19,G21,G23,G25,G27+G9+G29+G31+G33)</f>
        <v>0</v>
      </c>
      <c r="H35" s="96">
        <f t="shared" si="6"/>
        <v>0.5</v>
      </c>
      <c r="I35" s="96">
        <f t="shared" si="6"/>
        <v>0.5</v>
      </c>
      <c r="J35" s="96">
        <f t="shared" si="6"/>
        <v>0.5</v>
      </c>
      <c r="K35" s="96">
        <f t="shared" si="6"/>
        <v>0.5</v>
      </c>
      <c r="L35" s="96">
        <f t="shared" si="6"/>
        <v>0</v>
      </c>
      <c r="M35" s="96">
        <f t="shared" si="6"/>
        <v>0</v>
      </c>
      <c r="N35" s="96">
        <f t="shared" si="6"/>
        <v>6.5</v>
      </c>
      <c r="O35" s="96">
        <f t="shared" si="6"/>
        <v>5.5</v>
      </c>
      <c r="P35" s="96">
        <f t="shared" si="6"/>
        <v>6.5</v>
      </c>
      <c r="Q35" s="96">
        <f t="shared" si="6"/>
        <v>5.5</v>
      </c>
      <c r="R35" s="96">
        <f t="shared" si="6"/>
        <v>5.5</v>
      </c>
      <c r="S35" s="96">
        <f t="shared" si="6"/>
        <v>0</v>
      </c>
      <c r="T35" s="96">
        <f t="shared" si="6"/>
        <v>0</v>
      </c>
      <c r="U35" s="96">
        <f t="shared" si="6"/>
        <v>5.5</v>
      </c>
      <c r="V35" s="96">
        <f t="shared" si="6"/>
        <v>5.5</v>
      </c>
      <c r="W35" s="96">
        <f t="shared" si="6"/>
        <v>5.5</v>
      </c>
      <c r="X35" s="96">
        <f t="shared" si="6"/>
        <v>6.5</v>
      </c>
      <c r="Y35" s="96">
        <f t="shared" si="6"/>
        <v>0</v>
      </c>
      <c r="Z35" s="96">
        <f t="shared" si="6"/>
        <v>0</v>
      </c>
      <c r="AA35" s="96">
        <f t="shared" si="6"/>
        <v>0</v>
      </c>
      <c r="AB35" s="96">
        <f t="shared" si="6"/>
        <v>0</v>
      </c>
      <c r="AC35" s="96">
        <f t="shared" si="6"/>
        <v>5.5</v>
      </c>
      <c r="AD35" s="96">
        <f t="shared" si="6"/>
        <v>5.5</v>
      </c>
      <c r="AE35" s="96">
        <f t="shared" si="6"/>
        <v>5.5</v>
      </c>
      <c r="AF35" s="96">
        <f t="shared" si="6"/>
        <v>3.5</v>
      </c>
      <c r="AG35" s="96">
        <f t="shared" si="6"/>
        <v>0</v>
      </c>
      <c r="AH35" s="96">
        <f t="shared" si="6"/>
        <v>0</v>
      </c>
      <c r="AI35" s="96">
        <f t="shared" si="6"/>
        <v>7.5</v>
      </c>
      <c r="AJ35" s="96">
        <f t="shared" si="6"/>
        <v>5.5</v>
      </c>
      <c r="AK35" s="96">
        <f t="shared" si="6"/>
        <v>5.5</v>
      </c>
      <c r="AL35" s="96">
        <f t="shared" si="6"/>
        <v>3.5</v>
      </c>
      <c r="AM35" s="96">
        <f t="shared" si="6"/>
        <v>3.5</v>
      </c>
      <c r="AN35" s="96">
        <f t="shared" si="6"/>
        <v>0</v>
      </c>
      <c r="AO35" s="96">
        <f t="shared" si="6"/>
        <v>0</v>
      </c>
      <c r="AP35" s="96">
        <f t="shared" si="6"/>
        <v>1</v>
      </c>
      <c r="AQ35" s="96">
        <f t="shared" si="6"/>
        <v>0</v>
      </c>
      <c r="AR35" s="96">
        <f t="shared" si="6"/>
        <v>5.5</v>
      </c>
      <c r="AS35" s="96">
        <f t="shared" si="6"/>
        <v>4.5</v>
      </c>
      <c r="AT35" s="96">
        <f t="shared" si="6"/>
        <v>5.5</v>
      </c>
      <c r="AU35" s="96">
        <f t="shared" si="6"/>
        <v>0</v>
      </c>
      <c r="AV35" s="96">
        <f t="shared" si="6"/>
        <v>0</v>
      </c>
      <c r="AW35" s="96">
        <f t="shared" si="6"/>
        <v>7.5</v>
      </c>
      <c r="AX35" s="96">
        <f t="shared" si="6"/>
        <v>9.5</v>
      </c>
      <c r="AY35" s="96">
        <f t="shared" si="6"/>
        <v>8.5</v>
      </c>
      <c r="AZ35" s="96">
        <f t="shared" si="6"/>
        <v>8.5</v>
      </c>
      <c r="BA35" s="96">
        <f t="shared" si="6"/>
        <v>0</v>
      </c>
      <c r="BB35" s="96">
        <f t="shared" si="6"/>
        <v>0</v>
      </c>
      <c r="BC35" s="96">
        <f t="shared" si="6"/>
        <v>0</v>
      </c>
      <c r="BD35" s="96">
        <f t="shared" si="6"/>
        <v>6.5</v>
      </c>
      <c r="BE35" s="96">
        <f t="shared" si="6"/>
        <v>8.5</v>
      </c>
      <c r="BF35" s="96">
        <f t="shared" si="6"/>
        <v>7.5</v>
      </c>
      <c r="BG35" s="96">
        <f t="shared" si="6"/>
        <v>7.5</v>
      </c>
      <c r="BH35" s="96">
        <f t="shared" si="6"/>
        <v>7.5</v>
      </c>
      <c r="BI35" s="96">
        <f t="shared" si="6"/>
        <v>0</v>
      </c>
      <c r="BJ35" s="96">
        <f t="shared" si="6"/>
        <v>0</v>
      </c>
      <c r="BK35" s="96">
        <f t="shared" si="6"/>
        <v>8.5</v>
      </c>
      <c r="BL35" s="96">
        <f t="shared" si="6"/>
        <v>5.5</v>
      </c>
      <c r="BM35" s="96">
        <f t="shared" si="6"/>
        <v>7.5</v>
      </c>
      <c r="BN35" s="96">
        <f t="shared" si="6"/>
        <v>9.5</v>
      </c>
      <c r="BO35" s="96">
        <f t="shared" si="6"/>
        <v>10.5</v>
      </c>
      <c r="BP35" s="96">
        <f t="shared" si="6"/>
        <v>0</v>
      </c>
      <c r="BQ35" s="96">
        <f t="shared" si="6"/>
        <v>0</v>
      </c>
      <c r="BR35" s="96">
        <f t="shared" si="6"/>
        <v>9.5</v>
      </c>
      <c r="BS35" s="96">
        <f t="shared" ref="BS35:DJ36" si="7">SUM(BS7,BS11,BS13,BS15,BS17,BS19,BS21,BS23,BS25,BS27+BS9+BS29+BS31+BS33)</f>
        <v>7.5</v>
      </c>
      <c r="BT35" s="96">
        <f t="shared" si="7"/>
        <v>8.5</v>
      </c>
      <c r="BU35" s="96">
        <f t="shared" si="7"/>
        <v>7.5</v>
      </c>
      <c r="BV35" s="96">
        <f t="shared" si="7"/>
        <v>10.5</v>
      </c>
      <c r="BW35" s="96">
        <f t="shared" si="7"/>
        <v>0</v>
      </c>
      <c r="BX35" s="96">
        <f t="shared" si="7"/>
        <v>0</v>
      </c>
      <c r="BY35" s="96">
        <f t="shared" si="7"/>
        <v>7.5</v>
      </c>
      <c r="BZ35" s="96">
        <f t="shared" si="7"/>
        <v>9.5</v>
      </c>
      <c r="CA35" s="96">
        <f t="shared" si="7"/>
        <v>9.5</v>
      </c>
      <c r="CB35" s="96">
        <f t="shared" si="7"/>
        <v>8.5</v>
      </c>
      <c r="CC35" s="96">
        <f t="shared" si="7"/>
        <v>9.5</v>
      </c>
      <c r="CD35" s="96">
        <f t="shared" si="7"/>
        <v>0</v>
      </c>
      <c r="CE35" s="96">
        <f t="shared" si="7"/>
        <v>0</v>
      </c>
      <c r="CF35" s="96">
        <f t="shared" si="7"/>
        <v>7.5</v>
      </c>
      <c r="CG35" s="96">
        <f t="shared" si="7"/>
        <v>9.5</v>
      </c>
      <c r="CH35" s="96">
        <f t="shared" si="7"/>
        <v>7.5</v>
      </c>
      <c r="CI35" s="96">
        <f t="shared" si="7"/>
        <v>0</v>
      </c>
      <c r="CJ35" s="96">
        <f t="shared" si="7"/>
        <v>0</v>
      </c>
      <c r="CK35" s="96">
        <f t="shared" si="7"/>
        <v>0</v>
      </c>
      <c r="CL35" s="96">
        <f t="shared" si="7"/>
        <v>0</v>
      </c>
      <c r="CM35" s="96">
        <f t="shared" si="7"/>
        <v>8.5</v>
      </c>
      <c r="CN35" s="96">
        <f t="shared" si="7"/>
        <v>8.5</v>
      </c>
      <c r="CO35" s="96">
        <f t="shared" si="7"/>
        <v>8.5</v>
      </c>
      <c r="CP35" s="96">
        <f t="shared" si="7"/>
        <v>7.5</v>
      </c>
      <c r="CQ35" s="96">
        <f t="shared" si="7"/>
        <v>7.5</v>
      </c>
      <c r="CR35" s="96">
        <f t="shared" si="7"/>
        <v>0</v>
      </c>
      <c r="CS35" s="96">
        <f t="shared" si="7"/>
        <v>0</v>
      </c>
      <c r="CT35" s="96">
        <f t="shared" si="7"/>
        <v>6.5</v>
      </c>
      <c r="CU35" s="96">
        <f t="shared" si="7"/>
        <v>9.5</v>
      </c>
      <c r="CV35" s="96">
        <f t="shared" si="7"/>
        <v>8.5</v>
      </c>
      <c r="CW35" s="96">
        <f t="shared" si="7"/>
        <v>8.5</v>
      </c>
      <c r="CX35" s="96">
        <f t="shared" si="7"/>
        <v>7.5</v>
      </c>
      <c r="CY35" s="96">
        <f t="shared" si="7"/>
        <v>0</v>
      </c>
      <c r="CZ35" s="96">
        <f t="shared" si="7"/>
        <v>0</v>
      </c>
      <c r="DA35" s="96">
        <f t="shared" si="7"/>
        <v>3.5</v>
      </c>
      <c r="DB35" s="96">
        <f t="shared" si="7"/>
        <v>3.5</v>
      </c>
      <c r="DC35" s="96">
        <f t="shared" si="7"/>
        <v>4.5</v>
      </c>
      <c r="DD35" s="96">
        <f t="shared" si="7"/>
        <v>5.5</v>
      </c>
      <c r="DE35" s="96">
        <f t="shared" si="7"/>
        <v>0.5</v>
      </c>
      <c r="DF35" s="97">
        <f t="shared" si="7"/>
        <v>0</v>
      </c>
      <c r="DG35" s="97">
        <f t="shared" si="7"/>
        <v>0</v>
      </c>
      <c r="DH35" s="97">
        <f t="shared" si="7"/>
        <v>1.5</v>
      </c>
      <c r="DI35" s="97">
        <f t="shared" si="7"/>
        <v>2.5</v>
      </c>
      <c r="DJ35" s="97">
        <f t="shared" si="7"/>
        <v>2.5</v>
      </c>
      <c r="DK35" s="98">
        <f>DK7+DK9+DK11+DK13+DK15+DK17+DK19+DK21+DK23+DK25+DK27+DK29+DK31+DK33</f>
        <v>447</v>
      </c>
      <c r="DL35" s="99">
        <f>Tabela246379[[#This Row],[Dias]]*8</f>
        <v>3576</v>
      </c>
      <c r="DM35" s="49">
        <f>SUM(Tabela246379[[#This Row],[16-mar]:[20-mar]])</f>
        <v>2</v>
      </c>
      <c r="DN35" s="50">
        <f>Tabela246379[[#This Row],[16/03 - 20/03]]*8.8</f>
        <v>17.600000000000001</v>
      </c>
      <c r="DO35" s="100">
        <f>SUM(Tabela246379[[#This Row],[23-mar]:[27-mar]])</f>
        <v>29.5</v>
      </c>
      <c r="DP35" s="101">
        <f>Tabela246379[[#This Row],[23/03 - 27/03]]*8.8</f>
        <v>259.60000000000002</v>
      </c>
      <c r="DQ35" s="100">
        <f>SUM(Tabela246379[[#This Row],[30-mar]:[2-abr]])</f>
        <v>23</v>
      </c>
      <c r="DR35" s="101">
        <f>Tabela246379[[#This Row],[30/03 - 02/04]]*8.8</f>
        <v>202.4</v>
      </c>
      <c r="DS35" s="49">
        <f>SUM(Tabela246379[[#This Row],[7-abr]:[10-abr]])</f>
        <v>20</v>
      </c>
      <c r="DT35" s="67">
        <f>Tabela246379[[#This Row],[07/04 - 10/04]]*8.8</f>
        <v>176</v>
      </c>
      <c r="DU35" s="68">
        <f>SUM(Tabela246379[[#This Row],[13-abr]:[17-abr]])</f>
        <v>25.5</v>
      </c>
      <c r="DV35" s="69">
        <f>Tabela246379[[#This Row],[13/04 - 17/04]]*8.8</f>
        <v>224.4</v>
      </c>
      <c r="DW35" s="49">
        <f>SUM(Tabela246379[[#This Row],[22-abr]:[24-abr]])</f>
        <v>15.5</v>
      </c>
      <c r="DX35" s="67">
        <f>Tabela246379[[#This Row],[22/04 - 24/04]]*8.8</f>
        <v>136.4</v>
      </c>
      <c r="DY35" s="49">
        <f>SUM(Tabela246379[[#This Row],[27-abr]:[30-abr]])</f>
        <v>34</v>
      </c>
      <c r="DZ35" s="67">
        <f>Tabela246379[[#This Row],[27/04 - 30/04]]*8.8</f>
        <v>299.20000000000005</v>
      </c>
      <c r="EA35" s="49">
        <f>SUM(Tabela246379[[#This Row],[4-mai]:[8-mai]])</f>
        <v>37.5</v>
      </c>
      <c r="EB35" s="67">
        <f>Tabela246379[[#This Row],[04/05 - 08/05]]*8.8</f>
        <v>330</v>
      </c>
      <c r="EC35" s="49">
        <f>SUM(Tabela246379[[#This Row],[11-mai]:[15-mai]])</f>
        <v>41.5</v>
      </c>
      <c r="ED35" s="70">
        <f>Tabela246379[[#This Row],[11/05 - 15/05]]*8.8</f>
        <v>365.20000000000005</v>
      </c>
      <c r="EE35" s="49">
        <f>SUM(Tabela246379[[#This Row],[18-mai]:[22-mai]])</f>
        <v>43.5</v>
      </c>
      <c r="EF35" s="68">
        <f>Tabela246379[[#This Row],[18/05 - 22/05]]*8.8</f>
        <v>382.8</v>
      </c>
      <c r="EG35" s="49">
        <f>SUM(Tabela246379[[#This Row],[25-mai]:[29-mai]])</f>
        <v>44.5</v>
      </c>
      <c r="EH35" s="70">
        <f>Tabela246379[[#This Row],[25/05 - 29/05]]*8.8</f>
        <v>391.6</v>
      </c>
      <c r="EI35" s="49">
        <f>SUM(Tabela246379[[#This Row],[1-jun]:[3-jun]])</f>
        <v>24.5</v>
      </c>
      <c r="EJ35" s="70">
        <f>Tabela246379[[#This Row],[01/06 - 03/06]]*8.8</f>
        <v>215.60000000000002</v>
      </c>
      <c r="EK35" s="49">
        <f>SUM(Tabela246379[[#This Row],[8-jun]:[12-jun]])</f>
        <v>40.5</v>
      </c>
      <c r="EL35" s="70">
        <f>Tabela246379[[#This Row],[08/06 - 12/06]]*8.8</f>
        <v>356.40000000000003</v>
      </c>
      <c r="EM35" s="49">
        <f>SUM(Tabela246379[[#This Row],[15-jun]:[19-jun]])</f>
        <v>40.5</v>
      </c>
      <c r="EN35" s="70">
        <f>Tabela246379[[#This Row],[15/06 - 19/06]]*8.8</f>
        <v>356.40000000000003</v>
      </c>
      <c r="EO35" s="49">
        <f>SUM(Tabela246379[[#This Row],[22-jun]:[26-jun]])</f>
        <v>17.5</v>
      </c>
      <c r="EP35" s="70">
        <f>Tabela246379[[#This Row],[22/06 - 26/06]]*8.8</f>
        <v>154</v>
      </c>
      <c r="EQ35" s="49">
        <f>SUM(Tabela246379[[#This Row],[29/jun]:[01/jul]])</f>
        <v>6.5</v>
      </c>
      <c r="ER35" s="70">
        <f>Tabela246379[[#This Row],[29/06 - 01/07]]*8.8</f>
        <v>57.2</v>
      </c>
    </row>
    <row r="36" spans="1:148" s="43" customFormat="1" ht="24.95" customHeight="1" thickBot="1" x14ac:dyDescent="0.3">
      <c r="A36" s="102"/>
      <c r="B36" s="103"/>
      <c r="C36" s="104" t="s">
        <v>155</v>
      </c>
      <c r="D36" s="105">
        <f t="shared" si="3"/>
        <v>0</v>
      </c>
      <c r="E36" s="105">
        <f t="shared" si="4"/>
        <v>6.2091919191919196</v>
      </c>
      <c r="F36" s="106">
        <f t="shared" si="5"/>
        <v>16.059999999999999</v>
      </c>
      <c r="G36" s="107">
        <f t="shared" si="6"/>
        <v>0</v>
      </c>
      <c r="H36" s="105">
        <f t="shared" si="6"/>
        <v>1.25</v>
      </c>
      <c r="I36" s="105">
        <f t="shared" si="6"/>
        <v>1</v>
      </c>
      <c r="J36" s="105">
        <f t="shared" si="6"/>
        <v>1</v>
      </c>
      <c r="K36" s="105">
        <f t="shared" si="6"/>
        <v>0.88</v>
      </c>
      <c r="L36" s="105">
        <f t="shared" si="6"/>
        <v>0</v>
      </c>
      <c r="M36" s="105">
        <f t="shared" si="6"/>
        <v>0</v>
      </c>
      <c r="N36" s="105">
        <f t="shared" si="6"/>
        <v>4.82</v>
      </c>
      <c r="O36" s="105">
        <f t="shared" si="6"/>
        <v>5.32</v>
      </c>
      <c r="P36" s="105">
        <f t="shared" si="6"/>
        <v>5.32</v>
      </c>
      <c r="Q36" s="105">
        <f t="shared" si="6"/>
        <v>6.32</v>
      </c>
      <c r="R36" s="105">
        <f t="shared" si="6"/>
        <v>6.2</v>
      </c>
      <c r="S36" s="105">
        <f t="shared" si="6"/>
        <v>0</v>
      </c>
      <c r="T36" s="105">
        <f t="shared" si="6"/>
        <v>0</v>
      </c>
      <c r="U36" s="105">
        <f t="shared" si="6"/>
        <v>6.7700000000000014</v>
      </c>
      <c r="V36" s="105">
        <f t="shared" si="6"/>
        <v>6.32</v>
      </c>
      <c r="W36" s="105">
        <f t="shared" si="6"/>
        <v>6.09</v>
      </c>
      <c r="X36" s="105">
        <f t="shared" si="6"/>
        <v>6.09</v>
      </c>
      <c r="Y36" s="105">
        <f t="shared" si="6"/>
        <v>0</v>
      </c>
      <c r="Z36" s="105">
        <f t="shared" si="6"/>
        <v>0</v>
      </c>
      <c r="AA36" s="105">
        <f t="shared" si="6"/>
        <v>0</v>
      </c>
      <c r="AB36" s="105">
        <f t="shared" si="6"/>
        <v>0</v>
      </c>
      <c r="AC36" s="105">
        <f t="shared" si="6"/>
        <v>5.23</v>
      </c>
      <c r="AD36" s="105">
        <f t="shared" si="6"/>
        <v>6.5500000000000007</v>
      </c>
      <c r="AE36" s="105">
        <f t="shared" si="6"/>
        <v>6.48</v>
      </c>
      <c r="AF36" s="105">
        <f t="shared" si="6"/>
        <v>5.77</v>
      </c>
      <c r="AG36" s="105">
        <f t="shared" si="6"/>
        <v>0</v>
      </c>
      <c r="AH36" s="105">
        <f t="shared" si="6"/>
        <v>0</v>
      </c>
      <c r="AI36" s="105">
        <f t="shared" si="6"/>
        <v>6.7000000000000011</v>
      </c>
      <c r="AJ36" s="105">
        <f t="shared" si="6"/>
        <v>6.55</v>
      </c>
      <c r="AK36" s="105">
        <f t="shared" si="6"/>
        <v>5.25</v>
      </c>
      <c r="AL36" s="105">
        <f t="shared" si="6"/>
        <v>5.83</v>
      </c>
      <c r="AM36" s="105">
        <f t="shared" si="6"/>
        <v>7.4</v>
      </c>
      <c r="AN36" s="105">
        <f t="shared" si="6"/>
        <v>0</v>
      </c>
      <c r="AO36" s="105">
        <f t="shared" si="6"/>
        <v>0</v>
      </c>
      <c r="AP36" s="105">
        <f t="shared" si="6"/>
        <v>0</v>
      </c>
      <c r="AQ36" s="105">
        <f t="shared" si="6"/>
        <v>0</v>
      </c>
      <c r="AR36" s="105">
        <f t="shared" si="6"/>
        <v>8.17</v>
      </c>
      <c r="AS36" s="105">
        <f t="shared" si="6"/>
        <v>10.16</v>
      </c>
      <c r="AT36" s="105">
        <f t="shared" si="6"/>
        <v>9.98</v>
      </c>
      <c r="AU36" s="105">
        <f t="shared" si="6"/>
        <v>0</v>
      </c>
      <c r="AV36" s="105">
        <f t="shared" si="6"/>
        <v>0</v>
      </c>
      <c r="AW36" s="105">
        <f t="shared" si="6"/>
        <v>11.93</v>
      </c>
      <c r="AX36" s="105">
        <f t="shared" si="6"/>
        <v>10.719999999999999</v>
      </c>
      <c r="AY36" s="105">
        <f t="shared" si="6"/>
        <v>11.36</v>
      </c>
      <c r="AZ36" s="105">
        <f t="shared" si="6"/>
        <v>11.439999999999998</v>
      </c>
      <c r="BA36" s="105">
        <f t="shared" si="6"/>
        <v>0</v>
      </c>
      <c r="BB36" s="105">
        <f t="shared" si="6"/>
        <v>0</v>
      </c>
      <c r="BC36" s="105">
        <f t="shared" si="6"/>
        <v>0</v>
      </c>
      <c r="BD36" s="105">
        <f t="shared" si="6"/>
        <v>12.120000000000001</v>
      </c>
      <c r="BE36" s="105">
        <f t="shared" si="6"/>
        <v>11.309999999999999</v>
      </c>
      <c r="BF36" s="105">
        <f t="shared" si="6"/>
        <v>12.309999999999999</v>
      </c>
      <c r="BG36" s="105">
        <f t="shared" si="6"/>
        <v>12.95</v>
      </c>
      <c r="BH36" s="105">
        <f t="shared" si="6"/>
        <v>13.98</v>
      </c>
      <c r="BI36" s="105">
        <f t="shared" si="6"/>
        <v>0</v>
      </c>
      <c r="BJ36" s="105">
        <f t="shared" si="6"/>
        <v>0</v>
      </c>
      <c r="BK36" s="105">
        <f t="shared" si="6"/>
        <v>13.280000000000001</v>
      </c>
      <c r="BL36" s="105">
        <f t="shared" si="6"/>
        <v>14.75</v>
      </c>
      <c r="BM36" s="105">
        <f t="shared" si="6"/>
        <v>16.059999999999999</v>
      </c>
      <c r="BN36" s="105">
        <f t="shared" si="6"/>
        <v>14.329999999999998</v>
      </c>
      <c r="BO36" s="105">
        <f t="shared" si="6"/>
        <v>12.379999999999999</v>
      </c>
      <c r="BP36" s="105">
        <f t="shared" si="6"/>
        <v>0</v>
      </c>
      <c r="BQ36" s="105">
        <f t="shared" si="6"/>
        <v>0</v>
      </c>
      <c r="BR36" s="105">
        <f t="shared" si="6"/>
        <v>13.5</v>
      </c>
      <c r="BS36" s="105">
        <f t="shared" si="7"/>
        <v>13.120000000000001</v>
      </c>
      <c r="BT36" s="105">
        <f t="shared" si="7"/>
        <v>13.120000000000001</v>
      </c>
      <c r="BU36" s="105">
        <f t="shared" si="7"/>
        <v>12.04</v>
      </c>
      <c r="BV36" s="105">
        <f t="shared" si="7"/>
        <v>12.91</v>
      </c>
      <c r="BW36" s="105">
        <f t="shared" si="7"/>
        <v>0</v>
      </c>
      <c r="BX36" s="105">
        <f t="shared" si="7"/>
        <v>0</v>
      </c>
      <c r="BY36" s="105">
        <f t="shared" si="7"/>
        <v>13.920000000000002</v>
      </c>
      <c r="BZ36" s="105">
        <f t="shared" si="7"/>
        <v>14.04</v>
      </c>
      <c r="CA36" s="105">
        <f t="shared" si="7"/>
        <v>14.04</v>
      </c>
      <c r="CB36" s="105">
        <f t="shared" si="7"/>
        <v>13.680000000000001</v>
      </c>
      <c r="CC36" s="105">
        <f t="shared" si="7"/>
        <v>14.020000000000001</v>
      </c>
      <c r="CD36" s="105">
        <f t="shared" si="7"/>
        <v>0</v>
      </c>
      <c r="CE36" s="105">
        <f t="shared" si="7"/>
        <v>0</v>
      </c>
      <c r="CF36" s="105">
        <f t="shared" si="7"/>
        <v>13.680000000000001</v>
      </c>
      <c r="CG36" s="105">
        <f t="shared" si="7"/>
        <v>12.280000000000001</v>
      </c>
      <c r="CH36" s="105">
        <f t="shared" si="7"/>
        <v>13.780000000000001</v>
      </c>
      <c r="CI36" s="105">
        <f t="shared" si="7"/>
        <v>0</v>
      </c>
      <c r="CJ36" s="105">
        <f t="shared" si="7"/>
        <v>0</v>
      </c>
      <c r="CK36" s="105">
        <f t="shared" si="7"/>
        <v>0</v>
      </c>
      <c r="CL36" s="105">
        <f t="shared" si="7"/>
        <v>0</v>
      </c>
      <c r="CM36" s="105">
        <f t="shared" si="7"/>
        <v>11.759999999999998</v>
      </c>
      <c r="CN36" s="105">
        <f t="shared" si="7"/>
        <v>11.629999999999999</v>
      </c>
      <c r="CO36" s="105">
        <f t="shared" si="7"/>
        <v>11.509999999999998</v>
      </c>
      <c r="CP36" s="105">
        <f t="shared" si="7"/>
        <v>11.379999999999999</v>
      </c>
      <c r="CQ36" s="105">
        <f t="shared" si="7"/>
        <v>13.2</v>
      </c>
      <c r="CR36" s="105">
        <f t="shared" si="7"/>
        <v>0</v>
      </c>
      <c r="CS36" s="105">
        <f t="shared" si="7"/>
        <v>0</v>
      </c>
      <c r="CT36" s="105">
        <f t="shared" si="7"/>
        <v>11.879999999999999</v>
      </c>
      <c r="CU36" s="105">
        <f t="shared" si="7"/>
        <v>11.190000000000001</v>
      </c>
      <c r="CV36" s="105">
        <f t="shared" si="7"/>
        <v>10.31</v>
      </c>
      <c r="CW36" s="105">
        <f t="shared" si="7"/>
        <v>10.31</v>
      </c>
      <c r="CX36" s="105">
        <f t="shared" si="7"/>
        <v>9</v>
      </c>
      <c r="CY36" s="105">
        <f t="shared" si="7"/>
        <v>0</v>
      </c>
      <c r="CZ36" s="105">
        <f t="shared" si="7"/>
        <v>0</v>
      </c>
      <c r="DA36" s="105">
        <f t="shared" si="7"/>
        <v>8.0399999999999991</v>
      </c>
      <c r="DB36" s="105">
        <f t="shared" si="7"/>
        <v>8.2899999999999991</v>
      </c>
      <c r="DC36" s="105">
        <f t="shared" si="7"/>
        <v>7.19</v>
      </c>
      <c r="DD36" s="105">
        <f t="shared" si="7"/>
        <v>7.75</v>
      </c>
      <c r="DE36" s="105">
        <f t="shared" si="7"/>
        <v>6.5</v>
      </c>
      <c r="DF36" s="105">
        <f t="shared" si="7"/>
        <v>0</v>
      </c>
      <c r="DG36" s="105">
        <f t="shared" si="7"/>
        <v>0</v>
      </c>
      <c r="DH36" s="105">
        <f t="shared" si="7"/>
        <v>3.5</v>
      </c>
      <c r="DI36" s="105">
        <f t="shared" si="7"/>
        <v>5</v>
      </c>
      <c r="DJ36" s="105">
        <f t="shared" si="7"/>
        <v>3</v>
      </c>
      <c r="DK36" s="108">
        <f>DK8+DK10+DK12+DK14+DK16+DK18+DK20+DK22+DK24+DK26+DK28+DK30+DK32+DK34</f>
        <v>655.93999999999994</v>
      </c>
      <c r="DL36" s="109">
        <f>Tabela246379[[#This Row],[Dias]]*8</f>
        <v>5247.5199999999995</v>
      </c>
      <c r="DM36" s="110">
        <f>SUM(Tabela246379[[#This Row],[16-mar]:[20-mar]])</f>
        <v>4.13</v>
      </c>
      <c r="DN36" s="111">
        <f>Tabela246379[[#This Row],[16/03 - 20/03]]*8.8</f>
        <v>36.344000000000001</v>
      </c>
      <c r="DO36" s="112">
        <f>SUM(Tabela246379[[#This Row],[23-mar]:[27-mar]])</f>
        <v>27.98</v>
      </c>
      <c r="DP36" s="113">
        <f>Tabela246379[[#This Row],[23/03 - 27/03]]*8.8</f>
        <v>246.22400000000002</v>
      </c>
      <c r="DQ36" s="112">
        <f>SUM(Tabela246379[[#This Row],[30-mar]:[2-abr]])</f>
        <v>25.27</v>
      </c>
      <c r="DR36" s="113">
        <f>Tabela246379[[#This Row],[30/03 - 02/04]]*8.8</f>
        <v>222.376</v>
      </c>
      <c r="DS36" s="110">
        <f>SUM(Tabela246379[[#This Row],[7-abr]:[10-abr]])</f>
        <v>24.03</v>
      </c>
      <c r="DT36" s="114">
        <f>Tabela246379[[#This Row],[07/04 - 10/04]]*8.8</f>
        <v>211.46400000000003</v>
      </c>
      <c r="DU36" s="115">
        <f>SUM(Tabela246379[[#This Row],[13-abr]:[17-abr]])</f>
        <v>31.729999999999997</v>
      </c>
      <c r="DV36" s="116">
        <f>Tabela246379[[#This Row],[13/04 - 17/04]]*8.8</f>
        <v>279.22399999999999</v>
      </c>
      <c r="DW36" s="110">
        <f>SUM(Tabela246379[[#This Row],[22-abr]:[24-abr]])</f>
        <v>28.31</v>
      </c>
      <c r="DX36" s="114">
        <f>Tabela246379[[#This Row],[22/04 - 24/04]]*8.8</f>
        <v>249.12800000000001</v>
      </c>
      <c r="DY36" s="110">
        <f>SUM(Tabela246379[[#This Row],[27-abr]:[30-abr]])</f>
        <v>45.449999999999996</v>
      </c>
      <c r="DZ36" s="114">
        <f>Tabela246379[[#This Row],[27/04 - 30/04]]*8.8</f>
        <v>399.96</v>
      </c>
      <c r="EA36" s="110">
        <f>SUM(Tabela246379[[#This Row],[4-mai]:[8-mai]])</f>
        <v>62.67</v>
      </c>
      <c r="EB36" s="114">
        <f>Tabela246379[[#This Row],[04/05 - 08/05]]*8.8</f>
        <v>551.49600000000009</v>
      </c>
      <c r="EC36" s="110">
        <f>SUM(Tabela246379[[#This Row],[11-mai]:[15-mai]])</f>
        <v>70.8</v>
      </c>
      <c r="ED36" s="117">
        <f>Tabela246379[[#This Row],[11/05 - 15/05]]*8.8</f>
        <v>623.04000000000008</v>
      </c>
      <c r="EE36" s="110">
        <f>SUM(Tabela246379[[#This Row],[18-mai]:[22-mai]])</f>
        <v>64.69</v>
      </c>
      <c r="EF36" s="118">
        <f>Tabela246379[[#This Row],[18/05 - 22/05]]*8.8</f>
        <v>569.27200000000005</v>
      </c>
      <c r="EG36" s="110">
        <f>SUM(Tabela246379[[#This Row],[25-mai]:[29-mai]])</f>
        <v>69.7</v>
      </c>
      <c r="EH36" s="117">
        <f>Tabela246379[[#This Row],[25/05 - 29/05]]*8.8</f>
        <v>613.36000000000013</v>
      </c>
      <c r="EI36" s="110">
        <f>SUM(Tabela246379[[#This Row],[1-jun]:[3-jun]])</f>
        <v>39.74</v>
      </c>
      <c r="EJ36" s="117">
        <f>Tabela246379[[#This Row],[01/06 - 03/06]]*8.8</f>
        <v>349.71200000000005</v>
      </c>
      <c r="EK36" s="110">
        <f>SUM(Tabela246379[[#This Row],[8-jun]:[12-jun]])</f>
        <v>59.47999999999999</v>
      </c>
      <c r="EL36" s="117">
        <f>Tabela246379[[#This Row],[08/06 - 12/06]]*8.8</f>
        <v>523.42399999999998</v>
      </c>
      <c r="EM36" s="110">
        <f>SUM(Tabela246379[[#This Row],[15-jun]:[19-jun]])</f>
        <v>52.690000000000005</v>
      </c>
      <c r="EN36" s="117">
        <f>Tabela246379[[#This Row],[15/06 - 19/06]]*8.8</f>
        <v>463.67200000000008</v>
      </c>
      <c r="EO36" s="110">
        <f>SUM(Tabela246379[[#This Row],[22-jun]:[26-jun]])</f>
        <v>37.769999999999996</v>
      </c>
      <c r="EP36" s="117">
        <f>Tabela246379[[#This Row],[22/06 - 26/06]]*8.8</f>
        <v>332.37599999999998</v>
      </c>
      <c r="EQ36" s="110">
        <f>SUM(Tabela246379[[#This Row],[29/jun]:[01/jul]])</f>
        <v>11.5</v>
      </c>
      <c r="ER36" s="117">
        <f>Tabela246379[[#This Row],[29/06 - 01/07]]*8.8</f>
        <v>101.2</v>
      </c>
    </row>
    <row r="37" spans="1:148" ht="24.6" customHeight="1" x14ac:dyDescent="0.25"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CD37"/>
      <c r="CE37"/>
      <c r="CF37"/>
      <c r="CG37"/>
      <c r="CH37"/>
    </row>
    <row r="38" spans="1:148" ht="24.6" customHeight="1" x14ac:dyDescent="0.25">
      <c r="DL38" s="119">
        <f>DL36/DL35</f>
        <v>1.4674272930648768</v>
      </c>
      <c r="DM38" s="120" t="s">
        <v>170</v>
      </c>
    </row>
    <row r="39" spans="1:148" ht="24.6" customHeight="1" x14ac:dyDescent="0.25">
      <c r="B39" s="121"/>
    </row>
    <row r="40" spans="1:148" ht="24.6" customHeight="1" x14ac:dyDescent="0.25">
      <c r="B40" s="122"/>
      <c r="DM40" s="123"/>
      <c r="DN40" s="123"/>
      <c r="DO40" s="123"/>
      <c r="DP40" s="123"/>
    </row>
    <row r="41" spans="1:148" ht="24.6" customHeight="1" x14ac:dyDescent="0.25">
      <c r="DM41" s="123"/>
      <c r="DN41" s="123"/>
      <c r="DO41" s="123"/>
      <c r="DP41" s="123"/>
    </row>
    <row r="42" spans="1:148" ht="24.6" customHeight="1" x14ac:dyDescent="0.25"/>
    <row r="43" spans="1:148" ht="24.6" customHeight="1" x14ac:dyDescent="0.25">
      <c r="DM43" s="124"/>
      <c r="DN43" s="124"/>
    </row>
    <row r="44" spans="1:148" ht="24.6" customHeight="1" x14ac:dyDescent="0.25"/>
    <row r="45" spans="1:148" ht="24.6" customHeight="1" x14ac:dyDescent="0.25"/>
    <row r="46" spans="1:148" ht="24.6" customHeight="1" x14ac:dyDescent="0.25"/>
    <row r="47" spans="1:148" ht="24.6" customHeight="1" x14ac:dyDescent="0.25"/>
    <row r="48" spans="1:148" ht="24.6" customHeight="1" x14ac:dyDescent="0.25"/>
    <row r="49" ht="24.6" customHeight="1" x14ac:dyDescent="0.25"/>
    <row r="50" ht="24.6" customHeight="1" x14ac:dyDescent="0.25"/>
    <row r="51" ht="24.6" customHeight="1" x14ac:dyDescent="0.25"/>
    <row r="52" ht="24.6" customHeight="1" x14ac:dyDescent="0.25"/>
    <row r="53" ht="24.6" customHeight="1" x14ac:dyDescent="0.25"/>
    <row r="54" ht="24.6" customHeight="1" x14ac:dyDescent="0.25"/>
    <row r="55" ht="24.6" customHeight="1" x14ac:dyDescent="0.25"/>
    <row r="56" ht="24.6" customHeight="1" x14ac:dyDescent="0.25"/>
    <row r="57" ht="24.6" customHeight="1" x14ac:dyDescent="0.25"/>
    <row r="58" ht="24.6" customHeight="1" x14ac:dyDescent="0.25"/>
    <row r="59" ht="24.6" customHeight="1" x14ac:dyDescent="0.25"/>
    <row r="60" ht="24.6" customHeight="1" x14ac:dyDescent="0.25"/>
    <row r="61" ht="24.6" customHeight="1" x14ac:dyDescent="0.25"/>
    <row r="62" ht="24.6" customHeight="1" x14ac:dyDescent="0.25"/>
    <row r="63" ht="24.6" customHeight="1" x14ac:dyDescent="0.25"/>
    <row r="64" ht="24.6" customHeight="1" x14ac:dyDescent="0.25"/>
    <row r="65" ht="24.6" customHeight="1" x14ac:dyDescent="0.25"/>
    <row r="66" ht="24.6" customHeight="1" x14ac:dyDescent="0.25"/>
    <row r="67" ht="24.6" customHeight="1" x14ac:dyDescent="0.25"/>
    <row r="68" ht="24.6" customHeight="1" x14ac:dyDescent="0.25"/>
    <row r="69" ht="24.6" customHeight="1" x14ac:dyDescent="0.25"/>
    <row r="70" ht="24.6" customHeight="1" x14ac:dyDescent="0.25"/>
  </sheetData>
  <mergeCells count="24">
    <mergeCell ref="AP5:AV5"/>
    <mergeCell ref="A1:CC2"/>
    <mergeCell ref="A3:AD3"/>
    <mergeCell ref="C4:E4"/>
    <mergeCell ref="F4:H4"/>
    <mergeCell ref="I4:J4"/>
    <mergeCell ref="L4:N4"/>
    <mergeCell ref="O4:P4"/>
    <mergeCell ref="W4:X4"/>
    <mergeCell ref="G5:M5"/>
    <mergeCell ref="N5:T5"/>
    <mergeCell ref="U5:AA5"/>
    <mergeCell ref="AB5:AH5"/>
    <mergeCell ref="AI5:AO5"/>
    <mergeCell ref="CM5:CS5"/>
    <mergeCell ref="CT5:CZ5"/>
    <mergeCell ref="DA5:DG5"/>
    <mergeCell ref="DH5:DJ5"/>
    <mergeCell ref="AW5:BC5"/>
    <mergeCell ref="BD5:BJ5"/>
    <mergeCell ref="BK5:BQ5"/>
    <mergeCell ref="BR5:BX5"/>
    <mergeCell ref="BY5:CE5"/>
    <mergeCell ref="CF5:CL5"/>
  </mergeCells>
  <conditionalFormatting sqref="G5 N5 U5 AB5 AI5 AP5 AW5 BD5 BK5 BR5 BY5 CF5 CM5 CT5 DA5 DH5">
    <cfRule type="cellIs" dxfId="11" priority="9" operator="equal">
      <formula>0</formula>
    </cfRule>
    <cfRule type="cellIs" dxfId="10" priority="10" operator="greaterThan">
      <formula>0</formula>
    </cfRule>
  </conditionalFormatting>
  <conditionalFormatting sqref="U7:X13">
    <cfRule type="cellIs" dxfId="9" priority="7" operator="equal">
      <formula>0</formula>
    </cfRule>
    <cfRule type="cellIs" dxfId="8" priority="8" operator="greaterThan">
      <formula>0</formula>
    </cfRule>
  </conditionalFormatting>
  <conditionalFormatting sqref="AC13:AC14">
    <cfRule type="cellIs" dxfId="7" priority="5" operator="equal">
      <formula>0</formula>
    </cfRule>
    <cfRule type="cellIs" dxfId="6" priority="6" operator="greaterThan">
      <formula>0</formula>
    </cfRule>
  </conditionalFormatting>
  <conditionalFormatting sqref="AC7:AF12 G7:K34 N7:R34 AI7:AM34 AR7:AT34 AW7:AZ34 BD7:BH34 BK7:BO34 BR7:BV34 BY7:CC34 CF7:CH34 CM7:CQ34 CT7:CX34 DA7:DE34 DH7:DJ34 AF13 U15:X34 AC15:AF34">
    <cfRule type="cellIs" dxfId="5" priority="11" operator="equal">
      <formula>0</formula>
    </cfRule>
    <cfRule type="cellIs" dxfId="4" priority="12" operator="greaterThan">
      <formula>0</formula>
    </cfRule>
  </conditionalFormatting>
  <conditionalFormatting sqref="AD13">
    <cfRule type="cellIs" dxfId="3" priority="3" operator="equal">
      <formula>0</formula>
    </cfRule>
    <cfRule type="cellIs" dxfId="2" priority="4" operator="greaterThan">
      <formula>0</formula>
    </cfRule>
  </conditionalFormatting>
  <conditionalFormatting sqref="AE13">
    <cfRule type="cellIs" dxfId="1" priority="1" operator="equal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&amp;C_x000D_&amp;1#&amp;"Aptos"&amp;11&amp;K000000 BV_C2_Internal</oddFooter>
  </headerFooter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8EE133B6-1E22-4AF1-A536-B0C462370CBA}"/>
</file>

<file path=customXml/itemProps2.xml><?xml version="1.0" encoding="utf-8"?>
<ds:datastoreItem xmlns:ds="http://schemas.openxmlformats.org/officeDocument/2006/customXml" ds:itemID="{82646EEA-A783-4C37-B988-C79DE9135A7F}"/>
</file>

<file path=customXml/itemProps3.xml><?xml version="1.0" encoding="utf-8"?>
<ds:datastoreItem xmlns:ds="http://schemas.openxmlformats.org/officeDocument/2006/customXml" ds:itemID="{0B137EEE-F5DA-4E25-994E-5FA47CAA19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Histograma J006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2026-07-13T17:37:21Z</dcterms:created>
  <dcterms:modified xsi:type="dcterms:W3CDTF">2026-07-13T18:09:16Z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2026-07-13T17:40:21Z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30ca410e-c04b-4685-b538-922fc06f9efc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